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PJS-DS\Common Pool\Monish Guptha\G9Auto\"/>
    </mc:Choice>
  </mc:AlternateContent>
  <xr:revisionPtr revIDLastSave="0" documentId="13_ncr:1_{49AF2495-4F37-4242-9502-76C56D32B38F}" xr6:coauthVersionLast="47" xr6:coauthVersionMax="47" xr10:uidLastSave="{00000000-0000-0000-0000-000000000000}"/>
  <bookViews>
    <workbookView xWindow="-108" yWindow="-108" windowWidth="23256" windowHeight="12576" tabRatio="897" activeTab="2" xr2:uid="{00000000-000D-0000-FFFF-FFFF00000000}"/>
  </bookViews>
  <sheets>
    <sheet name="PREL INFO" sheetId="1" r:id="rId1"/>
    <sheet name="3B OUTWARD" sheetId="2" r:id="rId2"/>
    <sheet name="3B INWARD" sheetId="3" r:id="rId3"/>
    <sheet name="GSTR 1" sheetId="4" r:id="rId4"/>
    <sheet name="BOA OUT (AV)" sheetId="6" r:id="rId5"/>
    <sheet name="BOA OUT (GST)" sheetId="7" r:id="rId6"/>
    <sheet name="BOA INWARD" sheetId="22" r:id="rId7"/>
    <sheet name="Summaries" sheetId="5" r:id="rId8"/>
    <sheet name="RECO" sheetId="8" r:id="rId9"/>
    <sheet name="Set Off" sheetId="23" r:id="rId10"/>
    <sheet name="BOA AUDIT EXP" sheetId="9" r:id="rId11"/>
    <sheet name="Master" sheetId="24" r:id="rId12"/>
    <sheet name="4 GSTR9" sheetId="10" r:id="rId13"/>
    <sheet name="5 GSTR 9" sheetId="11" r:id="rId14"/>
    <sheet name="6 GSTR 9" sheetId="12" r:id="rId15"/>
    <sheet name="7 GSTR 9" sheetId="13" r:id="rId16"/>
    <sheet name="8 GSTR 9" sheetId="14" r:id="rId17"/>
    <sheet name="9 GSTR 9" sheetId="15" r:id="rId18"/>
    <sheet name="10 TO 13 GSTR 9" sheetId="16" r:id="rId19"/>
    <sheet name="14 GSTR 9" sheetId="17" r:id="rId20"/>
    <sheet name="15 GSTR 9" sheetId="18" r:id="rId21"/>
    <sheet name="16 GSTR 9" sheetId="19" r:id="rId22"/>
    <sheet name="17 GSTR 9" sheetId="20" r:id="rId23"/>
    <sheet name="18 GSTR 9" sheetId="21" r:id="rId24"/>
  </sheets>
  <externalReferences>
    <externalReference r:id="rId25"/>
    <externalReference r:id="rId26"/>
  </externalReferences>
  <definedNames>
    <definedName name="_xlnm._FilterDatabase" localSheetId="1" hidden="1">'3B OUTWARD'!$A$10:$J$10</definedName>
    <definedName name="_xlnm._FilterDatabase" localSheetId="3" hidden="1">'GSTR 1'!$A$10:$N$10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50" i="3" l="1"/>
  <c r="I201" i="3"/>
  <c r="J252" i="3"/>
  <c r="I250" i="3"/>
  <c r="H245" i="3"/>
  <c r="H240" i="3"/>
  <c r="H235" i="3"/>
  <c r="H230" i="3"/>
  <c r="H225" i="3"/>
  <c r="H220" i="3"/>
  <c r="H215" i="3"/>
  <c r="H210" i="3"/>
  <c r="H205" i="3"/>
  <c r="H200" i="3"/>
  <c r="H195" i="3"/>
  <c r="H190" i="3"/>
  <c r="G245" i="3"/>
  <c r="G240" i="3"/>
  <c r="G235" i="3"/>
  <c r="G230" i="3"/>
  <c r="G225" i="3"/>
  <c r="G220" i="3"/>
  <c r="G215" i="3"/>
  <c r="G210" i="3"/>
  <c r="G205" i="3"/>
  <c r="G200" i="3"/>
  <c r="G195" i="3"/>
  <c r="G190" i="3"/>
  <c r="F245" i="3"/>
  <c r="F240" i="3"/>
  <c r="F235" i="3"/>
  <c r="F230" i="3"/>
  <c r="F225" i="3"/>
  <c r="F220" i="3"/>
  <c r="F215" i="3"/>
  <c r="F210" i="3"/>
  <c r="F205" i="3"/>
  <c r="F200" i="3"/>
  <c r="F195" i="3"/>
  <c r="F190" i="3"/>
  <c r="E245" i="3"/>
  <c r="E240" i="3"/>
  <c r="E235" i="3"/>
  <c r="E230" i="3"/>
  <c r="E225" i="3"/>
  <c r="E220" i="3"/>
  <c r="E215" i="3"/>
  <c r="E210" i="3"/>
  <c r="E205" i="3"/>
  <c r="E200" i="3"/>
  <c r="E195" i="3"/>
  <c r="E190" i="3"/>
  <c r="D247" i="3"/>
  <c r="D245" i="3"/>
  <c r="C246" i="3"/>
  <c r="C245" i="3"/>
  <c r="B247" i="3"/>
  <c r="B246" i="3"/>
  <c r="B245" i="3"/>
  <c r="D242" i="3"/>
  <c r="D240" i="3"/>
  <c r="C241" i="3"/>
  <c r="C240" i="3"/>
  <c r="B242" i="3"/>
  <c r="B241" i="3"/>
  <c r="B240" i="3"/>
  <c r="D237" i="3"/>
  <c r="D235" i="3"/>
  <c r="C236" i="3"/>
  <c r="C235" i="3"/>
  <c r="B237" i="3"/>
  <c r="B236" i="3"/>
  <c r="B235" i="3"/>
  <c r="D232" i="3"/>
  <c r="D230" i="3"/>
  <c r="C231" i="3"/>
  <c r="C230" i="3"/>
  <c r="B232" i="3"/>
  <c r="B231" i="3"/>
  <c r="B230" i="3"/>
  <c r="D227" i="3"/>
  <c r="D225" i="3"/>
  <c r="C226" i="3"/>
  <c r="C225" i="3"/>
  <c r="B227" i="3"/>
  <c r="B226" i="3"/>
  <c r="B225" i="3"/>
  <c r="D222" i="3"/>
  <c r="D220" i="3"/>
  <c r="C221" i="3"/>
  <c r="C220" i="3"/>
  <c r="B222" i="3"/>
  <c r="B221" i="3"/>
  <c r="B220" i="3"/>
  <c r="D217" i="3"/>
  <c r="D215" i="3"/>
  <c r="C216" i="3"/>
  <c r="C215" i="3"/>
  <c r="B217" i="3"/>
  <c r="B216" i="3"/>
  <c r="B215" i="3"/>
  <c r="D212" i="3"/>
  <c r="D210" i="3"/>
  <c r="C211" i="3"/>
  <c r="C210" i="3"/>
  <c r="B212" i="3"/>
  <c r="B211" i="3"/>
  <c r="B210" i="3"/>
  <c r="D207" i="3"/>
  <c r="D205" i="3"/>
  <c r="C206" i="3"/>
  <c r="C205" i="3"/>
  <c r="B207" i="3"/>
  <c r="B206" i="3"/>
  <c r="B205" i="3"/>
  <c r="D202" i="3"/>
  <c r="D200" i="3"/>
  <c r="C200" i="3"/>
  <c r="C201" i="3"/>
  <c r="B202" i="3"/>
  <c r="B201" i="3"/>
  <c r="B200" i="3"/>
  <c r="D197" i="3"/>
  <c r="D195" i="3"/>
  <c r="C196" i="3"/>
  <c r="C195" i="3"/>
  <c r="B197" i="3"/>
  <c r="B196" i="3"/>
  <c r="B195" i="3"/>
  <c r="D192" i="3"/>
  <c r="D190" i="3"/>
  <c r="C191" i="3"/>
  <c r="C190" i="3"/>
  <c r="B192" i="3"/>
  <c r="B191" i="3"/>
  <c r="B190" i="3"/>
  <c r="G79" i="7"/>
  <c r="G80" i="7"/>
  <c r="G81" i="7"/>
  <c r="G82" i="7"/>
  <c r="G78" i="7"/>
  <c r="M79" i="7"/>
  <c r="M80" i="7"/>
  <c r="M81" i="7"/>
  <c r="M82" i="7"/>
  <c r="M83" i="7"/>
  <c r="M78" i="7"/>
  <c r="K79" i="7"/>
  <c r="K80" i="7"/>
  <c r="K81" i="7"/>
  <c r="K82" i="7"/>
  <c r="K83" i="7"/>
  <c r="K84" i="7"/>
  <c r="K85" i="7"/>
  <c r="K78" i="7"/>
  <c r="H79" i="7"/>
  <c r="H80" i="7"/>
  <c r="H81" i="7"/>
  <c r="H82" i="7"/>
  <c r="H83" i="7"/>
  <c r="H78" i="7"/>
  <c r="E79" i="7"/>
  <c r="E80" i="7"/>
  <c r="E81" i="7"/>
  <c r="E82" i="7"/>
  <c r="E83" i="7"/>
  <c r="E78" i="7"/>
  <c r="F78" i="7" s="1"/>
  <c r="J79" i="7"/>
  <c r="J80" i="7"/>
  <c r="J81" i="7"/>
  <c r="J82" i="7"/>
  <c r="J83" i="7"/>
  <c r="J84" i="7"/>
  <c r="J85" i="7"/>
  <c r="J78" i="7"/>
  <c r="C98" i="3"/>
  <c r="D98" i="3"/>
  <c r="E98" i="3"/>
  <c r="I196" i="3"/>
  <c r="I206" i="3"/>
  <c r="I211" i="3"/>
  <c r="I216" i="3"/>
  <c r="I221" i="3"/>
  <c r="I226" i="3"/>
  <c r="I231" i="3"/>
  <c r="I236" i="3"/>
  <c r="I241" i="3"/>
  <c r="I246" i="3"/>
  <c r="I191" i="3"/>
  <c r="B45" i="4"/>
  <c r="M178" i="8"/>
  <c r="H178" i="8"/>
  <c r="B170" i="8"/>
  <c r="B171" i="8"/>
  <c r="B172" i="8"/>
  <c r="B173" i="8"/>
  <c r="B174" i="8"/>
  <c r="B175" i="8"/>
  <c r="B176" i="8"/>
  <c r="B177" i="8"/>
  <c r="B178" i="8"/>
  <c r="B179" i="8"/>
  <c r="B180" i="8"/>
  <c r="B169" i="8"/>
  <c r="T90" i="8"/>
  <c r="P90" i="8"/>
  <c r="L90" i="8"/>
  <c r="H90" i="8"/>
  <c r="D90" i="8"/>
  <c r="P161" i="8"/>
  <c r="L161" i="8"/>
  <c r="H161" i="8"/>
  <c r="D161" i="8"/>
  <c r="T182" i="8"/>
  <c r="S182" i="8"/>
  <c r="O182" i="8"/>
  <c r="N182" i="8"/>
  <c r="J182" i="8"/>
  <c r="I182" i="8"/>
  <c r="E182" i="8"/>
  <c r="D182" i="8"/>
  <c r="D12" i="4"/>
  <c r="D13" i="4"/>
  <c r="D14" i="4"/>
  <c r="D15" i="4"/>
  <c r="D16" i="4"/>
  <c r="D17" i="4"/>
  <c r="D18" i="4"/>
  <c r="D19" i="4"/>
  <c r="D20" i="4"/>
  <c r="D21" i="4"/>
  <c r="D22" i="4"/>
  <c r="D11" i="4"/>
  <c r="G77" i="8" l="1"/>
  <c r="G78" i="8"/>
  <c r="G57" i="8" s="1"/>
  <c r="G79" i="8"/>
  <c r="G58" i="8" s="1"/>
  <c r="G80" i="8"/>
  <c r="G81" i="8"/>
  <c r="G60" i="8" s="1"/>
  <c r="G82" i="8"/>
  <c r="G61" i="8" s="1"/>
  <c r="G83" i="8"/>
  <c r="G62" i="8" s="1"/>
  <c r="G84" i="8"/>
  <c r="G63" i="8" s="1"/>
  <c r="G85" i="8"/>
  <c r="G64" i="8" s="1"/>
  <c r="G86" i="8"/>
  <c r="G65" i="8" s="1"/>
  <c r="G87" i="8"/>
  <c r="G66" i="8" s="1"/>
  <c r="G88" i="8"/>
  <c r="G56" i="8" l="1"/>
  <c r="G67" i="8"/>
  <c r="G59" i="8"/>
  <c r="D12" i="2"/>
  <c r="D13" i="2"/>
  <c r="D14" i="2"/>
  <c r="E14" i="2" s="1"/>
  <c r="D15" i="2"/>
  <c r="E15" i="2" s="1"/>
  <c r="D16" i="2"/>
  <c r="D17" i="2"/>
  <c r="D18" i="2"/>
  <c r="D19" i="2"/>
  <c r="E19" i="2" s="1"/>
  <c r="D20" i="2"/>
  <c r="D21" i="2"/>
  <c r="D22" i="2"/>
  <c r="E22" i="2" s="1"/>
  <c r="D11" i="2"/>
  <c r="E11" i="2" s="1"/>
  <c r="E12" i="2"/>
  <c r="F12" i="2"/>
  <c r="E13" i="2"/>
  <c r="F13" i="2"/>
  <c r="E16" i="2"/>
  <c r="F16" i="2"/>
  <c r="E17" i="2"/>
  <c r="F17" i="2"/>
  <c r="E18" i="2"/>
  <c r="F18" i="2"/>
  <c r="E20" i="2"/>
  <c r="F20" i="2"/>
  <c r="E21" i="2"/>
  <c r="F21" i="2"/>
  <c r="G69" i="8" l="1"/>
  <c r="F22" i="2"/>
  <c r="F14" i="2"/>
  <c r="F19" i="2"/>
  <c r="F15" i="2"/>
  <c r="F11" i="2"/>
  <c r="R4" i="1"/>
  <c r="K348" i="4" l="1"/>
  <c r="J348" i="4"/>
  <c r="I348" i="4"/>
  <c r="H348" i="4"/>
  <c r="G348" i="4"/>
  <c r="F348" i="4"/>
  <c r="E348" i="4"/>
  <c r="M445" i="4"/>
  <c r="D64" i="9"/>
  <c r="D41" i="9"/>
  <c r="R119" i="8"/>
  <c r="N119" i="8"/>
  <c r="J119" i="8"/>
  <c r="F119" i="8"/>
  <c r="J236" i="6"/>
  <c r="K236" i="6"/>
  <c r="J237" i="6"/>
  <c r="K237" i="6"/>
  <c r="J238" i="6"/>
  <c r="K238" i="6"/>
  <c r="J239" i="6"/>
  <c r="K239" i="6"/>
  <c r="J240" i="6"/>
  <c r="K240" i="6"/>
  <c r="F150" i="3"/>
  <c r="G150" i="3"/>
  <c r="F151" i="3"/>
  <c r="G151" i="3"/>
  <c r="F152" i="3"/>
  <c r="G152" i="3"/>
  <c r="F153" i="3"/>
  <c r="G153" i="3"/>
  <c r="F154" i="3"/>
  <c r="G154" i="3"/>
  <c r="F155" i="3"/>
  <c r="G155" i="3"/>
  <c r="F156" i="3"/>
  <c r="G156" i="3"/>
  <c r="F157" i="3"/>
  <c r="G157" i="3"/>
  <c r="F158" i="3"/>
  <c r="G158" i="3"/>
  <c r="F159" i="3"/>
  <c r="G159" i="3"/>
  <c r="F160" i="3"/>
  <c r="G160" i="3"/>
  <c r="G149" i="3"/>
  <c r="F149" i="3"/>
  <c r="B40" i="3" l="1"/>
  <c r="B112" i="2"/>
  <c r="L334" i="4" l="1"/>
  <c r="M334" i="4"/>
  <c r="L335" i="4"/>
  <c r="M335" i="4"/>
  <c r="L336" i="4"/>
  <c r="M336" i="4"/>
  <c r="M333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6" i="4"/>
  <c r="K338" i="4"/>
  <c r="J338" i="4"/>
  <c r="I338" i="4"/>
  <c r="H338" i="4"/>
  <c r="G338" i="4"/>
  <c r="F338" i="4"/>
  <c r="E338" i="4"/>
  <c r="L342" i="4"/>
  <c r="L343" i="4"/>
  <c r="L344" i="4"/>
  <c r="L345" i="4"/>
  <c r="L346" i="4"/>
  <c r="G31" i="2" l="1"/>
  <c r="B89" i="3"/>
  <c r="C169" i="8" s="1"/>
  <c r="C89" i="3"/>
  <c r="H169" i="8" s="1"/>
  <c r="D89" i="3"/>
  <c r="M169" i="8" s="1"/>
  <c r="E89" i="3"/>
  <c r="R169" i="8" s="1"/>
  <c r="B90" i="3"/>
  <c r="C170" i="8" s="1"/>
  <c r="C90" i="3"/>
  <c r="H170" i="8" s="1"/>
  <c r="D90" i="3"/>
  <c r="M170" i="8" s="1"/>
  <c r="E90" i="3"/>
  <c r="R170" i="8" s="1"/>
  <c r="B91" i="3"/>
  <c r="C171" i="8" s="1"/>
  <c r="C91" i="3"/>
  <c r="H171" i="8" s="1"/>
  <c r="D91" i="3"/>
  <c r="M171" i="8" s="1"/>
  <c r="E91" i="3"/>
  <c r="R171" i="8" s="1"/>
  <c r="B92" i="3"/>
  <c r="C172" i="8" s="1"/>
  <c r="C92" i="3"/>
  <c r="H172" i="8" s="1"/>
  <c r="D92" i="3"/>
  <c r="M172" i="8" s="1"/>
  <c r="E92" i="3"/>
  <c r="R172" i="8" s="1"/>
  <c r="B93" i="3"/>
  <c r="C173" i="8" s="1"/>
  <c r="C93" i="3"/>
  <c r="H173" i="8" s="1"/>
  <c r="D93" i="3"/>
  <c r="M173" i="8" s="1"/>
  <c r="E93" i="3"/>
  <c r="R173" i="8" s="1"/>
  <c r="B94" i="3"/>
  <c r="C174" i="8" s="1"/>
  <c r="C94" i="3"/>
  <c r="H174" i="8" s="1"/>
  <c r="D94" i="3"/>
  <c r="M174" i="8" s="1"/>
  <c r="E94" i="3"/>
  <c r="R174" i="8" s="1"/>
  <c r="B95" i="3"/>
  <c r="C175" i="8" s="1"/>
  <c r="C95" i="3"/>
  <c r="H175" i="8" s="1"/>
  <c r="D95" i="3"/>
  <c r="M175" i="8" s="1"/>
  <c r="E95" i="3"/>
  <c r="R175" i="8" s="1"/>
  <c r="B96" i="3"/>
  <c r="C176" i="8" s="1"/>
  <c r="C96" i="3"/>
  <c r="H176" i="8" s="1"/>
  <c r="D96" i="3"/>
  <c r="M176" i="8" s="1"/>
  <c r="E96" i="3"/>
  <c r="R176" i="8" s="1"/>
  <c r="B97" i="3"/>
  <c r="C177" i="8" s="1"/>
  <c r="C97" i="3"/>
  <c r="H177" i="8" s="1"/>
  <c r="D97" i="3"/>
  <c r="M177" i="8" s="1"/>
  <c r="E97" i="3"/>
  <c r="R177" i="8" s="1"/>
  <c r="B98" i="3"/>
  <c r="C178" i="8" s="1"/>
  <c r="R178" i="8"/>
  <c r="B99" i="3"/>
  <c r="C179" i="8" s="1"/>
  <c r="C99" i="3"/>
  <c r="H179" i="8" s="1"/>
  <c r="D99" i="3"/>
  <c r="M179" i="8" s="1"/>
  <c r="E99" i="3"/>
  <c r="R179" i="8" s="1"/>
  <c r="B100" i="3"/>
  <c r="C180" i="8" s="1"/>
  <c r="C100" i="3"/>
  <c r="H180" i="8" s="1"/>
  <c r="D100" i="3"/>
  <c r="M180" i="8" s="1"/>
  <c r="E100" i="3"/>
  <c r="R180" i="8" s="1"/>
  <c r="F12" i="3"/>
  <c r="F13" i="3"/>
  <c r="F14" i="3"/>
  <c r="F15" i="3"/>
  <c r="F16" i="3"/>
  <c r="F17" i="3"/>
  <c r="F18" i="3"/>
  <c r="F19" i="3"/>
  <c r="F20" i="3"/>
  <c r="F21" i="3"/>
  <c r="F22" i="3"/>
  <c r="F11" i="3"/>
  <c r="R5" i="1" l="1"/>
  <c r="S11" i="1"/>
  <c r="S10" i="1"/>
  <c r="S9" i="1"/>
  <c r="S8" i="1"/>
  <c r="L433" i="4" l="1"/>
  <c r="L434" i="4"/>
  <c r="L435" i="4"/>
  <c r="L436" i="4"/>
  <c r="L423" i="4"/>
  <c r="L424" i="4"/>
  <c r="L425" i="4"/>
  <c r="L426" i="4"/>
  <c r="L413" i="4"/>
  <c r="L414" i="4"/>
  <c r="L415" i="4"/>
  <c r="L416" i="4"/>
  <c r="L403" i="4"/>
  <c r="L404" i="4"/>
  <c r="L405" i="4"/>
  <c r="L406" i="4"/>
  <c r="L393" i="4"/>
  <c r="L394" i="4"/>
  <c r="L395" i="4"/>
  <c r="L396" i="4"/>
  <c r="L383" i="4"/>
  <c r="L384" i="4"/>
  <c r="L385" i="4"/>
  <c r="L386" i="4"/>
  <c r="E388" i="4"/>
  <c r="F388" i="4"/>
  <c r="G388" i="4"/>
  <c r="H388" i="4"/>
  <c r="I388" i="4"/>
  <c r="J388" i="4"/>
  <c r="K388" i="4"/>
  <c r="L373" i="4"/>
  <c r="L374" i="4"/>
  <c r="L375" i="4"/>
  <c r="L376" i="4"/>
  <c r="L366" i="4"/>
  <c r="E368" i="4"/>
  <c r="F368" i="4"/>
  <c r="G368" i="4"/>
  <c r="H368" i="4"/>
  <c r="I368" i="4"/>
  <c r="J368" i="4"/>
  <c r="K368" i="4"/>
  <c r="E378" i="4"/>
  <c r="F378" i="4"/>
  <c r="G378" i="4"/>
  <c r="H378" i="4"/>
  <c r="I378" i="4"/>
  <c r="J378" i="4"/>
  <c r="K378" i="4"/>
  <c r="L363" i="4"/>
  <c r="L364" i="4"/>
  <c r="L365" i="4"/>
  <c r="L353" i="4"/>
  <c r="L354" i="4"/>
  <c r="L355" i="4"/>
  <c r="L356" i="4"/>
  <c r="L333" i="4"/>
  <c r="E43" i="2" l="1"/>
  <c r="F136" i="3" l="1"/>
  <c r="F137" i="3"/>
  <c r="F138" i="3"/>
  <c r="F139" i="3"/>
  <c r="G21" i="23"/>
  <c r="R12" i="23"/>
  <c r="R13" i="23"/>
  <c r="R14" i="23"/>
  <c r="R15" i="23"/>
  <c r="R16" i="23"/>
  <c r="R17" i="23"/>
  <c r="R18" i="23"/>
  <c r="R19" i="23"/>
  <c r="R20" i="23"/>
  <c r="R21" i="23"/>
  <c r="R22" i="23"/>
  <c r="K12" i="23"/>
  <c r="K13" i="23"/>
  <c r="K14" i="23"/>
  <c r="K15" i="23"/>
  <c r="K16" i="23"/>
  <c r="K17" i="23"/>
  <c r="K18" i="23"/>
  <c r="K19" i="23"/>
  <c r="K20" i="23"/>
  <c r="K21" i="23"/>
  <c r="K22" i="23"/>
  <c r="D12" i="23"/>
  <c r="D13" i="23"/>
  <c r="D14" i="23"/>
  <c r="D15" i="23"/>
  <c r="D16" i="23"/>
  <c r="D17" i="23"/>
  <c r="D18" i="23"/>
  <c r="D19" i="23"/>
  <c r="D20" i="23"/>
  <c r="D21" i="23"/>
  <c r="D22" i="23"/>
  <c r="R11" i="23"/>
  <c r="Q11" i="23"/>
  <c r="J11" i="23"/>
  <c r="C11" i="23"/>
  <c r="K11" i="23"/>
  <c r="D11" i="23"/>
  <c r="AB22" i="23"/>
  <c r="AB21" i="23"/>
  <c r="AB20" i="23"/>
  <c r="AB19" i="23"/>
  <c r="AB18" i="23"/>
  <c r="AB17" i="23"/>
  <c r="AB16" i="23"/>
  <c r="AB15" i="23"/>
  <c r="AB14" i="23"/>
  <c r="AB13" i="23"/>
  <c r="U22" i="23"/>
  <c r="U21" i="23"/>
  <c r="U20" i="23"/>
  <c r="U19" i="23"/>
  <c r="U18" i="23"/>
  <c r="U17" i="23"/>
  <c r="U16" i="23"/>
  <c r="U15" i="23"/>
  <c r="U14" i="23"/>
  <c r="U13" i="23"/>
  <c r="N22" i="23"/>
  <c r="N21" i="23"/>
  <c r="N20" i="23"/>
  <c r="N19" i="23"/>
  <c r="N18" i="23"/>
  <c r="N17" i="23"/>
  <c r="N16" i="23"/>
  <c r="N15" i="23"/>
  <c r="N14" i="23"/>
  <c r="N13" i="23"/>
  <c r="G22" i="23"/>
  <c r="G20" i="23"/>
  <c r="G19" i="23"/>
  <c r="G18" i="23"/>
  <c r="G17" i="23"/>
  <c r="G16" i="23"/>
  <c r="G15" i="23"/>
  <c r="G14" i="23"/>
  <c r="G13" i="23"/>
  <c r="G11" i="23"/>
  <c r="F22" i="23"/>
  <c r="T22" i="23"/>
  <c r="M22" i="23"/>
  <c r="F21" i="23"/>
  <c r="T21" i="23"/>
  <c r="M21" i="23"/>
  <c r="F20" i="23"/>
  <c r="T20" i="23"/>
  <c r="M20" i="23"/>
  <c r="F19" i="23"/>
  <c r="T19" i="23"/>
  <c r="M19" i="23"/>
  <c r="F18" i="23"/>
  <c r="T18" i="23"/>
  <c r="M18" i="23"/>
  <c r="F17" i="23"/>
  <c r="T17" i="23"/>
  <c r="M17" i="23"/>
  <c r="F16" i="23"/>
  <c r="T16" i="23"/>
  <c r="M16" i="23"/>
  <c r="F15" i="23"/>
  <c r="T15" i="23"/>
  <c r="M15" i="23"/>
  <c r="F14" i="23"/>
  <c r="T14" i="23"/>
  <c r="M14" i="23"/>
  <c r="F13" i="23"/>
  <c r="T13" i="23"/>
  <c r="M13" i="23"/>
  <c r="F12" i="23"/>
  <c r="T12" i="23"/>
  <c r="M12" i="23"/>
  <c r="T11" i="23"/>
  <c r="M11" i="23"/>
  <c r="F11" i="23"/>
  <c r="H250" i="3"/>
  <c r="G250" i="3"/>
  <c r="F250" i="3"/>
  <c r="E250" i="3"/>
  <c r="D250" i="3"/>
  <c r="C250" i="3"/>
  <c r="B250" i="3"/>
  <c r="H11" i="23" l="1"/>
  <c r="Q33" i="23" l="1"/>
  <c r="Q34" i="23"/>
  <c r="Q35" i="23"/>
  <c r="Q36" i="23"/>
  <c r="Q37" i="23"/>
  <c r="Q38" i="23"/>
  <c r="Q39" i="23"/>
  <c r="Q40" i="23"/>
  <c r="Q41" i="23"/>
  <c r="Q42" i="23"/>
  <c r="Q32" i="23"/>
  <c r="J33" i="23"/>
  <c r="J34" i="23"/>
  <c r="J35" i="23"/>
  <c r="J36" i="23"/>
  <c r="J37" i="23"/>
  <c r="J38" i="23"/>
  <c r="J39" i="23"/>
  <c r="J40" i="23"/>
  <c r="J41" i="23"/>
  <c r="J42" i="23"/>
  <c r="J43" i="23"/>
  <c r="J32" i="23"/>
  <c r="C33" i="23"/>
  <c r="C34" i="23"/>
  <c r="C35" i="23"/>
  <c r="C36" i="23"/>
  <c r="C37" i="23"/>
  <c r="C38" i="23"/>
  <c r="C39" i="23"/>
  <c r="C40" i="23"/>
  <c r="C41" i="23"/>
  <c r="C42" i="23"/>
  <c r="C43" i="23"/>
  <c r="C32" i="23"/>
  <c r="Q170" i="8" l="1"/>
  <c r="Q171" i="8"/>
  <c r="Q172" i="8"/>
  <c r="Q173" i="8"/>
  <c r="Q174" i="8"/>
  <c r="Q175" i="8"/>
  <c r="Q176" i="8"/>
  <c r="Q177" i="8"/>
  <c r="Q178" i="8"/>
  <c r="Q179" i="8"/>
  <c r="Q180" i="8"/>
  <c r="Q169" i="8"/>
  <c r="L171" i="8"/>
  <c r="L172" i="8"/>
  <c r="L173" i="8"/>
  <c r="L174" i="8"/>
  <c r="L175" i="8"/>
  <c r="L176" i="8"/>
  <c r="L178" i="8"/>
  <c r="L179" i="8"/>
  <c r="L169" i="8"/>
  <c r="G170" i="8"/>
  <c r="G171" i="8"/>
  <c r="G172" i="8"/>
  <c r="G173" i="8"/>
  <c r="G174" i="8"/>
  <c r="G175" i="8"/>
  <c r="G176" i="8"/>
  <c r="G177" i="8"/>
  <c r="G178" i="8"/>
  <c r="G179" i="8"/>
  <c r="G180" i="8"/>
  <c r="G169" i="8"/>
  <c r="F107" i="22" l="1"/>
  <c r="Q43" i="23" s="1"/>
  <c r="L180" i="8" l="1"/>
  <c r="L170" i="8"/>
  <c r="L177" i="8" l="1"/>
  <c r="E448" i="4"/>
  <c r="F448" i="4"/>
  <c r="G448" i="4"/>
  <c r="H448" i="4"/>
  <c r="I448" i="4"/>
  <c r="J448" i="4"/>
  <c r="E398" i="4"/>
  <c r="F398" i="4"/>
  <c r="G398" i="4"/>
  <c r="H398" i="4"/>
  <c r="I398" i="4"/>
  <c r="S103" i="8" l="1"/>
  <c r="R57" i="8" s="1"/>
  <c r="S104" i="8"/>
  <c r="R58" i="8" s="1"/>
  <c r="S105" i="8"/>
  <c r="R59" i="8" s="1"/>
  <c r="S106" i="8"/>
  <c r="R60" i="8" s="1"/>
  <c r="S107" i="8"/>
  <c r="R61" i="8" s="1"/>
  <c r="S108" i="8"/>
  <c r="R62" i="8" s="1"/>
  <c r="S109" i="8"/>
  <c r="R63" i="8" s="1"/>
  <c r="S110" i="8"/>
  <c r="R64" i="8" s="1"/>
  <c r="S111" i="8"/>
  <c r="R65" i="8" s="1"/>
  <c r="S112" i="8"/>
  <c r="R66" i="8" s="1"/>
  <c r="S113" i="8"/>
  <c r="R67" i="8" s="1"/>
  <c r="S102" i="8"/>
  <c r="R56" i="8" s="1"/>
  <c r="O103" i="8"/>
  <c r="N57" i="8" s="1"/>
  <c r="O104" i="8"/>
  <c r="N58" i="8" s="1"/>
  <c r="O105" i="8"/>
  <c r="N59" i="8" s="1"/>
  <c r="O106" i="8"/>
  <c r="N60" i="8" s="1"/>
  <c r="O107" i="8"/>
  <c r="N61" i="8" s="1"/>
  <c r="O108" i="8"/>
  <c r="N62" i="8" s="1"/>
  <c r="O109" i="8"/>
  <c r="N63" i="8" s="1"/>
  <c r="O110" i="8"/>
  <c r="N64" i="8" s="1"/>
  <c r="O111" i="8"/>
  <c r="N65" i="8" s="1"/>
  <c r="O112" i="8"/>
  <c r="N66" i="8" s="1"/>
  <c r="O113" i="8"/>
  <c r="N67" i="8" s="1"/>
  <c r="O102" i="8"/>
  <c r="N56" i="8" s="1"/>
  <c r="K103" i="8"/>
  <c r="J57" i="8" s="1"/>
  <c r="K104" i="8"/>
  <c r="J58" i="8" s="1"/>
  <c r="K105" i="8"/>
  <c r="J59" i="8" s="1"/>
  <c r="K106" i="8"/>
  <c r="J60" i="8" s="1"/>
  <c r="K107" i="8"/>
  <c r="J61" i="8" s="1"/>
  <c r="K108" i="8"/>
  <c r="J62" i="8" s="1"/>
  <c r="K109" i="8"/>
  <c r="J63" i="8" s="1"/>
  <c r="K110" i="8"/>
  <c r="J64" i="8" s="1"/>
  <c r="K111" i="8"/>
  <c r="J65" i="8" s="1"/>
  <c r="K112" i="8"/>
  <c r="J66" i="8" s="1"/>
  <c r="K113" i="8"/>
  <c r="J67" i="8" s="1"/>
  <c r="K102" i="8"/>
  <c r="J56" i="8" s="1"/>
  <c r="G103" i="8"/>
  <c r="F57" i="8" s="1"/>
  <c r="I57" i="8" s="1"/>
  <c r="G104" i="8"/>
  <c r="F58" i="8" s="1"/>
  <c r="G105" i="8"/>
  <c r="F59" i="8" s="1"/>
  <c r="I59" i="8" s="1"/>
  <c r="G106" i="8"/>
  <c r="F60" i="8" s="1"/>
  <c r="I60" i="8" s="1"/>
  <c r="G107" i="8"/>
  <c r="F61" i="8" s="1"/>
  <c r="I61" i="8" s="1"/>
  <c r="G108" i="8"/>
  <c r="F62" i="8" s="1"/>
  <c r="I62" i="8" s="1"/>
  <c r="G109" i="8"/>
  <c r="F63" i="8" s="1"/>
  <c r="I63" i="8" s="1"/>
  <c r="G110" i="8"/>
  <c r="F64" i="8" s="1"/>
  <c r="I64" i="8" s="1"/>
  <c r="G111" i="8"/>
  <c r="F65" i="8" s="1"/>
  <c r="I65" i="8" s="1"/>
  <c r="G112" i="8"/>
  <c r="F66" i="8" s="1"/>
  <c r="I66" i="8" s="1"/>
  <c r="G113" i="8"/>
  <c r="F67" i="8" s="1"/>
  <c r="I67" i="8" s="1"/>
  <c r="G102" i="8"/>
  <c r="F56" i="8" s="1"/>
  <c r="I56" i="8" s="1"/>
  <c r="C103" i="8"/>
  <c r="B57" i="8" s="1"/>
  <c r="C104" i="8"/>
  <c r="B58" i="8" s="1"/>
  <c r="C105" i="8"/>
  <c r="B59" i="8" s="1"/>
  <c r="C106" i="8"/>
  <c r="B60" i="8" s="1"/>
  <c r="C107" i="8"/>
  <c r="B61" i="8" s="1"/>
  <c r="C108" i="8"/>
  <c r="B62" i="8" s="1"/>
  <c r="C109" i="8"/>
  <c r="B63" i="8" s="1"/>
  <c r="C110" i="8"/>
  <c r="B64" i="8" s="1"/>
  <c r="C111" i="8"/>
  <c r="B65" i="8" s="1"/>
  <c r="C112" i="8"/>
  <c r="B66" i="8" s="1"/>
  <c r="C113" i="8"/>
  <c r="B67" i="8" s="1"/>
  <c r="C102" i="8"/>
  <c r="B56" i="8" s="1"/>
  <c r="R69" i="8" l="1"/>
  <c r="B69" i="8"/>
  <c r="N69" i="8"/>
  <c r="J69" i="8"/>
  <c r="F69" i="8"/>
  <c r="I58" i="8"/>
  <c r="I69" i="8" s="1"/>
  <c r="K115" i="8"/>
  <c r="C115" i="8"/>
  <c r="G115" i="8"/>
  <c r="O115" i="8"/>
  <c r="S115" i="8"/>
  <c r="B78" i="2" l="1"/>
  <c r="C78" i="2"/>
  <c r="I78" i="2"/>
  <c r="B36" i="8" l="1"/>
  <c r="H109" i="22"/>
  <c r="G109" i="22"/>
  <c r="F109" i="22"/>
  <c r="E109" i="22"/>
  <c r="B109" i="22"/>
  <c r="J109" i="22"/>
  <c r="P109" i="22"/>
  <c r="N109" i="22"/>
  <c r="M109" i="22"/>
  <c r="K109" i="22"/>
  <c r="I109" i="22"/>
  <c r="D109" i="22"/>
  <c r="L109" i="22" l="1"/>
  <c r="C109" i="22"/>
  <c r="O109" i="22"/>
  <c r="L82" i="7"/>
  <c r="L83" i="7"/>
  <c r="L84" i="7"/>
  <c r="M84" i="7"/>
  <c r="L85" i="7"/>
  <c r="M85" i="7"/>
  <c r="K86" i="7"/>
  <c r="L86" i="7" s="1"/>
  <c r="M86" i="7"/>
  <c r="K87" i="7"/>
  <c r="L87" i="7" s="1"/>
  <c r="M87" i="7"/>
  <c r="K88" i="7"/>
  <c r="L88" i="7" s="1"/>
  <c r="M88" i="7"/>
  <c r="K89" i="7"/>
  <c r="L89" i="7" s="1"/>
  <c r="M89" i="7"/>
  <c r="I82" i="7"/>
  <c r="I83" i="7"/>
  <c r="H84" i="7"/>
  <c r="I84" i="7" s="1"/>
  <c r="H85" i="7"/>
  <c r="I85" i="7" s="1"/>
  <c r="H86" i="7"/>
  <c r="I86" i="7" s="1"/>
  <c r="J86" i="7"/>
  <c r="H87" i="7"/>
  <c r="I87" i="7" s="1"/>
  <c r="J87" i="7"/>
  <c r="H88" i="7"/>
  <c r="I88" i="7" s="1"/>
  <c r="J88" i="7"/>
  <c r="H89" i="7"/>
  <c r="I89" i="7" s="1"/>
  <c r="J89" i="7"/>
  <c r="F82" i="7"/>
  <c r="F83" i="7"/>
  <c r="G83" i="7"/>
  <c r="E84" i="7"/>
  <c r="F84" i="7" s="1"/>
  <c r="G84" i="7"/>
  <c r="E85" i="7"/>
  <c r="F85" i="7" s="1"/>
  <c r="G85" i="7"/>
  <c r="E86" i="7"/>
  <c r="F86" i="7" s="1"/>
  <c r="G86" i="7"/>
  <c r="E87" i="7"/>
  <c r="F87" i="7" s="1"/>
  <c r="G87" i="7"/>
  <c r="E88" i="7"/>
  <c r="F88" i="7" s="1"/>
  <c r="G88" i="7"/>
  <c r="E89" i="7"/>
  <c r="F89" i="7" s="1"/>
  <c r="G89" i="7"/>
  <c r="Z33" i="23" l="1"/>
  <c r="Z34" i="23"/>
  <c r="Z35" i="23"/>
  <c r="Z36" i="23"/>
  <c r="Z37" i="23"/>
  <c r="Z38" i="23"/>
  <c r="Z39" i="23"/>
  <c r="Z40" i="23"/>
  <c r="Z41" i="23"/>
  <c r="Z42" i="23"/>
  <c r="Z43" i="23"/>
  <c r="Z32" i="23"/>
  <c r="S33" i="23"/>
  <c r="S34" i="23"/>
  <c r="S35" i="23"/>
  <c r="S36" i="23"/>
  <c r="S37" i="23"/>
  <c r="S38" i="23"/>
  <c r="S39" i="23"/>
  <c r="S40" i="23"/>
  <c r="S41" i="23"/>
  <c r="S42" i="23"/>
  <c r="S43" i="23"/>
  <c r="S32" i="23"/>
  <c r="L33" i="23"/>
  <c r="L34" i="23"/>
  <c r="L35" i="23"/>
  <c r="L36" i="23"/>
  <c r="L37" i="23"/>
  <c r="L38" i="23"/>
  <c r="L39" i="23"/>
  <c r="L40" i="23"/>
  <c r="L41" i="23"/>
  <c r="L42" i="23"/>
  <c r="L43" i="23"/>
  <c r="L32" i="23"/>
  <c r="E33" i="23"/>
  <c r="E34" i="23"/>
  <c r="E35" i="23"/>
  <c r="E36" i="23"/>
  <c r="E37" i="23"/>
  <c r="E38" i="23"/>
  <c r="E39" i="23"/>
  <c r="E40" i="23"/>
  <c r="E41" i="23"/>
  <c r="E42" i="23"/>
  <c r="E43" i="23"/>
  <c r="E32" i="23"/>
  <c r="B130" i="22"/>
  <c r="L130" i="22"/>
  <c r="K130" i="22"/>
  <c r="J130" i="22"/>
  <c r="I130" i="22"/>
  <c r="H130" i="22"/>
  <c r="G130" i="22"/>
  <c r="F130" i="22"/>
  <c r="E130" i="22"/>
  <c r="D130" i="22"/>
  <c r="C130" i="22"/>
  <c r="X33" i="23"/>
  <c r="X34" i="23"/>
  <c r="X35" i="23"/>
  <c r="X36" i="23"/>
  <c r="X37" i="23"/>
  <c r="X38" i="23"/>
  <c r="X39" i="23"/>
  <c r="X40" i="23"/>
  <c r="X41" i="23"/>
  <c r="X42" i="23"/>
  <c r="X43" i="23"/>
  <c r="X32" i="23"/>
  <c r="AA45" i="23"/>
  <c r="AB12" i="23"/>
  <c r="AB33" i="23" s="1"/>
  <c r="AB34" i="23"/>
  <c r="AB35" i="23"/>
  <c r="AB36" i="23"/>
  <c r="AB37" i="23"/>
  <c r="AB38" i="23"/>
  <c r="AB39" i="23"/>
  <c r="AB40" i="23"/>
  <c r="AB41" i="23"/>
  <c r="AB42" i="23"/>
  <c r="AB43" i="23"/>
  <c r="AB11" i="23"/>
  <c r="AB32" i="23" s="1"/>
  <c r="U12" i="23"/>
  <c r="U33" i="23" s="1"/>
  <c r="U34" i="23"/>
  <c r="U35" i="23"/>
  <c r="U36" i="23"/>
  <c r="U37" i="23"/>
  <c r="U38" i="23"/>
  <c r="U39" i="23"/>
  <c r="U40" i="23"/>
  <c r="U41" i="23"/>
  <c r="U42" i="23"/>
  <c r="U43" i="23"/>
  <c r="U11" i="23"/>
  <c r="N12" i="23"/>
  <c r="N33" i="23" s="1"/>
  <c r="N34" i="23"/>
  <c r="N35" i="23"/>
  <c r="N36" i="23"/>
  <c r="N37" i="23"/>
  <c r="N38" i="23"/>
  <c r="N39" i="23"/>
  <c r="N40" i="23"/>
  <c r="N41" i="23"/>
  <c r="N42" i="23"/>
  <c r="N43" i="23"/>
  <c r="N11" i="23"/>
  <c r="Z12" i="23"/>
  <c r="Z13" i="23"/>
  <c r="Z14" i="23"/>
  <c r="Z15" i="23"/>
  <c r="Z16" i="23"/>
  <c r="Z17" i="23"/>
  <c r="Z18" i="23"/>
  <c r="Z19" i="23"/>
  <c r="Z20" i="23"/>
  <c r="Z21" i="23"/>
  <c r="Z22" i="23"/>
  <c r="Z11" i="23"/>
  <c r="S12" i="23"/>
  <c r="S13" i="23"/>
  <c r="S14" i="23"/>
  <c r="S15" i="23"/>
  <c r="S16" i="23"/>
  <c r="S17" i="23"/>
  <c r="S18" i="23"/>
  <c r="S19" i="23"/>
  <c r="S20" i="23"/>
  <c r="S21" i="23"/>
  <c r="S22" i="23"/>
  <c r="S11" i="23"/>
  <c r="L12" i="23"/>
  <c r="L13" i="23"/>
  <c r="L14" i="23"/>
  <c r="L15" i="23"/>
  <c r="L16" i="23"/>
  <c r="L17" i="23"/>
  <c r="L18" i="23"/>
  <c r="L19" i="23"/>
  <c r="L20" i="23"/>
  <c r="L21" i="23"/>
  <c r="L22" i="23"/>
  <c r="L11" i="23"/>
  <c r="Y12" i="23"/>
  <c r="Y13" i="23"/>
  <c r="Y14" i="23"/>
  <c r="Y15" i="23"/>
  <c r="Y16" i="23"/>
  <c r="Y17" i="23"/>
  <c r="Y18" i="23"/>
  <c r="Y19" i="23"/>
  <c r="Y20" i="23"/>
  <c r="Y21" i="23"/>
  <c r="Y22" i="23"/>
  <c r="Y11" i="23"/>
  <c r="X12" i="23"/>
  <c r="X13" i="23"/>
  <c r="X14" i="23"/>
  <c r="X15" i="23"/>
  <c r="X16" i="23"/>
  <c r="X17" i="23"/>
  <c r="X18" i="23"/>
  <c r="X19" i="23"/>
  <c r="X20" i="23"/>
  <c r="X21" i="23"/>
  <c r="X22" i="23"/>
  <c r="X11" i="23"/>
  <c r="Q12" i="23"/>
  <c r="Q13" i="23"/>
  <c r="Q14" i="23"/>
  <c r="Q15" i="23"/>
  <c r="Q16" i="23"/>
  <c r="Q17" i="23"/>
  <c r="Q18" i="23"/>
  <c r="Q19" i="23"/>
  <c r="Q20" i="23"/>
  <c r="Q21" i="23"/>
  <c r="Q22" i="23"/>
  <c r="J12" i="23"/>
  <c r="J13" i="23"/>
  <c r="J14" i="23"/>
  <c r="J15" i="23"/>
  <c r="J16" i="23"/>
  <c r="J17" i="23"/>
  <c r="J18" i="23"/>
  <c r="J19" i="23"/>
  <c r="J20" i="23"/>
  <c r="J21" i="23"/>
  <c r="J22" i="23"/>
  <c r="C12" i="23"/>
  <c r="C13" i="23"/>
  <c r="C14" i="23"/>
  <c r="C15" i="23"/>
  <c r="C16" i="23"/>
  <c r="C17" i="23"/>
  <c r="C18" i="23"/>
  <c r="C19" i="23"/>
  <c r="C20" i="23"/>
  <c r="C21" i="23"/>
  <c r="C22" i="23"/>
  <c r="AC11" i="23" l="1"/>
  <c r="W12" i="23" s="1"/>
  <c r="N32" i="23"/>
  <c r="N45" i="23" s="1"/>
  <c r="O11" i="23"/>
  <c r="I12" i="23" s="1"/>
  <c r="O12" i="23" s="1"/>
  <c r="U32" i="23"/>
  <c r="U45" i="23" s="1"/>
  <c r="V11" i="23"/>
  <c r="P12" i="23" s="1"/>
  <c r="AB45" i="23"/>
  <c r="S45" i="23"/>
  <c r="Z45" i="23"/>
  <c r="E45" i="23"/>
  <c r="C45" i="23"/>
  <c r="L45" i="23"/>
  <c r="X45" i="23"/>
  <c r="Q45" i="23"/>
  <c r="J45" i="23"/>
  <c r="G12" i="23"/>
  <c r="G33" i="23" s="1"/>
  <c r="G34" i="23"/>
  <c r="G35" i="23"/>
  <c r="G36" i="23"/>
  <c r="G37" i="23"/>
  <c r="G38" i="23"/>
  <c r="G39" i="23"/>
  <c r="G40" i="23"/>
  <c r="G41" i="23"/>
  <c r="G42" i="23"/>
  <c r="G43" i="23"/>
  <c r="G32" i="23"/>
  <c r="E12" i="23"/>
  <c r="E13" i="23"/>
  <c r="E14" i="23"/>
  <c r="E15" i="23"/>
  <c r="E16" i="23"/>
  <c r="E17" i="23"/>
  <c r="E18" i="23"/>
  <c r="E19" i="23"/>
  <c r="E20" i="23"/>
  <c r="E21" i="23"/>
  <c r="E22" i="23"/>
  <c r="E11" i="23"/>
  <c r="AB24" i="23"/>
  <c r="AA24" i="23"/>
  <c r="Z24" i="23"/>
  <c r="Y24" i="23"/>
  <c r="X24" i="23"/>
  <c r="U24" i="23"/>
  <c r="T24" i="23"/>
  <c r="S24" i="23"/>
  <c r="R24" i="23"/>
  <c r="Q24" i="23"/>
  <c r="N24" i="23"/>
  <c r="M24" i="23"/>
  <c r="L24" i="23"/>
  <c r="K24" i="23"/>
  <c r="J24" i="23"/>
  <c r="B3" i="23"/>
  <c r="A43" i="23" s="1"/>
  <c r="B2" i="23"/>
  <c r="AC12" i="23" l="1"/>
  <c r="W13" i="23" s="1"/>
  <c r="AC13" i="23" s="1"/>
  <c r="W14" i="23" s="1"/>
  <c r="AC14" i="23" s="1"/>
  <c r="V12" i="23"/>
  <c r="P13" i="23" s="1"/>
  <c r="V13" i="23" s="1"/>
  <c r="P14" i="23" s="1"/>
  <c r="V14" i="23" s="1"/>
  <c r="I13" i="23"/>
  <c r="O13" i="23" s="1"/>
  <c r="G45" i="23"/>
  <c r="B12" i="23"/>
  <c r="H12" i="23" s="1"/>
  <c r="F24" i="23"/>
  <c r="G24" i="23"/>
  <c r="D24" i="23"/>
  <c r="E24" i="23"/>
  <c r="A36" i="23"/>
  <c r="A11" i="23"/>
  <c r="A12" i="23"/>
  <c r="A20" i="23"/>
  <c r="A37" i="23"/>
  <c r="A38" i="23"/>
  <c r="A22" i="23"/>
  <c r="A15" i="23"/>
  <c r="A32" i="23"/>
  <c r="A40" i="23"/>
  <c r="A19" i="23"/>
  <c r="A13" i="23"/>
  <c r="A39" i="23"/>
  <c r="A16" i="23"/>
  <c r="A33" i="23"/>
  <c r="A41" i="23"/>
  <c r="A21" i="23"/>
  <c r="A14" i="23"/>
  <c r="A17" i="23"/>
  <c r="A34" i="23"/>
  <c r="A42" i="23"/>
  <c r="A18" i="23"/>
  <c r="A35" i="23"/>
  <c r="B13" i="23" l="1"/>
  <c r="I14" i="23"/>
  <c r="W15" i="23"/>
  <c r="AC15" i="23" s="1"/>
  <c r="P15" i="23"/>
  <c r="V15" i="23" s="1"/>
  <c r="O14" i="23" l="1"/>
  <c r="I15" i="23" s="1"/>
  <c r="O15" i="23" s="1"/>
  <c r="I16" i="23" s="1"/>
  <c r="O16" i="23" s="1"/>
  <c r="H13" i="23"/>
  <c r="B14" i="23" s="1"/>
  <c r="W16" i="23"/>
  <c r="AC16" i="23" s="1"/>
  <c r="H14" i="23" l="1"/>
  <c r="B15" i="23" s="1"/>
  <c r="H15" i="23" s="1"/>
  <c r="B16" i="23" s="1"/>
  <c r="H16" i="23" s="1"/>
  <c r="P16" i="23"/>
  <c r="V16" i="23" s="1"/>
  <c r="I17" i="23"/>
  <c r="O17" i="23" s="1"/>
  <c r="W17" i="23" l="1"/>
  <c r="AC17" i="23" s="1"/>
  <c r="I18" i="23"/>
  <c r="O18" i="23" s="1"/>
  <c r="B17" i="23"/>
  <c r="H17" i="23" s="1"/>
  <c r="W18" i="23" l="1"/>
  <c r="AC18" i="23" s="1"/>
  <c r="P17" i="23"/>
  <c r="V17" i="23" s="1"/>
  <c r="W19" i="23" l="1"/>
  <c r="AC19" i="23" s="1"/>
  <c r="I19" i="23"/>
  <c r="O19" i="23" s="1"/>
  <c r="B18" i="23"/>
  <c r="H18" i="23" s="1"/>
  <c r="W20" i="23" l="1"/>
  <c r="AC20" i="23" s="1"/>
  <c r="P18" i="23"/>
  <c r="V18" i="23" s="1"/>
  <c r="I20" i="23"/>
  <c r="O20" i="23" s="1"/>
  <c r="W21" i="23" l="1"/>
  <c r="AC21" i="23" s="1"/>
  <c r="P19" i="23"/>
  <c r="V19" i="23" s="1"/>
  <c r="I21" i="23"/>
  <c r="O21" i="23" s="1"/>
  <c r="B19" i="23"/>
  <c r="H19" i="23" s="1"/>
  <c r="W22" i="23" l="1"/>
  <c r="P20" i="23"/>
  <c r="V20" i="23" s="1"/>
  <c r="I22" i="23"/>
  <c r="O22" i="23" s="1"/>
  <c r="B20" i="23"/>
  <c r="H20" i="23" s="1"/>
  <c r="W24" i="23" l="1"/>
  <c r="AC22" i="23"/>
  <c r="AC24" i="23" s="1"/>
  <c r="I24" i="23"/>
  <c r="P21" i="23"/>
  <c r="V21" i="23" s="1"/>
  <c r="O24" i="23"/>
  <c r="B21" i="23"/>
  <c r="H21" i="23" s="1"/>
  <c r="P22" i="23" l="1"/>
  <c r="B22" i="23"/>
  <c r="H22" i="23" s="1"/>
  <c r="P24" i="23" l="1"/>
  <c r="V22" i="23"/>
  <c r="V24" i="23" s="1"/>
  <c r="B24" i="23"/>
  <c r="H24" i="23"/>
  <c r="U180" i="8" l="1"/>
  <c r="U179" i="8"/>
  <c r="U178" i="8"/>
  <c r="U177" i="8"/>
  <c r="U176" i="8"/>
  <c r="U175" i="8"/>
  <c r="U174" i="8"/>
  <c r="U173" i="8"/>
  <c r="U172" i="8"/>
  <c r="U171" i="8"/>
  <c r="U170" i="8"/>
  <c r="U169" i="8"/>
  <c r="P180" i="8"/>
  <c r="P179" i="8"/>
  <c r="P178" i="8"/>
  <c r="P177" i="8"/>
  <c r="P176" i="8"/>
  <c r="P175" i="8"/>
  <c r="P174" i="8"/>
  <c r="P173" i="8"/>
  <c r="P172" i="8"/>
  <c r="P171" i="8"/>
  <c r="P170" i="8"/>
  <c r="P169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F169" i="8"/>
  <c r="F173" i="8"/>
  <c r="F174" i="8"/>
  <c r="F175" i="8"/>
  <c r="F176" i="8"/>
  <c r="F177" i="8"/>
  <c r="F178" i="8"/>
  <c r="F179" i="8"/>
  <c r="F180" i="8"/>
  <c r="F172" i="8"/>
  <c r="F170" i="8"/>
  <c r="L87" i="22"/>
  <c r="K87" i="22"/>
  <c r="J87" i="22"/>
  <c r="I87" i="22"/>
  <c r="H87" i="22"/>
  <c r="G87" i="22"/>
  <c r="F87" i="22"/>
  <c r="E87" i="22"/>
  <c r="D87" i="22"/>
  <c r="C87" i="22"/>
  <c r="B87" i="22"/>
  <c r="L66" i="22"/>
  <c r="K66" i="22"/>
  <c r="J66" i="22"/>
  <c r="I66" i="22"/>
  <c r="H66" i="22"/>
  <c r="G66" i="22"/>
  <c r="F66" i="22"/>
  <c r="E66" i="22"/>
  <c r="D66" i="22"/>
  <c r="C66" i="22"/>
  <c r="B66" i="22"/>
  <c r="L45" i="22"/>
  <c r="K45" i="22"/>
  <c r="J45" i="22"/>
  <c r="I45" i="22"/>
  <c r="H45" i="22"/>
  <c r="G45" i="22"/>
  <c r="F45" i="22"/>
  <c r="E45" i="22"/>
  <c r="D45" i="22"/>
  <c r="C45" i="22"/>
  <c r="B45" i="22"/>
  <c r="L24" i="22"/>
  <c r="K24" i="22"/>
  <c r="J24" i="22"/>
  <c r="I24" i="22"/>
  <c r="H24" i="22"/>
  <c r="G24" i="22"/>
  <c r="F24" i="22"/>
  <c r="E24" i="22"/>
  <c r="D24" i="22"/>
  <c r="C24" i="22"/>
  <c r="B24" i="22"/>
  <c r="B3" i="22"/>
  <c r="B2" i="22"/>
  <c r="K182" i="8" l="1"/>
  <c r="U182" i="8"/>
  <c r="F171" i="8"/>
  <c r="P182" i="8"/>
  <c r="A101" i="22"/>
  <c r="A96" i="22"/>
  <c r="A103" i="22"/>
  <c r="A107" i="22"/>
  <c r="A100" i="22"/>
  <c r="A102" i="22"/>
  <c r="A106" i="22"/>
  <c r="A99" i="22"/>
  <c r="A105" i="22"/>
  <c r="A98" i="22"/>
  <c r="A97" i="22"/>
  <c r="A104" i="22"/>
  <c r="B182" i="8"/>
  <c r="A22" i="22"/>
  <c r="A123" i="22"/>
  <c r="A122" i="22"/>
  <c r="A119" i="22"/>
  <c r="A121" i="22"/>
  <c r="A128" i="22"/>
  <c r="A120" i="22"/>
  <c r="A127" i="22"/>
  <c r="A126" i="22"/>
  <c r="A118" i="22"/>
  <c r="A124" i="22"/>
  <c r="A125" i="22"/>
  <c r="A117" i="22"/>
  <c r="Q182" i="8"/>
  <c r="C182" i="8"/>
  <c r="G182" i="8"/>
  <c r="H182" i="8"/>
  <c r="R182" i="8"/>
  <c r="M182" i="8"/>
  <c r="L182" i="8"/>
  <c r="A60" i="22"/>
  <c r="A74" i="22"/>
  <c r="A82" i="22"/>
  <c r="A83" i="22"/>
  <c r="A38" i="22"/>
  <c r="A39" i="22"/>
  <c r="A32" i="22"/>
  <c r="A40" i="22"/>
  <c r="A54" i="22"/>
  <c r="A62" i="22"/>
  <c r="A76" i="22"/>
  <c r="A84" i="22"/>
  <c r="A75" i="22"/>
  <c r="A33" i="22"/>
  <c r="A41" i="22"/>
  <c r="A55" i="22"/>
  <c r="A63" i="22"/>
  <c r="A77" i="22"/>
  <c r="A85" i="22"/>
  <c r="A37" i="22"/>
  <c r="A53" i="22"/>
  <c r="A61" i="22"/>
  <c r="A34" i="22"/>
  <c r="A42" i="22"/>
  <c r="A56" i="22"/>
  <c r="A64" i="22"/>
  <c r="A78" i="22"/>
  <c r="A59" i="22"/>
  <c r="A81" i="22"/>
  <c r="A35" i="22"/>
  <c r="A43" i="22"/>
  <c r="A57" i="22"/>
  <c r="A79" i="22"/>
  <c r="A36" i="22"/>
  <c r="A58" i="22"/>
  <c r="A80" i="22"/>
  <c r="A15" i="22"/>
  <c r="A16" i="22"/>
  <c r="A17" i="22"/>
  <c r="A19" i="22"/>
  <c r="A12" i="22"/>
  <c r="A20" i="22"/>
  <c r="A18" i="22"/>
  <c r="A13" i="22"/>
  <c r="A21" i="22"/>
  <c r="A11" i="22"/>
  <c r="A14" i="22"/>
  <c r="F182" i="8" l="1"/>
  <c r="L79" i="7" l="1"/>
  <c r="L80" i="7"/>
  <c r="L81" i="7"/>
  <c r="L78" i="7"/>
  <c r="I79" i="7"/>
  <c r="I80" i="7"/>
  <c r="I81" i="7"/>
  <c r="I78" i="7"/>
  <c r="F79" i="7"/>
  <c r="F80" i="7"/>
  <c r="F81" i="7"/>
  <c r="B79" i="7"/>
  <c r="C79" i="7" s="1"/>
  <c r="D79" i="7"/>
  <c r="B80" i="7"/>
  <c r="C80" i="7" s="1"/>
  <c r="D80" i="7"/>
  <c r="B81" i="7"/>
  <c r="C81" i="7" s="1"/>
  <c r="D81" i="7"/>
  <c r="B82" i="7"/>
  <c r="C82" i="7" s="1"/>
  <c r="D82" i="7"/>
  <c r="B83" i="7"/>
  <c r="C83" i="7" s="1"/>
  <c r="D83" i="7"/>
  <c r="B84" i="7"/>
  <c r="C84" i="7" s="1"/>
  <c r="D84" i="7"/>
  <c r="B85" i="7"/>
  <c r="C85" i="7" s="1"/>
  <c r="D85" i="7"/>
  <c r="B86" i="7"/>
  <c r="C86" i="7" s="1"/>
  <c r="D86" i="7"/>
  <c r="B87" i="7"/>
  <c r="C87" i="7" s="1"/>
  <c r="D87" i="7"/>
  <c r="B88" i="7"/>
  <c r="C88" i="7" s="1"/>
  <c r="D88" i="7"/>
  <c r="B89" i="7"/>
  <c r="C89" i="7" s="1"/>
  <c r="D89" i="7"/>
  <c r="D78" i="7"/>
  <c r="B78" i="7"/>
  <c r="I242" i="6"/>
  <c r="H242" i="6"/>
  <c r="G242" i="6"/>
  <c r="F242" i="6"/>
  <c r="E242" i="6"/>
  <c r="J230" i="6"/>
  <c r="K230" i="6"/>
  <c r="J231" i="6"/>
  <c r="K231" i="6"/>
  <c r="J232" i="6"/>
  <c r="K232" i="6"/>
  <c r="J233" i="6"/>
  <c r="K233" i="6"/>
  <c r="J234" i="6"/>
  <c r="K234" i="6"/>
  <c r="J235" i="6"/>
  <c r="K235" i="6"/>
  <c r="K229" i="6"/>
  <c r="J229" i="6"/>
  <c r="C78" i="7" l="1"/>
  <c r="J242" i="6"/>
  <c r="I220" i="6"/>
  <c r="H220" i="6"/>
  <c r="G220" i="6"/>
  <c r="F220" i="6"/>
  <c r="E220" i="6"/>
  <c r="D220" i="6"/>
  <c r="B46" i="8" s="1"/>
  <c r="G46" i="8" s="1"/>
  <c r="C220" i="6"/>
  <c r="B220" i="6"/>
  <c r="B45" i="8" s="1"/>
  <c r="J208" i="6"/>
  <c r="K208" i="6"/>
  <c r="J209" i="6"/>
  <c r="K209" i="6"/>
  <c r="J210" i="6"/>
  <c r="K210" i="6"/>
  <c r="J211" i="6"/>
  <c r="K211" i="6"/>
  <c r="J212" i="6"/>
  <c r="K212" i="6"/>
  <c r="J213" i="6"/>
  <c r="K213" i="6"/>
  <c r="J214" i="6"/>
  <c r="K214" i="6"/>
  <c r="J215" i="6"/>
  <c r="K215" i="6"/>
  <c r="J216" i="6"/>
  <c r="K216" i="6"/>
  <c r="J217" i="6"/>
  <c r="K217" i="6"/>
  <c r="J218" i="6"/>
  <c r="K218" i="6"/>
  <c r="K207" i="6"/>
  <c r="J207" i="6"/>
  <c r="B157" i="8" l="1"/>
  <c r="B156" i="8"/>
  <c r="B153" i="8"/>
  <c r="B149" i="8"/>
  <c r="B159" i="8"/>
  <c r="B158" i="8"/>
  <c r="B150" i="8"/>
  <c r="B155" i="8"/>
  <c r="B154" i="8"/>
  <c r="G45" i="8"/>
  <c r="B152" i="8"/>
  <c r="B151" i="8"/>
  <c r="J220" i="6"/>
  <c r="B148" i="8"/>
  <c r="M57" i="7"/>
  <c r="M58" i="7"/>
  <c r="M59" i="7"/>
  <c r="M60" i="7"/>
  <c r="M61" i="7"/>
  <c r="M62" i="7"/>
  <c r="M63" i="7"/>
  <c r="M64" i="7"/>
  <c r="M65" i="7"/>
  <c r="M66" i="7"/>
  <c r="M67" i="7"/>
  <c r="M56" i="7"/>
  <c r="K57" i="7"/>
  <c r="L57" i="7" s="1"/>
  <c r="K58" i="7"/>
  <c r="L58" i="7" s="1"/>
  <c r="K59" i="7"/>
  <c r="L59" i="7" s="1"/>
  <c r="K60" i="7"/>
  <c r="L60" i="7" s="1"/>
  <c r="K61" i="7"/>
  <c r="L61" i="7" s="1"/>
  <c r="K62" i="7"/>
  <c r="L62" i="7" s="1"/>
  <c r="K63" i="7"/>
  <c r="L63" i="7" s="1"/>
  <c r="K64" i="7"/>
  <c r="L64" i="7" s="1"/>
  <c r="K65" i="7"/>
  <c r="L65" i="7" s="1"/>
  <c r="K66" i="7"/>
  <c r="L66" i="7" s="1"/>
  <c r="K67" i="7"/>
  <c r="L67" i="7" s="1"/>
  <c r="K56" i="7"/>
  <c r="L56" i="7" s="1"/>
  <c r="J57" i="7"/>
  <c r="J58" i="7"/>
  <c r="J59" i="7"/>
  <c r="J60" i="7"/>
  <c r="J61" i="7"/>
  <c r="J62" i="7"/>
  <c r="J63" i="7"/>
  <c r="J64" i="7"/>
  <c r="J65" i="7"/>
  <c r="J66" i="7"/>
  <c r="J67" i="7"/>
  <c r="J56" i="7"/>
  <c r="H57" i="7"/>
  <c r="I57" i="7" s="1"/>
  <c r="H58" i="7"/>
  <c r="I58" i="7" s="1"/>
  <c r="H59" i="7"/>
  <c r="I59" i="7" s="1"/>
  <c r="H60" i="7"/>
  <c r="I60" i="7" s="1"/>
  <c r="H61" i="7"/>
  <c r="I61" i="7" s="1"/>
  <c r="H62" i="7"/>
  <c r="I62" i="7" s="1"/>
  <c r="H63" i="7"/>
  <c r="I63" i="7" s="1"/>
  <c r="H64" i="7"/>
  <c r="I64" i="7" s="1"/>
  <c r="H65" i="7"/>
  <c r="H66" i="7"/>
  <c r="I66" i="7" s="1"/>
  <c r="H67" i="7"/>
  <c r="I67" i="7" s="1"/>
  <c r="H56" i="7"/>
  <c r="I56" i="7" s="1"/>
  <c r="D57" i="7"/>
  <c r="D58" i="7"/>
  <c r="D59" i="7"/>
  <c r="D60" i="7"/>
  <c r="D61" i="7"/>
  <c r="D62" i="7"/>
  <c r="D63" i="7"/>
  <c r="D64" i="7"/>
  <c r="D65" i="7"/>
  <c r="D66" i="7"/>
  <c r="D67" i="7"/>
  <c r="D56" i="7"/>
  <c r="G57" i="7"/>
  <c r="G58" i="7"/>
  <c r="G59" i="7"/>
  <c r="G60" i="7"/>
  <c r="G61" i="7"/>
  <c r="G62" i="7"/>
  <c r="G63" i="7"/>
  <c r="G64" i="7"/>
  <c r="G65" i="7"/>
  <c r="G66" i="7"/>
  <c r="G67" i="7"/>
  <c r="G56" i="7"/>
  <c r="E57" i="7"/>
  <c r="F57" i="7" s="1"/>
  <c r="E58" i="7"/>
  <c r="F58" i="7" s="1"/>
  <c r="E59" i="7"/>
  <c r="F59" i="7" s="1"/>
  <c r="E60" i="7"/>
  <c r="F60" i="7" s="1"/>
  <c r="E61" i="7"/>
  <c r="F61" i="7" s="1"/>
  <c r="E62" i="7"/>
  <c r="F62" i="7" s="1"/>
  <c r="E63" i="7"/>
  <c r="F63" i="7" s="1"/>
  <c r="E64" i="7"/>
  <c r="F64" i="7" s="1"/>
  <c r="E65" i="7"/>
  <c r="F65" i="7" s="1"/>
  <c r="E66" i="7"/>
  <c r="F66" i="7" s="1"/>
  <c r="E67" i="7"/>
  <c r="F67" i="7" s="1"/>
  <c r="E56" i="7"/>
  <c r="F56" i="7" s="1"/>
  <c r="B56" i="7"/>
  <c r="C56" i="7" s="1"/>
  <c r="B57" i="7"/>
  <c r="C57" i="7" s="1"/>
  <c r="B58" i="7"/>
  <c r="C58" i="7" s="1"/>
  <c r="B59" i="7"/>
  <c r="C59" i="7" s="1"/>
  <c r="B60" i="7"/>
  <c r="C60" i="7" s="1"/>
  <c r="B61" i="7"/>
  <c r="C61" i="7" s="1"/>
  <c r="B62" i="7"/>
  <c r="C62" i="7" s="1"/>
  <c r="B63" i="7"/>
  <c r="B64" i="7"/>
  <c r="C64" i="7" s="1"/>
  <c r="B65" i="7"/>
  <c r="C65" i="7" s="1"/>
  <c r="B66" i="7"/>
  <c r="C66" i="7" s="1"/>
  <c r="B67" i="7"/>
  <c r="C67" i="7" s="1"/>
  <c r="R78" i="8"/>
  <c r="R79" i="8"/>
  <c r="R80" i="8"/>
  <c r="R81" i="8"/>
  <c r="R82" i="8"/>
  <c r="R83" i="8"/>
  <c r="R84" i="8"/>
  <c r="R85" i="8"/>
  <c r="R86" i="8"/>
  <c r="R87" i="8"/>
  <c r="R88" i="8"/>
  <c r="R77" i="8"/>
  <c r="N69" i="7"/>
  <c r="F86" i="8" l="1"/>
  <c r="I86" i="8" s="1"/>
  <c r="F78" i="8"/>
  <c r="I78" i="8" s="1"/>
  <c r="F87" i="8"/>
  <c r="I87" i="8" s="1"/>
  <c r="F83" i="8"/>
  <c r="I83" i="8" s="1"/>
  <c r="F79" i="8"/>
  <c r="I79" i="8" s="1"/>
  <c r="F85" i="8"/>
  <c r="I85" i="8" s="1"/>
  <c r="F81" i="8"/>
  <c r="I81" i="8" s="1"/>
  <c r="F82" i="8"/>
  <c r="I82" i="8" s="1"/>
  <c r="F88" i="8"/>
  <c r="I88" i="8" s="1"/>
  <c r="F84" i="8"/>
  <c r="I84" i="8" s="1"/>
  <c r="F80" i="8"/>
  <c r="I80" i="8" s="1"/>
  <c r="Y32" i="23"/>
  <c r="AC32" i="23" s="1"/>
  <c r="W33" i="23" s="1"/>
  <c r="R102" i="8"/>
  <c r="Y42" i="23"/>
  <c r="R112" i="8"/>
  <c r="T112" i="8" s="1"/>
  <c r="Y40" i="23"/>
  <c r="R110" i="8"/>
  <c r="T110" i="8" s="1"/>
  <c r="Y38" i="23"/>
  <c r="R108" i="8"/>
  <c r="T108" i="8" s="1"/>
  <c r="Y36" i="23"/>
  <c r="R106" i="8"/>
  <c r="T106" i="8" s="1"/>
  <c r="Y34" i="23"/>
  <c r="R104" i="8"/>
  <c r="T104" i="8" s="1"/>
  <c r="Y43" i="23"/>
  <c r="R113" i="8"/>
  <c r="T113" i="8" s="1"/>
  <c r="Y41" i="23"/>
  <c r="R111" i="8"/>
  <c r="T111" i="8" s="1"/>
  <c r="Y39" i="23"/>
  <c r="R109" i="8"/>
  <c r="T109" i="8" s="1"/>
  <c r="Y37" i="23"/>
  <c r="R107" i="8"/>
  <c r="T107" i="8" s="1"/>
  <c r="Y35" i="23"/>
  <c r="R105" i="8"/>
  <c r="T105" i="8" s="1"/>
  <c r="Y33" i="23"/>
  <c r="R103" i="8"/>
  <c r="T103" i="8" s="1"/>
  <c r="J84" i="8"/>
  <c r="F77" i="8"/>
  <c r="I77" i="8" s="1"/>
  <c r="I90" i="8" s="1"/>
  <c r="J86" i="8"/>
  <c r="J79" i="8"/>
  <c r="I65" i="7"/>
  <c r="N86" i="8" s="1"/>
  <c r="N81" i="8"/>
  <c r="J77" i="8"/>
  <c r="J81" i="8"/>
  <c r="J80" i="8"/>
  <c r="N87" i="8"/>
  <c r="J78" i="8"/>
  <c r="N85" i="8"/>
  <c r="E69" i="7"/>
  <c r="J88" i="8"/>
  <c r="C63" i="7"/>
  <c r="N84" i="8" s="1"/>
  <c r="J87" i="8"/>
  <c r="N78" i="8"/>
  <c r="N82" i="8"/>
  <c r="J83" i="8"/>
  <c r="F69" i="7"/>
  <c r="N88" i="8"/>
  <c r="N79" i="8"/>
  <c r="L69" i="7"/>
  <c r="N80" i="8"/>
  <c r="M69" i="7"/>
  <c r="K69" i="7"/>
  <c r="J69" i="7"/>
  <c r="N77" i="8"/>
  <c r="N83" i="8"/>
  <c r="J82" i="8"/>
  <c r="H69" i="7"/>
  <c r="G69" i="7"/>
  <c r="J85" i="8"/>
  <c r="D69" i="7"/>
  <c r="B69" i="7"/>
  <c r="L412" i="4"/>
  <c r="G25" i="12"/>
  <c r="F25" i="12"/>
  <c r="E25" i="12"/>
  <c r="D25" i="12"/>
  <c r="S41" i="9"/>
  <c r="R41" i="9"/>
  <c r="Q41" i="9"/>
  <c r="P41" i="9"/>
  <c r="O41" i="9"/>
  <c r="F9" i="13" s="1"/>
  <c r="F13" i="13" s="1"/>
  <c r="N41" i="9"/>
  <c r="D9" i="13" s="1"/>
  <c r="D13" i="13" s="1"/>
  <c r="M41" i="9"/>
  <c r="C9" i="13" s="1"/>
  <c r="C13" i="13" s="1"/>
  <c r="L41" i="9"/>
  <c r="E9" i="13" s="1"/>
  <c r="E13" i="13" s="1"/>
  <c r="K41" i="9"/>
  <c r="J41" i="9"/>
  <c r="I41" i="9"/>
  <c r="H41" i="9"/>
  <c r="G41" i="9"/>
  <c r="F41" i="9"/>
  <c r="E41" i="9"/>
  <c r="C49" i="9" a="1"/>
  <c r="C49" i="9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B3" i="9"/>
  <c r="B2" i="9"/>
  <c r="O149" i="8"/>
  <c r="O150" i="8"/>
  <c r="O151" i="8"/>
  <c r="O152" i="8"/>
  <c r="O153" i="8"/>
  <c r="O154" i="8"/>
  <c r="O155" i="8"/>
  <c r="O156" i="8"/>
  <c r="O157" i="8"/>
  <c r="O158" i="8"/>
  <c r="O159" i="8"/>
  <c r="O148" i="8"/>
  <c r="N149" i="8"/>
  <c r="Q149" i="8" s="1"/>
  <c r="N150" i="8"/>
  <c r="Q150" i="8" s="1"/>
  <c r="N151" i="8"/>
  <c r="Q151" i="8" s="1"/>
  <c r="N152" i="8"/>
  <c r="Q152" i="8" s="1"/>
  <c r="N153" i="8"/>
  <c r="Q153" i="8" s="1"/>
  <c r="N154" i="8"/>
  <c r="Q154" i="8" s="1"/>
  <c r="N155" i="8"/>
  <c r="Q155" i="8" s="1"/>
  <c r="N156" i="8"/>
  <c r="Q156" i="8" s="1"/>
  <c r="N157" i="8"/>
  <c r="Q157" i="8" s="1"/>
  <c r="N158" i="8"/>
  <c r="Q158" i="8" s="1"/>
  <c r="N159" i="8"/>
  <c r="Q159" i="8" s="1"/>
  <c r="N148" i="8"/>
  <c r="Q148" i="8" s="1"/>
  <c r="K149" i="8"/>
  <c r="K150" i="8"/>
  <c r="K151" i="8"/>
  <c r="K152" i="8"/>
  <c r="K153" i="8"/>
  <c r="K154" i="8"/>
  <c r="K155" i="8"/>
  <c r="K156" i="8"/>
  <c r="K157" i="8"/>
  <c r="K158" i="8"/>
  <c r="K159" i="8"/>
  <c r="K148" i="8"/>
  <c r="J149" i="8"/>
  <c r="M149" i="8" s="1"/>
  <c r="J150" i="8"/>
  <c r="M150" i="8" s="1"/>
  <c r="J151" i="8"/>
  <c r="M151" i="8" s="1"/>
  <c r="J152" i="8"/>
  <c r="M152" i="8" s="1"/>
  <c r="J153" i="8"/>
  <c r="M153" i="8" s="1"/>
  <c r="J154" i="8"/>
  <c r="M154" i="8" s="1"/>
  <c r="J155" i="8"/>
  <c r="M155" i="8" s="1"/>
  <c r="J156" i="8"/>
  <c r="M156" i="8" s="1"/>
  <c r="J157" i="8"/>
  <c r="M157" i="8" s="1"/>
  <c r="J158" i="8"/>
  <c r="M158" i="8" s="1"/>
  <c r="J159" i="8"/>
  <c r="M159" i="8" s="1"/>
  <c r="J148" i="8"/>
  <c r="M148" i="8" s="1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G148" i="8"/>
  <c r="F148" i="8"/>
  <c r="I148" i="8" s="1"/>
  <c r="C149" i="8"/>
  <c r="E149" i="8" s="1"/>
  <c r="C150" i="8"/>
  <c r="E150" i="8" s="1"/>
  <c r="C151" i="8"/>
  <c r="E151" i="8" s="1"/>
  <c r="C152" i="8"/>
  <c r="E152" i="8" s="1"/>
  <c r="C153" i="8"/>
  <c r="E153" i="8" s="1"/>
  <c r="C154" i="8"/>
  <c r="E154" i="8" s="1"/>
  <c r="C155" i="8"/>
  <c r="E155" i="8" s="1"/>
  <c r="C156" i="8"/>
  <c r="E156" i="8" s="1"/>
  <c r="C157" i="8"/>
  <c r="E157" i="8" s="1"/>
  <c r="C158" i="8"/>
  <c r="E158" i="8" s="1"/>
  <c r="C159" i="8"/>
  <c r="E159" i="8" s="1"/>
  <c r="C148" i="8"/>
  <c r="E148" i="8" s="1"/>
  <c r="K138" i="8"/>
  <c r="K137" i="8"/>
  <c r="K136" i="8"/>
  <c r="K135" i="8"/>
  <c r="K134" i="8"/>
  <c r="K133" i="8"/>
  <c r="K132" i="8"/>
  <c r="K131" i="8"/>
  <c r="K130" i="8"/>
  <c r="K129" i="8"/>
  <c r="K128" i="8"/>
  <c r="K127" i="8"/>
  <c r="G138" i="8"/>
  <c r="G137" i="8"/>
  <c r="G136" i="8"/>
  <c r="G135" i="8"/>
  <c r="G134" i="8"/>
  <c r="G133" i="8"/>
  <c r="G132" i="8"/>
  <c r="G131" i="8"/>
  <c r="G130" i="8"/>
  <c r="G129" i="8"/>
  <c r="G128" i="8"/>
  <c r="G127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S78" i="8"/>
  <c r="U78" i="8" s="1"/>
  <c r="S79" i="8"/>
  <c r="U79" i="8" s="1"/>
  <c r="S80" i="8"/>
  <c r="S81" i="8"/>
  <c r="U81" i="8" s="1"/>
  <c r="S82" i="8"/>
  <c r="U82" i="8" s="1"/>
  <c r="S83" i="8"/>
  <c r="U83" i="8" s="1"/>
  <c r="S84" i="8"/>
  <c r="S85" i="8"/>
  <c r="U85" i="8" s="1"/>
  <c r="S86" i="8"/>
  <c r="U86" i="8" s="1"/>
  <c r="S87" i="8"/>
  <c r="U87" i="8" s="1"/>
  <c r="S88" i="8"/>
  <c r="U88" i="8" s="1"/>
  <c r="S77" i="8"/>
  <c r="U77" i="8" s="1"/>
  <c r="K78" i="8"/>
  <c r="K57" i="8" s="1"/>
  <c r="M57" i="8" s="1"/>
  <c r="O78" i="8"/>
  <c r="O57" i="8" s="1"/>
  <c r="Q57" i="8" s="1"/>
  <c r="K79" i="8"/>
  <c r="K58" i="8" s="1"/>
  <c r="M58" i="8" s="1"/>
  <c r="O79" i="8"/>
  <c r="O58" i="8" s="1"/>
  <c r="Q58" i="8" s="1"/>
  <c r="K80" i="8"/>
  <c r="K59" i="8" s="1"/>
  <c r="M59" i="8" s="1"/>
  <c r="O80" i="8"/>
  <c r="O59" i="8" s="1"/>
  <c r="K81" i="8"/>
  <c r="K60" i="8" s="1"/>
  <c r="M60" i="8" s="1"/>
  <c r="O81" i="8"/>
  <c r="O60" i="8" s="1"/>
  <c r="Q60" i="8" s="1"/>
  <c r="K82" i="8"/>
  <c r="K61" i="8" s="1"/>
  <c r="M61" i="8" s="1"/>
  <c r="O82" i="8"/>
  <c r="O61" i="8" s="1"/>
  <c r="Q61" i="8" s="1"/>
  <c r="K83" i="8"/>
  <c r="K62" i="8" s="1"/>
  <c r="M62" i="8" s="1"/>
  <c r="O83" i="8"/>
  <c r="O62" i="8" s="1"/>
  <c r="Q62" i="8" s="1"/>
  <c r="K84" i="8"/>
  <c r="K63" i="8" s="1"/>
  <c r="O84" i="8"/>
  <c r="O63" i="8" s="1"/>
  <c r="Q63" i="8" s="1"/>
  <c r="K85" i="8"/>
  <c r="K64" i="8" s="1"/>
  <c r="M64" i="8" s="1"/>
  <c r="O85" i="8"/>
  <c r="O64" i="8" s="1"/>
  <c r="Q64" i="8" s="1"/>
  <c r="K86" i="8"/>
  <c r="K65" i="8" s="1"/>
  <c r="M65" i="8" s="1"/>
  <c r="O86" i="8"/>
  <c r="O65" i="8" s="1"/>
  <c r="Q65" i="8" s="1"/>
  <c r="K87" i="8"/>
  <c r="K66" i="8" s="1"/>
  <c r="M66" i="8" s="1"/>
  <c r="O87" i="8"/>
  <c r="O66" i="8" s="1"/>
  <c r="Q66" i="8" s="1"/>
  <c r="K88" i="8"/>
  <c r="K67" i="8" s="1"/>
  <c r="M67" i="8" s="1"/>
  <c r="O88" i="8"/>
  <c r="O67" i="8" s="1"/>
  <c r="Q67" i="8" s="1"/>
  <c r="O77" i="8"/>
  <c r="O56" i="8" s="1"/>
  <c r="Q56" i="8" s="1"/>
  <c r="K77" i="8"/>
  <c r="K56" i="8" s="1"/>
  <c r="M56" i="8" s="1"/>
  <c r="C78" i="8"/>
  <c r="C57" i="8" s="1"/>
  <c r="E57" i="8" s="1"/>
  <c r="C79" i="8"/>
  <c r="C58" i="8" s="1"/>
  <c r="E58" i="8" s="1"/>
  <c r="C80" i="8"/>
  <c r="C59" i="8" s="1"/>
  <c r="E59" i="8" s="1"/>
  <c r="C81" i="8"/>
  <c r="C60" i="8" s="1"/>
  <c r="E60" i="8" s="1"/>
  <c r="C82" i="8"/>
  <c r="C61" i="8" s="1"/>
  <c r="E61" i="8" s="1"/>
  <c r="C83" i="8"/>
  <c r="C62" i="8" s="1"/>
  <c r="E62" i="8" s="1"/>
  <c r="C84" i="8"/>
  <c r="C63" i="8" s="1"/>
  <c r="E63" i="8" s="1"/>
  <c r="C85" i="8"/>
  <c r="C64" i="8" s="1"/>
  <c r="E64" i="8" s="1"/>
  <c r="C86" i="8"/>
  <c r="C65" i="8" s="1"/>
  <c r="E65" i="8" s="1"/>
  <c r="C87" i="8"/>
  <c r="C66" i="8" s="1"/>
  <c r="E66" i="8" s="1"/>
  <c r="C88" i="8"/>
  <c r="C67" i="8" s="1"/>
  <c r="E67" i="8" s="1"/>
  <c r="C77" i="8"/>
  <c r="C56" i="8" s="1"/>
  <c r="G15" i="8"/>
  <c r="G16" i="8"/>
  <c r="B3" i="8"/>
  <c r="B2" i="8"/>
  <c r="M91" i="7"/>
  <c r="L91" i="7"/>
  <c r="K91" i="7"/>
  <c r="J91" i="7"/>
  <c r="I91" i="7"/>
  <c r="H91" i="7"/>
  <c r="G91" i="7"/>
  <c r="F91" i="7"/>
  <c r="E91" i="7"/>
  <c r="D91" i="7"/>
  <c r="C91" i="7"/>
  <c r="B91" i="7"/>
  <c r="N47" i="7"/>
  <c r="R94" i="8" s="1"/>
  <c r="M47" i="7"/>
  <c r="L47" i="7"/>
  <c r="K47" i="7"/>
  <c r="J47" i="7"/>
  <c r="I47" i="7"/>
  <c r="H47" i="7"/>
  <c r="G47" i="7"/>
  <c r="F47" i="7"/>
  <c r="E47" i="7"/>
  <c r="D47" i="7"/>
  <c r="C47" i="7"/>
  <c r="B47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B3" i="7"/>
  <c r="B2" i="7"/>
  <c r="K186" i="6"/>
  <c r="K187" i="6"/>
  <c r="K188" i="6"/>
  <c r="K189" i="6"/>
  <c r="K190" i="6"/>
  <c r="K191" i="6"/>
  <c r="K192" i="6"/>
  <c r="K193" i="6"/>
  <c r="K194" i="6"/>
  <c r="K195" i="6"/>
  <c r="K196" i="6"/>
  <c r="K185" i="6"/>
  <c r="J198" i="6"/>
  <c r="I198" i="6"/>
  <c r="H198" i="6"/>
  <c r="G198" i="6"/>
  <c r="F198" i="6"/>
  <c r="E198" i="6"/>
  <c r="D198" i="6"/>
  <c r="C198" i="6"/>
  <c r="B198" i="6"/>
  <c r="D242" i="6"/>
  <c r="C242" i="6"/>
  <c r="B242" i="6"/>
  <c r="I176" i="6"/>
  <c r="H176" i="6"/>
  <c r="G176" i="6"/>
  <c r="F176" i="6"/>
  <c r="E176" i="6"/>
  <c r="D176" i="6"/>
  <c r="C176" i="6"/>
  <c r="B176" i="6"/>
  <c r="I154" i="6"/>
  <c r="H154" i="6"/>
  <c r="G154" i="6"/>
  <c r="F154" i="6"/>
  <c r="E154" i="6"/>
  <c r="D154" i="6"/>
  <c r="C154" i="6"/>
  <c r="B154" i="6"/>
  <c r="F132" i="6"/>
  <c r="E132" i="6"/>
  <c r="D132" i="6"/>
  <c r="C132" i="6"/>
  <c r="B132" i="6"/>
  <c r="G130" i="6"/>
  <c r="J138" i="8" s="1"/>
  <c r="G129" i="6"/>
  <c r="J137" i="8" s="1"/>
  <c r="G128" i="6"/>
  <c r="J136" i="8" s="1"/>
  <c r="G127" i="6"/>
  <c r="J135" i="8" s="1"/>
  <c r="G126" i="6"/>
  <c r="J134" i="8" s="1"/>
  <c r="G125" i="6"/>
  <c r="J133" i="8" s="1"/>
  <c r="G124" i="6"/>
  <c r="J132" i="8" s="1"/>
  <c r="G123" i="6"/>
  <c r="J131" i="8" s="1"/>
  <c r="G122" i="6"/>
  <c r="J130" i="8" s="1"/>
  <c r="G121" i="6"/>
  <c r="J129" i="8" s="1"/>
  <c r="G120" i="6"/>
  <c r="J128" i="8" s="1"/>
  <c r="G119" i="6"/>
  <c r="J127" i="8" s="1"/>
  <c r="F109" i="6"/>
  <c r="E109" i="6"/>
  <c r="D109" i="6"/>
  <c r="C109" i="6"/>
  <c r="B109" i="6"/>
  <c r="G107" i="6"/>
  <c r="B138" i="8" s="1"/>
  <c r="G106" i="6"/>
  <c r="B137" i="8" s="1"/>
  <c r="G105" i="6"/>
  <c r="B136" i="8" s="1"/>
  <c r="G104" i="6"/>
  <c r="B135" i="8" s="1"/>
  <c r="G103" i="6"/>
  <c r="B134" i="8" s="1"/>
  <c r="G102" i="6"/>
  <c r="B133" i="8" s="1"/>
  <c r="G101" i="6"/>
  <c r="B132" i="8" s="1"/>
  <c r="G100" i="6"/>
  <c r="B131" i="8" s="1"/>
  <c r="G99" i="6"/>
  <c r="B130" i="8" s="1"/>
  <c r="G98" i="6"/>
  <c r="B129" i="8" s="1"/>
  <c r="G97" i="6"/>
  <c r="B128" i="8" s="1"/>
  <c r="G96" i="6"/>
  <c r="B127" i="8" s="1"/>
  <c r="E85" i="6"/>
  <c r="E75" i="6"/>
  <c r="E76" i="6"/>
  <c r="E77" i="6"/>
  <c r="E78" i="6"/>
  <c r="E79" i="6"/>
  <c r="E80" i="6"/>
  <c r="E81" i="6"/>
  <c r="E82" i="6"/>
  <c r="E83" i="6"/>
  <c r="E84" i="6"/>
  <c r="E74" i="6"/>
  <c r="D87" i="6"/>
  <c r="C87" i="6"/>
  <c r="C8" i="11" s="1"/>
  <c r="B87" i="6"/>
  <c r="G66" i="6"/>
  <c r="E66" i="6"/>
  <c r="D66" i="6"/>
  <c r="C66" i="6"/>
  <c r="B66" i="6"/>
  <c r="F64" i="6"/>
  <c r="F138" i="8" s="1"/>
  <c r="F63" i="6"/>
  <c r="F137" i="8" s="1"/>
  <c r="F62" i="6"/>
  <c r="F136" i="8" s="1"/>
  <c r="F61" i="6"/>
  <c r="F135" i="8" s="1"/>
  <c r="F60" i="6"/>
  <c r="F134" i="8" s="1"/>
  <c r="F59" i="6"/>
  <c r="F133" i="8" s="1"/>
  <c r="F58" i="6"/>
  <c r="F132" i="8" s="1"/>
  <c r="F57" i="6"/>
  <c r="F131" i="8" s="1"/>
  <c r="F56" i="6"/>
  <c r="F130" i="8" s="1"/>
  <c r="F55" i="6"/>
  <c r="F129" i="8" s="1"/>
  <c r="F54" i="6"/>
  <c r="F128" i="8" s="1"/>
  <c r="F53" i="6"/>
  <c r="F127" i="8" s="1"/>
  <c r="E45" i="6"/>
  <c r="D45" i="6"/>
  <c r="C45" i="6"/>
  <c r="B45" i="6"/>
  <c r="F43" i="6"/>
  <c r="F42" i="6"/>
  <c r="F41" i="6"/>
  <c r="F40" i="6"/>
  <c r="F39" i="6"/>
  <c r="F38" i="6"/>
  <c r="F37" i="6"/>
  <c r="F36" i="6"/>
  <c r="F35" i="6"/>
  <c r="F34" i="6"/>
  <c r="F33" i="6"/>
  <c r="F32" i="6"/>
  <c r="E24" i="6"/>
  <c r="D24" i="6"/>
  <c r="C24" i="6"/>
  <c r="B24" i="6"/>
  <c r="F22" i="6"/>
  <c r="F21" i="6"/>
  <c r="F20" i="6"/>
  <c r="B86" i="8" s="1"/>
  <c r="E86" i="8" s="1"/>
  <c r="F19" i="6"/>
  <c r="F18" i="6"/>
  <c r="F17" i="6"/>
  <c r="F16" i="6"/>
  <c r="B82" i="8" s="1"/>
  <c r="F15" i="6"/>
  <c r="B81" i="8" s="1"/>
  <c r="E81" i="8" s="1"/>
  <c r="F14" i="6"/>
  <c r="B80" i="8" s="1"/>
  <c r="F13" i="6"/>
  <c r="F12" i="6"/>
  <c r="B78" i="8" s="1"/>
  <c r="E78" i="8" s="1"/>
  <c r="F11" i="6"/>
  <c r="B3" i="6"/>
  <c r="A63" i="6" s="1"/>
  <c r="B2" i="6"/>
  <c r="S63" i="8" l="1"/>
  <c r="T63" i="8" s="1"/>
  <c r="U84" i="8"/>
  <c r="S59" i="8"/>
  <c r="T59" i="8" s="1"/>
  <c r="U80" i="8"/>
  <c r="I158" i="8"/>
  <c r="I156" i="8"/>
  <c r="I152" i="8"/>
  <c r="I150" i="8"/>
  <c r="M84" i="8"/>
  <c r="M88" i="8"/>
  <c r="Q85" i="8"/>
  <c r="Q83" i="8"/>
  <c r="Q80" i="8"/>
  <c r="M80" i="8"/>
  <c r="I151" i="8"/>
  <c r="Q84" i="8"/>
  <c r="M86" i="8"/>
  <c r="Q161" i="8"/>
  <c r="M78" i="8"/>
  <c r="E80" i="8"/>
  <c r="I154" i="8"/>
  <c r="Q79" i="8"/>
  <c r="Q87" i="8"/>
  <c r="I155" i="8"/>
  <c r="Q88" i="8"/>
  <c r="M161" i="8"/>
  <c r="E82" i="8"/>
  <c r="I159" i="8"/>
  <c r="I153" i="8"/>
  <c r="M81" i="8"/>
  <c r="M83" i="8"/>
  <c r="M77" i="8"/>
  <c r="M85" i="8"/>
  <c r="M82" i="8"/>
  <c r="Q82" i="8"/>
  <c r="Q81" i="8"/>
  <c r="Q78" i="8"/>
  <c r="I149" i="8"/>
  <c r="Q86" i="8"/>
  <c r="I157" i="8"/>
  <c r="Q77" i="8"/>
  <c r="M87" i="8"/>
  <c r="M79" i="8"/>
  <c r="F112" i="8"/>
  <c r="I112" i="8" s="1"/>
  <c r="D42" i="23"/>
  <c r="D35" i="23"/>
  <c r="F105" i="8"/>
  <c r="I105" i="8" s="1"/>
  <c r="S65" i="8"/>
  <c r="T65" i="8" s="1"/>
  <c r="S61" i="8"/>
  <c r="T61" i="8" s="1"/>
  <c r="O69" i="8"/>
  <c r="Q59" i="8"/>
  <c r="Q69" i="8" s="1"/>
  <c r="S66" i="8"/>
  <c r="T66" i="8" s="1"/>
  <c r="S62" i="8"/>
  <c r="T62" i="8" s="1"/>
  <c r="S58" i="8"/>
  <c r="T58" i="8" s="1"/>
  <c r="D43" i="23"/>
  <c r="K69" i="8"/>
  <c r="M63" i="8"/>
  <c r="M69" i="8" s="1"/>
  <c r="S57" i="8"/>
  <c r="T57" i="8" s="1"/>
  <c r="C69" i="8"/>
  <c r="E56" i="8"/>
  <c r="E69" i="8" s="1"/>
  <c r="S56" i="8"/>
  <c r="S64" i="8"/>
  <c r="T64" i="8" s="1"/>
  <c r="S60" i="8"/>
  <c r="T60" i="8" s="1"/>
  <c r="S67" i="8"/>
  <c r="T67" i="8" s="1"/>
  <c r="F113" i="8"/>
  <c r="I113" i="8" s="1"/>
  <c r="K48" i="7"/>
  <c r="F94" i="8"/>
  <c r="B77" i="8"/>
  <c r="B79" i="8"/>
  <c r="H48" i="7"/>
  <c r="E48" i="7"/>
  <c r="J94" i="8"/>
  <c r="K26" i="7"/>
  <c r="E26" i="7"/>
  <c r="Y45" i="23"/>
  <c r="B83" i="8"/>
  <c r="E83" i="8" s="1"/>
  <c r="B48" i="7"/>
  <c r="H26" i="7"/>
  <c r="B88" i="8"/>
  <c r="E88" i="8" s="1"/>
  <c r="B87" i="8"/>
  <c r="E87" i="8" s="1"/>
  <c r="B85" i="8"/>
  <c r="E85" i="8" s="1"/>
  <c r="B84" i="8"/>
  <c r="E84" i="8" s="1"/>
  <c r="B26" i="7"/>
  <c r="AC33" i="23"/>
  <c r="W34" i="23" s="1"/>
  <c r="AC34" i="23" s="1"/>
  <c r="W35" i="23" s="1"/>
  <c r="AC35" i="23" s="1"/>
  <c r="W36" i="23" s="1"/>
  <c r="AC36" i="23" s="1"/>
  <c r="W37" i="23" s="1"/>
  <c r="AC37" i="23" s="1"/>
  <c r="W38" i="23" s="1"/>
  <c r="AC38" i="23" s="1"/>
  <c r="W39" i="23" s="1"/>
  <c r="AC39" i="23" s="1"/>
  <c r="W40" i="23" s="1"/>
  <c r="AC40" i="23" s="1"/>
  <c r="W41" i="23" s="1"/>
  <c r="AC41" i="23" s="1"/>
  <c r="W42" i="23" s="1"/>
  <c r="AC42" i="23" s="1"/>
  <c r="W43" i="23" s="1"/>
  <c r="AC43" i="23" s="1"/>
  <c r="AC45" i="23" s="1"/>
  <c r="K37" i="23"/>
  <c r="J107" i="8"/>
  <c r="M107" i="8" s="1"/>
  <c r="D40" i="23"/>
  <c r="F110" i="8"/>
  <c r="I110" i="8" s="1"/>
  <c r="R43" i="23"/>
  <c r="N113" i="8"/>
  <c r="Q113" i="8" s="1"/>
  <c r="K38" i="23"/>
  <c r="J108" i="8"/>
  <c r="M108" i="8" s="1"/>
  <c r="R33" i="23"/>
  <c r="N103" i="8"/>
  <c r="Q103" i="8" s="1"/>
  <c r="R39" i="23"/>
  <c r="N109" i="8"/>
  <c r="Q109" i="8" s="1"/>
  <c r="K33" i="23"/>
  <c r="J103" i="8"/>
  <c r="M103" i="8" s="1"/>
  <c r="K35" i="23"/>
  <c r="J105" i="8"/>
  <c r="M105" i="8" s="1"/>
  <c r="K32" i="23"/>
  <c r="J102" i="8"/>
  <c r="D33" i="23"/>
  <c r="F103" i="8"/>
  <c r="I103" i="8" s="1"/>
  <c r="R36" i="23"/>
  <c r="N106" i="8"/>
  <c r="Q106" i="8" s="1"/>
  <c r="K34" i="23"/>
  <c r="J104" i="8"/>
  <c r="M104" i="8" s="1"/>
  <c r="D38" i="23"/>
  <c r="F108" i="8"/>
  <c r="I108" i="8" s="1"/>
  <c r="D36" i="23"/>
  <c r="F106" i="8"/>
  <c r="I106" i="8" s="1"/>
  <c r="D39" i="23"/>
  <c r="F109" i="8"/>
  <c r="I109" i="8" s="1"/>
  <c r="R115" i="8"/>
  <c r="T102" i="8"/>
  <c r="T115" i="8" s="1"/>
  <c r="K40" i="23"/>
  <c r="J110" i="8"/>
  <c r="M110" i="8" s="1"/>
  <c r="R38" i="23"/>
  <c r="N108" i="8"/>
  <c r="Q108" i="8" s="1"/>
  <c r="R32" i="23"/>
  <c r="N102" i="8"/>
  <c r="Q102" i="8" s="1"/>
  <c r="R35" i="23"/>
  <c r="N105" i="8"/>
  <c r="Q105" i="8" s="1"/>
  <c r="R34" i="23"/>
  <c r="N104" i="8"/>
  <c r="R37" i="23"/>
  <c r="N107" i="8"/>
  <c r="Q107" i="8" s="1"/>
  <c r="K42" i="23"/>
  <c r="J112" i="8"/>
  <c r="M112" i="8" s="1"/>
  <c r="K43" i="23"/>
  <c r="J113" i="8"/>
  <c r="M113" i="8" s="1"/>
  <c r="R40" i="23"/>
  <c r="N110" i="8"/>
  <c r="Q110" i="8" s="1"/>
  <c r="R42" i="23"/>
  <c r="N112" i="8"/>
  <c r="Q112" i="8" s="1"/>
  <c r="K36" i="23"/>
  <c r="J106" i="8"/>
  <c r="M106" i="8" s="1"/>
  <c r="D37" i="23"/>
  <c r="F107" i="8"/>
  <c r="I107" i="8" s="1"/>
  <c r="D41" i="23"/>
  <c r="F111" i="8"/>
  <c r="I111" i="8" s="1"/>
  <c r="R41" i="23"/>
  <c r="N111" i="8"/>
  <c r="Q111" i="8" s="1"/>
  <c r="K41" i="23"/>
  <c r="J111" i="8"/>
  <c r="M111" i="8" s="1"/>
  <c r="D32" i="23"/>
  <c r="F102" i="8"/>
  <c r="I102" i="8" s="1"/>
  <c r="K39" i="23"/>
  <c r="J109" i="8"/>
  <c r="M109" i="8" s="1"/>
  <c r="D34" i="23"/>
  <c r="F104" i="8"/>
  <c r="A113" i="8"/>
  <c r="A111" i="8"/>
  <c r="A109" i="8"/>
  <c r="A107" i="8"/>
  <c r="A105" i="8"/>
  <c r="A103" i="8"/>
  <c r="A112" i="8"/>
  <c r="A110" i="8"/>
  <c r="A108" i="8"/>
  <c r="A106" i="8"/>
  <c r="A104" i="8"/>
  <c r="A102" i="8"/>
  <c r="M127" i="8"/>
  <c r="M129" i="8"/>
  <c r="M135" i="8"/>
  <c r="M137" i="8"/>
  <c r="N94" i="8"/>
  <c r="F49" i="9"/>
  <c r="A151" i="8"/>
  <c r="A180" i="8"/>
  <c r="A176" i="8"/>
  <c r="A172" i="8"/>
  <c r="A177" i="8"/>
  <c r="A173" i="8"/>
  <c r="A169" i="8"/>
  <c r="A179" i="8"/>
  <c r="A175" i="8"/>
  <c r="A171" i="8"/>
  <c r="A178" i="8"/>
  <c r="A174" i="8"/>
  <c r="A170" i="8"/>
  <c r="M132" i="8"/>
  <c r="B105" i="8"/>
  <c r="E105" i="8" s="1"/>
  <c r="C32" i="8"/>
  <c r="L49" i="9"/>
  <c r="M49" i="9"/>
  <c r="H49" i="9"/>
  <c r="P49" i="9"/>
  <c r="E49" i="9"/>
  <c r="I49" i="9"/>
  <c r="Q49" i="9"/>
  <c r="J49" i="9"/>
  <c r="R49" i="9"/>
  <c r="K49" i="9"/>
  <c r="S49" i="9"/>
  <c r="C50" i="9" a="1"/>
  <c r="C50" i="9" s="1"/>
  <c r="N49" i="9"/>
  <c r="G49" i="9"/>
  <c r="O49" i="9"/>
  <c r="A20" i="7"/>
  <c r="A60" i="7"/>
  <c r="A65" i="7"/>
  <c r="A57" i="7"/>
  <c r="A62" i="7"/>
  <c r="A67" i="7"/>
  <c r="A59" i="7"/>
  <c r="A66" i="7"/>
  <c r="A58" i="7"/>
  <c r="A64" i="7"/>
  <c r="A56" i="7"/>
  <c r="A63" i="7"/>
  <c r="A61" i="7"/>
  <c r="M134" i="8"/>
  <c r="E133" i="8"/>
  <c r="M133" i="8"/>
  <c r="A87" i="8"/>
  <c r="A78" i="8"/>
  <c r="K140" i="8"/>
  <c r="A79" i="8"/>
  <c r="A154" i="8"/>
  <c r="A156" i="8"/>
  <c r="A88" i="8"/>
  <c r="C90" i="8"/>
  <c r="A133" i="8"/>
  <c r="A135" i="8"/>
  <c r="M131" i="8"/>
  <c r="A80" i="8"/>
  <c r="A127" i="8"/>
  <c r="A136" i="8"/>
  <c r="A148" i="8"/>
  <c r="A157" i="8"/>
  <c r="A81" i="8"/>
  <c r="A128" i="8"/>
  <c r="A137" i="8"/>
  <c r="A149" i="8"/>
  <c r="A158" i="8"/>
  <c r="M130" i="8"/>
  <c r="A82" i="8"/>
  <c r="S90" i="8"/>
  <c r="A129" i="8"/>
  <c r="A138" i="8"/>
  <c r="A150" i="8"/>
  <c r="A159" i="8"/>
  <c r="M138" i="8"/>
  <c r="A83" i="8"/>
  <c r="A130" i="8"/>
  <c r="C161" i="8"/>
  <c r="A155" i="8"/>
  <c r="A134" i="8"/>
  <c r="A84" i="8"/>
  <c r="A85" i="8"/>
  <c r="A131" i="8"/>
  <c r="A152" i="8"/>
  <c r="O161" i="8"/>
  <c r="M128" i="8"/>
  <c r="M136" i="8"/>
  <c r="A77" i="8"/>
  <c r="A86" i="8"/>
  <c r="A132" i="8"/>
  <c r="A153" i="8"/>
  <c r="E134" i="8"/>
  <c r="I133" i="8"/>
  <c r="E129" i="8"/>
  <c r="E137" i="8"/>
  <c r="I69" i="7"/>
  <c r="I136" i="8"/>
  <c r="I129" i="8"/>
  <c r="I137" i="8"/>
  <c r="I128" i="8"/>
  <c r="I138" i="8"/>
  <c r="I130" i="8"/>
  <c r="E132" i="8"/>
  <c r="I132" i="8"/>
  <c r="E131" i="8"/>
  <c r="C14" i="11"/>
  <c r="I134" i="8"/>
  <c r="I127" i="8"/>
  <c r="I135" i="8"/>
  <c r="C69" i="7"/>
  <c r="E128" i="8"/>
  <c r="E136" i="8"/>
  <c r="E130" i="8"/>
  <c r="E138" i="8"/>
  <c r="A188" i="6"/>
  <c r="A196" i="6"/>
  <c r="E135" i="8"/>
  <c r="G140" i="8"/>
  <c r="I131" i="8"/>
  <c r="A189" i="6"/>
  <c r="C12" i="8"/>
  <c r="A190" i="6"/>
  <c r="C13" i="8"/>
  <c r="A191" i="6"/>
  <c r="A192" i="6"/>
  <c r="A185" i="6"/>
  <c r="A193" i="6"/>
  <c r="A186" i="6"/>
  <c r="A194" i="6"/>
  <c r="K220" i="6"/>
  <c r="A187" i="6"/>
  <c r="A195" i="6"/>
  <c r="C140" i="8"/>
  <c r="A87" i="7"/>
  <c r="G161" i="8"/>
  <c r="A78" i="7"/>
  <c r="A81" i="7"/>
  <c r="A86" i="7"/>
  <c r="K161" i="8"/>
  <c r="A82" i="7"/>
  <c r="A89" i="7"/>
  <c r="A79" i="7"/>
  <c r="A85" i="7"/>
  <c r="A83" i="7"/>
  <c r="A84" i="7"/>
  <c r="O90" i="8"/>
  <c r="A80" i="7"/>
  <c r="A88" i="7"/>
  <c r="N161" i="8"/>
  <c r="G13" i="10" s="1"/>
  <c r="J161" i="8"/>
  <c r="F13" i="10" s="1"/>
  <c r="F161" i="8"/>
  <c r="H13" i="10" s="1"/>
  <c r="J140" i="8"/>
  <c r="F140" i="8"/>
  <c r="B140" i="8"/>
  <c r="E127" i="8"/>
  <c r="R90" i="8"/>
  <c r="K90" i="8"/>
  <c r="N90" i="8"/>
  <c r="F90" i="8"/>
  <c r="J90" i="8"/>
  <c r="G90" i="8"/>
  <c r="A36" i="7"/>
  <c r="A44" i="7"/>
  <c r="A37" i="7"/>
  <c r="A45" i="7"/>
  <c r="A39" i="7"/>
  <c r="A43" i="7"/>
  <c r="A40" i="7"/>
  <c r="A38" i="7"/>
  <c r="A41" i="7"/>
  <c r="A35" i="7"/>
  <c r="A34" i="7"/>
  <c r="A42" i="7"/>
  <c r="A23" i="7"/>
  <c r="A21" i="7"/>
  <c r="A13" i="7"/>
  <c r="A14" i="7"/>
  <c r="A22" i="7"/>
  <c r="A15" i="7"/>
  <c r="A16" i="7"/>
  <c r="A17" i="7"/>
  <c r="A18" i="7"/>
  <c r="A19" i="7"/>
  <c r="A12" i="7"/>
  <c r="K198" i="6"/>
  <c r="K242" i="6"/>
  <c r="A231" i="6"/>
  <c r="A236" i="6"/>
  <c r="A237" i="6"/>
  <c r="A239" i="6"/>
  <c r="A232" i="6"/>
  <c r="A233" i="6"/>
  <c r="A240" i="6"/>
  <c r="A229" i="6"/>
  <c r="A230" i="6"/>
  <c r="A234" i="6"/>
  <c r="A238" i="6"/>
  <c r="A235" i="6"/>
  <c r="A211" i="6"/>
  <c r="F45" i="6"/>
  <c r="B119" i="8" s="1"/>
  <c r="G109" i="6"/>
  <c r="C29" i="8" s="1"/>
  <c r="A213" i="6"/>
  <c r="G132" i="6"/>
  <c r="C31" i="8" s="1"/>
  <c r="G31" i="8" s="1"/>
  <c r="C12" i="11" s="1"/>
  <c r="A214" i="6"/>
  <c r="A212" i="6"/>
  <c r="A207" i="6"/>
  <c r="A215" i="6"/>
  <c r="A208" i="6"/>
  <c r="A216" i="6"/>
  <c r="A209" i="6"/>
  <c r="A217" i="6"/>
  <c r="A210" i="6"/>
  <c r="A218" i="6"/>
  <c r="A168" i="6"/>
  <c r="A167" i="6"/>
  <c r="A169" i="6"/>
  <c r="A164" i="6"/>
  <c r="A172" i="6"/>
  <c r="A163" i="6"/>
  <c r="A165" i="6"/>
  <c r="A173" i="6"/>
  <c r="A170" i="6"/>
  <c r="A171" i="6"/>
  <c r="A166" i="6"/>
  <c r="A174" i="6"/>
  <c r="A75" i="6"/>
  <c r="A107" i="6"/>
  <c r="A145" i="6"/>
  <c r="A76" i="6"/>
  <c r="A84" i="6"/>
  <c r="E87" i="6"/>
  <c r="C28" i="8" s="1"/>
  <c r="G28" i="8" s="1"/>
  <c r="A120" i="6"/>
  <c r="A124" i="6"/>
  <c r="A128" i="6"/>
  <c r="A146" i="6"/>
  <c r="A77" i="6"/>
  <c r="A85" i="6"/>
  <c r="A96" i="6"/>
  <c r="A100" i="6"/>
  <c r="A104" i="6"/>
  <c r="A147" i="6"/>
  <c r="A103" i="6"/>
  <c r="A78" i="6"/>
  <c r="A79" i="6"/>
  <c r="A80" i="6"/>
  <c r="A122" i="6"/>
  <c r="A126" i="6"/>
  <c r="A130" i="6"/>
  <c r="A142" i="6"/>
  <c r="A150" i="6"/>
  <c r="A121" i="6"/>
  <c r="A125" i="6"/>
  <c r="A129" i="6"/>
  <c r="A148" i="6"/>
  <c r="A101" i="6"/>
  <c r="A149" i="6"/>
  <c r="A81" i="6"/>
  <c r="A98" i="6"/>
  <c r="A102" i="6"/>
  <c r="A106" i="6"/>
  <c r="A143" i="6"/>
  <c r="A151" i="6"/>
  <c r="A83" i="6"/>
  <c r="A99" i="6"/>
  <c r="A97" i="6"/>
  <c r="A105" i="6"/>
  <c r="A141" i="6"/>
  <c r="A74" i="6"/>
  <c r="A82" i="6"/>
  <c r="A119" i="6"/>
  <c r="A123" i="6"/>
  <c r="A127" i="6"/>
  <c r="A144" i="6"/>
  <c r="A152" i="6"/>
  <c r="A17" i="6"/>
  <c r="A33" i="6"/>
  <c r="A37" i="6"/>
  <c r="A41" i="6"/>
  <c r="A56" i="6"/>
  <c r="A60" i="6"/>
  <c r="A64" i="6"/>
  <c r="A18" i="6"/>
  <c r="A57" i="6"/>
  <c r="A61" i="6"/>
  <c r="A53" i="6"/>
  <c r="A12" i="6"/>
  <c r="A20" i="6"/>
  <c r="F66" i="6"/>
  <c r="C30" i="8" s="1"/>
  <c r="A19" i="6"/>
  <c r="A42" i="6"/>
  <c r="A13" i="6"/>
  <c r="A21" i="6"/>
  <c r="A35" i="6"/>
  <c r="A39" i="6"/>
  <c r="A43" i="6"/>
  <c r="A54" i="6"/>
  <c r="A58" i="6"/>
  <c r="A62" i="6"/>
  <c r="A38" i="6"/>
  <c r="A14" i="6"/>
  <c r="A22" i="6"/>
  <c r="A16" i="6"/>
  <c r="A11" i="6"/>
  <c r="A34" i="6"/>
  <c r="A15" i="6"/>
  <c r="F24" i="6"/>
  <c r="A32" i="6"/>
  <c r="A36" i="6"/>
  <c r="A40" i="6"/>
  <c r="A55" i="6"/>
  <c r="A59" i="6"/>
  <c r="I161" i="8" l="1"/>
  <c r="M90" i="8"/>
  <c r="B102" i="8"/>
  <c r="E77" i="8"/>
  <c r="Q90" i="8"/>
  <c r="B104" i="8"/>
  <c r="E104" i="8" s="1"/>
  <c r="E79" i="8"/>
  <c r="T56" i="8"/>
  <c r="T69" i="8" s="1"/>
  <c r="S69" i="8"/>
  <c r="C51" i="9" a="1"/>
  <c r="C51" i="9" s="1"/>
  <c r="K50" i="9"/>
  <c r="T32" i="23"/>
  <c r="V32" i="23"/>
  <c r="P33" i="23" s="1"/>
  <c r="M32" i="23"/>
  <c r="O32" i="23" s="1"/>
  <c r="I33" i="23" s="1"/>
  <c r="F32" i="23"/>
  <c r="H32" i="23" s="1"/>
  <c r="W45" i="23"/>
  <c r="D45" i="23"/>
  <c r="K45" i="23"/>
  <c r="R45" i="23"/>
  <c r="E102" i="8"/>
  <c r="B111" i="8"/>
  <c r="E111" i="8" s="1"/>
  <c r="B109" i="8"/>
  <c r="E109" i="8" s="1"/>
  <c r="B106" i="8"/>
  <c r="E106" i="8" s="1"/>
  <c r="B108" i="8"/>
  <c r="E108" i="8" s="1"/>
  <c r="B113" i="8"/>
  <c r="E113" i="8" s="1"/>
  <c r="F115" i="8"/>
  <c r="I104" i="8"/>
  <c r="I115" i="8" s="1"/>
  <c r="N115" i="8"/>
  <c r="Q104" i="8"/>
  <c r="Q115" i="8" s="1"/>
  <c r="J115" i="8"/>
  <c r="M102" i="8"/>
  <c r="M115" i="8" s="1"/>
  <c r="B107" i="8"/>
  <c r="E107" i="8" s="1"/>
  <c r="B103" i="8"/>
  <c r="E103" i="8" s="1"/>
  <c r="B110" i="8"/>
  <c r="E110" i="8" s="1"/>
  <c r="B112" i="8"/>
  <c r="E112" i="8" s="1"/>
  <c r="C14" i="8"/>
  <c r="G14" i="8" s="1"/>
  <c r="B94" i="8"/>
  <c r="E32" i="8"/>
  <c r="G32" i="8"/>
  <c r="C9" i="11" s="1"/>
  <c r="C11" i="8"/>
  <c r="N50" i="9"/>
  <c r="F50" i="9"/>
  <c r="H50" i="9"/>
  <c r="P50" i="9"/>
  <c r="E50" i="9"/>
  <c r="G50" i="9"/>
  <c r="O50" i="9"/>
  <c r="J50" i="9"/>
  <c r="R50" i="9"/>
  <c r="S50" i="9"/>
  <c r="L50" i="9"/>
  <c r="M50" i="9"/>
  <c r="I50" i="9"/>
  <c r="Q50" i="9"/>
  <c r="M140" i="8"/>
  <c r="U90" i="8"/>
  <c r="B44" i="8"/>
  <c r="I140" i="8"/>
  <c r="E140" i="8"/>
  <c r="E161" i="8"/>
  <c r="G12" i="8"/>
  <c r="G13" i="8"/>
  <c r="G30" i="8"/>
  <c r="C10" i="11" s="1"/>
  <c r="B90" i="8"/>
  <c r="B161" i="8"/>
  <c r="E13" i="10" s="1"/>
  <c r="G29" i="8"/>
  <c r="C11" i="11" s="1"/>
  <c r="J51" i="9" l="1"/>
  <c r="L51" i="9"/>
  <c r="O51" i="9"/>
  <c r="R51" i="9"/>
  <c r="E51" i="9"/>
  <c r="G51" i="9"/>
  <c r="S51" i="9"/>
  <c r="K51" i="9"/>
  <c r="M51" i="9"/>
  <c r="Q51" i="9"/>
  <c r="C52" i="9" a="1"/>
  <c r="C52" i="9" s="1"/>
  <c r="P52" i="9" s="1"/>
  <c r="H51" i="9"/>
  <c r="F51" i="9"/>
  <c r="I51" i="9"/>
  <c r="P51" i="9"/>
  <c r="N51" i="9"/>
  <c r="B33" i="23"/>
  <c r="T33" i="23" s="1"/>
  <c r="E90" i="8"/>
  <c r="B115" i="8"/>
  <c r="E115" i="8"/>
  <c r="G11" i="8"/>
  <c r="G18" i="8" s="1"/>
  <c r="C18" i="8"/>
  <c r="C13" i="11"/>
  <c r="G34" i="8"/>
  <c r="B48" i="8"/>
  <c r="G44" i="8"/>
  <c r="G48" i="8" s="1"/>
  <c r="E12" i="10"/>
  <c r="C34" i="8"/>
  <c r="C53" i="9" l="1" a="1"/>
  <c r="C53" i="9" s="1"/>
  <c r="I53" i="9" s="1"/>
  <c r="G52" i="9"/>
  <c r="R52" i="9"/>
  <c r="I52" i="9"/>
  <c r="M52" i="9"/>
  <c r="O52" i="9"/>
  <c r="K52" i="9"/>
  <c r="Q52" i="9"/>
  <c r="H52" i="9"/>
  <c r="N52" i="9"/>
  <c r="J52" i="9"/>
  <c r="E52" i="9"/>
  <c r="L52" i="9"/>
  <c r="S52" i="9"/>
  <c r="F52" i="9"/>
  <c r="M33" i="23"/>
  <c r="O33" i="23" s="1"/>
  <c r="I34" i="23" s="1"/>
  <c r="F33" i="23"/>
  <c r="H33" i="23" s="1"/>
  <c r="B34" i="23" s="1"/>
  <c r="V33" i="23"/>
  <c r="P34" i="23" s="1"/>
  <c r="J53" i="9" l="1"/>
  <c r="M53" i="9"/>
  <c r="P53" i="9"/>
  <c r="G53" i="9"/>
  <c r="R53" i="9"/>
  <c r="E53" i="9"/>
  <c r="K53" i="9"/>
  <c r="G15" i="12" s="1"/>
  <c r="O53" i="9"/>
  <c r="Q53" i="9"/>
  <c r="L53" i="9"/>
  <c r="H53" i="9"/>
  <c r="F15" i="12" s="1"/>
  <c r="F53" i="9"/>
  <c r="C54" i="9" a="1"/>
  <c r="C54" i="9" s="1"/>
  <c r="E54" i="9" s="1"/>
  <c r="N53" i="9"/>
  <c r="S53" i="9"/>
  <c r="T34" i="23"/>
  <c r="F34" i="23"/>
  <c r="M34" i="23"/>
  <c r="O34" i="23" s="1"/>
  <c r="I35" i="23" s="1"/>
  <c r="K448" i="4"/>
  <c r="U130" i="5" s="1"/>
  <c r="R130" i="5"/>
  <c r="O130" i="5"/>
  <c r="L130" i="5"/>
  <c r="I130" i="5"/>
  <c r="F130" i="5"/>
  <c r="C130" i="5"/>
  <c r="K438" i="4"/>
  <c r="U129" i="5" s="1"/>
  <c r="J438" i="4"/>
  <c r="R129" i="5" s="1"/>
  <c r="I438" i="4"/>
  <c r="O129" i="5" s="1"/>
  <c r="H438" i="4"/>
  <c r="L129" i="5" s="1"/>
  <c r="G438" i="4"/>
  <c r="I129" i="5" s="1"/>
  <c r="F438" i="4"/>
  <c r="F129" i="5" s="1"/>
  <c r="E438" i="4"/>
  <c r="C129" i="5" s="1"/>
  <c r="K428" i="4"/>
  <c r="U128" i="5" s="1"/>
  <c r="J428" i="4"/>
  <c r="R128" i="5" s="1"/>
  <c r="I428" i="4"/>
  <c r="O128" i="5" s="1"/>
  <c r="H428" i="4"/>
  <c r="L128" i="5" s="1"/>
  <c r="G428" i="4"/>
  <c r="I128" i="5" s="1"/>
  <c r="F428" i="4"/>
  <c r="F128" i="5" s="1"/>
  <c r="E428" i="4"/>
  <c r="C128" i="5" s="1"/>
  <c r="K418" i="4"/>
  <c r="U127" i="5" s="1"/>
  <c r="J418" i="4"/>
  <c r="R127" i="5" s="1"/>
  <c r="I418" i="4"/>
  <c r="O127" i="5" s="1"/>
  <c r="H418" i="4"/>
  <c r="L127" i="5" s="1"/>
  <c r="G418" i="4"/>
  <c r="I127" i="5" s="1"/>
  <c r="F418" i="4"/>
  <c r="F127" i="5" s="1"/>
  <c r="E418" i="4"/>
  <c r="C127" i="5" s="1"/>
  <c r="K408" i="4"/>
  <c r="U126" i="5" s="1"/>
  <c r="J408" i="4"/>
  <c r="R126" i="5" s="1"/>
  <c r="I408" i="4"/>
  <c r="O126" i="5" s="1"/>
  <c r="H408" i="4"/>
  <c r="L126" i="5" s="1"/>
  <c r="G408" i="4"/>
  <c r="I126" i="5" s="1"/>
  <c r="F408" i="4"/>
  <c r="F126" i="5" s="1"/>
  <c r="E408" i="4"/>
  <c r="C126" i="5" s="1"/>
  <c r="K398" i="4"/>
  <c r="U125" i="5" s="1"/>
  <c r="J398" i="4"/>
  <c r="R125" i="5" s="1"/>
  <c r="O125" i="5"/>
  <c r="L125" i="5"/>
  <c r="I125" i="5"/>
  <c r="F125" i="5"/>
  <c r="C125" i="5"/>
  <c r="U124" i="5"/>
  <c r="R124" i="5"/>
  <c r="O124" i="5"/>
  <c r="L124" i="5"/>
  <c r="I124" i="5"/>
  <c r="F124" i="5"/>
  <c r="C124" i="5"/>
  <c r="U123" i="5"/>
  <c r="R123" i="5"/>
  <c r="O123" i="5"/>
  <c r="L123" i="5"/>
  <c r="I123" i="5"/>
  <c r="F123" i="5"/>
  <c r="C123" i="5"/>
  <c r="U122" i="5"/>
  <c r="R122" i="5"/>
  <c r="O122" i="5"/>
  <c r="L122" i="5"/>
  <c r="I122" i="5"/>
  <c r="F122" i="5"/>
  <c r="C122" i="5"/>
  <c r="K358" i="4"/>
  <c r="J358" i="4"/>
  <c r="I358" i="4"/>
  <c r="H358" i="4"/>
  <c r="G358" i="4"/>
  <c r="F358" i="4"/>
  <c r="E358" i="4"/>
  <c r="U120" i="5"/>
  <c r="R120" i="5"/>
  <c r="O120" i="5"/>
  <c r="L120" i="5"/>
  <c r="I120" i="5"/>
  <c r="F120" i="5"/>
  <c r="C120" i="5"/>
  <c r="C121" i="5" l="1"/>
  <c r="E450" i="4"/>
  <c r="F121" i="5"/>
  <c r="F450" i="4"/>
  <c r="R121" i="5"/>
  <c r="J450" i="4"/>
  <c r="I121" i="5"/>
  <c r="G450" i="4"/>
  <c r="U121" i="5"/>
  <c r="K450" i="4"/>
  <c r="O121" i="5"/>
  <c r="I450" i="4"/>
  <c r="L121" i="5"/>
  <c r="H450" i="4"/>
  <c r="C55" i="9" a="1"/>
  <c r="C55" i="9" s="1"/>
  <c r="C56" i="9" s="1" a="1"/>
  <c r="C56" i="9" s="1"/>
  <c r="C57" i="9" s="1" a="1"/>
  <c r="C57" i="9" s="1"/>
  <c r="M54" i="9"/>
  <c r="P54" i="9"/>
  <c r="N54" i="9"/>
  <c r="L54" i="9"/>
  <c r="F54" i="9"/>
  <c r="H54" i="9"/>
  <c r="F16" i="12" s="1"/>
  <c r="E13" i="14" s="1"/>
  <c r="S54" i="9"/>
  <c r="R54" i="9"/>
  <c r="Q54" i="9"/>
  <c r="O54" i="9"/>
  <c r="K54" i="9"/>
  <c r="G16" i="12" s="1"/>
  <c r="F13" i="14" s="1"/>
  <c r="J54" i="9"/>
  <c r="I54" i="9"/>
  <c r="G54" i="9"/>
  <c r="V34" i="23"/>
  <c r="P35" i="23" s="1"/>
  <c r="H34" i="23"/>
  <c r="B35" i="23" s="1"/>
  <c r="O119" i="5"/>
  <c r="O132" i="5" s="1"/>
  <c r="F119" i="5"/>
  <c r="L119" i="5"/>
  <c r="L132" i="5" s="1"/>
  <c r="I119" i="5"/>
  <c r="I132" i="5" s="1"/>
  <c r="U119" i="5"/>
  <c r="U132" i="5" s="1"/>
  <c r="R119" i="5"/>
  <c r="R132" i="5" s="1"/>
  <c r="C119" i="5"/>
  <c r="C132" i="5" s="1"/>
  <c r="F132" i="5" l="1"/>
  <c r="H55" i="9"/>
  <c r="S55" i="9"/>
  <c r="Q55" i="9"/>
  <c r="G55" i="9"/>
  <c r="O55" i="9"/>
  <c r="R55" i="9"/>
  <c r="F55" i="9"/>
  <c r="P55" i="9"/>
  <c r="L55" i="9"/>
  <c r="J55" i="9"/>
  <c r="N55" i="9"/>
  <c r="E55" i="9"/>
  <c r="K55" i="9"/>
  <c r="I55" i="9"/>
  <c r="M55" i="9"/>
  <c r="T35" i="23"/>
  <c r="V35" i="23" s="1"/>
  <c r="M35" i="23"/>
  <c r="O35" i="23" s="1"/>
  <c r="I36" i="23" s="1"/>
  <c r="F35" i="23"/>
  <c r="H35" i="23" s="1"/>
  <c r="L57" i="9"/>
  <c r="I57" i="9"/>
  <c r="Q57" i="9"/>
  <c r="J57" i="9"/>
  <c r="E57" i="9"/>
  <c r="M57" i="9"/>
  <c r="R57" i="9"/>
  <c r="F57" i="9"/>
  <c r="K57" i="9"/>
  <c r="H57" i="9"/>
  <c r="O57" i="9"/>
  <c r="N57" i="9"/>
  <c r="S57" i="9"/>
  <c r="G57" i="9"/>
  <c r="P57" i="9"/>
  <c r="C58" i="9" a="1"/>
  <c r="C58" i="9" s="1"/>
  <c r="H56" i="9"/>
  <c r="P56" i="9"/>
  <c r="J56" i="9"/>
  <c r="R56" i="9"/>
  <c r="I56" i="9"/>
  <c r="Q56" i="9"/>
  <c r="L56" i="9"/>
  <c r="E56" i="9"/>
  <c r="M56" i="9"/>
  <c r="F56" i="9"/>
  <c r="N56" i="9"/>
  <c r="G56" i="9"/>
  <c r="O56" i="9"/>
  <c r="K56" i="9"/>
  <c r="S56" i="9"/>
  <c r="P36" i="23" l="1"/>
  <c r="B36" i="23"/>
  <c r="L58" i="9"/>
  <c r="Q58" i="9"/>
  <c r="R58" i="9"/>
  <c r="F58" i="9"/>
  <c r="N58" i="9"/>
  <c r="H58" i="9"/>
  <c r="P58" i="9"/>
  <c r="I58" i="9"/>
  <c r="E58" i="9"/>
  <c r="J58" i="9"/>
  <c r="M58" i="9"/>
  <c r="K58" i="9"/>
  <c r="S58" i="9"/>
  <c r="G58" i="9"/>
  <c r="O58" i="9"/>
  <c r="C59" i="9" a="1"/>
  <c r="C59" i="9" s="1"/>
  <c r="T36" i="23" l="1"/>
  <c r="V36" i="23" s="1"/>
  <c r="M36" i="23"/>
  <c r="O36" i="23" s="1"/>
  <c r="I37" i="23" s="1"/>
  <c r="F36" i="23"/>
  <c r="L59" i="9"/>
  <c r="Q59" i="9"/>
  <c r="E59" i="9"/>
  <c r="J59" i="9"/>
  <c r="M59" i="9"/>
  <c r="R59" i="9"/>
  <c r="K59" i="9"/>
  <c r="O59" i="9"/>
  <c r="S59" i="9"/>
  <c r="H59" i="9"/>
  <c r="F59" i="9"/>
  <c r="P59" i="9"/>
  <c r="N59" i="9"/>
  <c r="I59" i="9"/>
  <c r="G59" i="9"/>
  <c r="C60" i="9" a="1"/>
  <c r="C60" i="9" s="1"/>
  <c r="C61" i="9" s="1" a="1"/>
  <c r="C61" i="9" s="1"/>
  <c r="E43" i="5"/>
  <c r="F12" i="14" s="1"/>
  <c r="F14" i="14" s="1"/>
  <c r="F15" i="14" s="1"/>
  <c r="F16" i="14" s="1"/>
  <c r="D43" i="5"/>
  <c r="D12" i="14" s="1"/>
  <c r="D14" i="14" s="1"/>
  <c r="D15" i="14" s="1"/>
  <c r="D16" i="14" s="1"/>
  <c r="C43" i="5"/>
  <c r="C12" i="14" s="1"/>
  <c r="C14" i="14" s="1"/>
  <c r="C15" i="14" s="1"/>
  <c r="C16" i="14" s="1"/>
  <c r="B43" i="5"/>
  <c r="E12" i="14" s="1"/>
  <c r="E14" i="14" s="1"/>
  <c r="E15" i="14" s="1"/>
  <c r="E16" i="14" s="1"/>
  <c r="B3" i="5"/>
  <c r="B2" i="5"/>
  <c r="L442" i="4"/>
  <c r="L432" i="4"/>
  <c r="L422" i="4"/>
  <c r="L402" i="4"/>
  <c r="L392" i="4"/>
  <c r="L382" i="4"/>
  <c r="L372" i="4"/>
  <c r="L362" i="4"/>
  <c r="L352" i="4"/>
  <c r="M332" i="4"/>
  <c r="L332" i="4"/>
  <c r="G319" i="4"/>
  <c r="G6" i="16" s="1"/>
  <c r="F319" i="4"/>
  <c r="E6" i="16" s="1"/>
  <c r="E319" i="4"/>
  <c r="D6" i="16" s="1"/>
  <c r="D319" i="4"/>
  <c r="F6" i="16" s="1"/>
  <c r="C319" i="4"/>
  <c r="C6" i="16" s="1"/>
  <c r="B319" i="4"/>
  <c r="H317" i="4"/>
  <c r="H316" i="4"/>
  <c r="H315" i="4"/>
  <c r="H314" i="4"/>
  <c r="H313" i="4"/>
  <c r="H312" i="4"/>
  <c r="G309" i="4"/>
  <c r="I18" i="10" s="1"/>
  <c r="F309" i="4"/>
  <c r="G18" i="10" s="1"/>
  <c r="E309" i="4"/>
  <c r="F18" i="10" s="1"/>
  <c r="D309" i="4"/>
  <c r="H18" i="10" s="1"/>
  <c r="C309" i="4"/>
  <c r="E18" i="10" s="1"/>
  <c r="B309" i="4"/>
  <c r="C17" i="11" s="1"/>
  <c r="H307" i="4"/>
  <c r="H306" i="4"/>
  <c r="H305" i="4"/>
  <c r="H304" i="4"/>
  <c r="H303" i="4"/>
  <c r="H302" i="4"/>
  <c r="H301" i="4"/>
  <c r="H300" i="4"/>
  <c r="H299" i="4"/>
  <c r="H298" i="4"/>
  <c r="H297" i="4"/>
  <c r="H296" i="4"/>
  <c r="G286" i="4"/>
  <c r="G5" i="16" s="1"/>
  <c r="F286" i="4"/>
  <c r="E5" i="16" s="1"/>
  <c r="E286" i="4"/>
  <c r="D5" i="16" s="1"/>
  <c r="D286" i="4"/>
  <c r="F5" i="16" s="1"/>
  <c r="C286" i="4"/>
  <c r="C5" i="16" s="1"/>
  <c r="B286" i="4"/>
  <c r="H284" i="4"/>
  <c r="H283" i="4"/>
  <c r="H282" i="4"/>
  <c r="H281" i="4"/>
  <c r="H280" i="4"/>
  <c r="H279" i="4"/>
  <c r="G276" i="4"/>
  <c r="I17" i="10" s="1"/>
  <c r="F276" i="4"/>
  <c r="G17" i="10" s="1"/>
  <c r="E276" i="4"/>
  <c r="F17" i="10" s="1"/>
  <c r="D276" i="4"/>
  <c r="H17" i="10" s="1"/>
  <c r="C276" i="4"/>
  <c r="E17" i="10" s="1"/>
  <c r="B276" i="4"/>
  <c r="C16" i="11" s="1"/>
  <c r="H274" i="4"/>
  <c r="H273" i="4"/>
  <c r="H272" i="4"/>
  <c r="H271" i="4"/>
  <c r="H270" i="4"/>
  <c r="H269" i="4"/>
  <c r="H268" i="4"/>
  <c r="H267" i="4"/>
  <c r="H266" i="4"/>
  <c r="H265" i="4"/>
  <c r="H264" i="4"/>
  <c r="H263" i="4"/>
  <c r="F253" i="4"/>
  <c r="E253" i="4"/>
  <c r="D253" i="4"/>
  <c r="C253" i="4"/>
  <c r="B253" i="4"/>
  <c r="G251" i="4"/>
  <c r="G250" i="4"/>
  <c r="G249" i="4"/>
  <c r="G248" i="4"/>
  <c r="G247" i="4"/>
  <c r="G246" i="4"/>
  <c r="F243" i="4"/>
  <c r="E243" i="4"/>
  <c r="D243" i="4"/>
  <c r="C243" i="4"/>
  <c r="B243" i="4"/>
  <c r="G241" i="4"/>
  <c r="I241" i="4" s="1"/>
  <c r="G240" i="4"/>
  <c r="I240" i="4" s="1"/>
  <c r="G239" i="4"/>
  <c r="I239" i="4" s="1"/>
  <c r="G238" i="4"/>
  <c r="I238" i="4" s="1"/>
  <c r="G237" i="4"/>
  <c r="I237" i="4" s="1"/>
  <c r="G236" i="4"/>
  <c r="I236" i="4" s="1"/>
  <c r="G235" i="4"/>
  <c r="I235" i="4" s="1"/>
  <c r="G234" i="4"/>
  <c r="I234" i="4" s="1"/>
  <c r="G233" i="4"/>
  <c r="I233" i="4" s="1"/>
  <c r="G232" i="4"/>
  <c r="I232" i="4" s="1"/>
  <c r="G231" i="4"/>
  <c r="I231" i="4" s="1"/>
  <c r="G230" i="4"/>
  <c r="I230" i="4" s="1"/>
  <c r="F220" i="4"/>
  <c r="E220" i="4"/>
  <c r="D220" i="4"/>
  <c r="C220" i="4"/>
  <c r="B220" i="4"/>
  <c r="G218" i="4"/>
  <c r="G217" i="4"/>
  <c r="G216" i="4"/>
  <c r="G215" i="4"/>
  <c r="G214" i="4"/>
  <c r="G213" i="4"/>
  <c r="F210" i="4"/>
  <c r="E210" i="4"/>
  <c r="D210" i="4"/>
  <c r="C210" i="4"/>
  <c r="B210" i="4"/>
  <c r="G208" i="4"/>
  <c r="I208" i="4" s="1"/>
  <c r="G207" i="4"/>
  <c r="I207" i="4" s="1"/>
  <c r="G206" i="4"/>
  <c r="I206" i="4" s="1"/>
  <c r="G205" i="4"/>
  <c r="I205" i="4" s="1"/>
  <c r="G204" i="4"/>
  <c r="I204" i="4" s="1"/>
  <c r="G203" i="4"/>
  <c r="I203" i="4" s="1"/>
  <c r="G202" i="4"/>
  <c r="I202" i="4" s="1"/>
  <c r="G201" i="4"/>
  <c r="I201" i="4" s="1"/>
  <c r="G200" i="4"/>
  <c r="I200" i="4" s="1"/>
  <c r="G199" i="4"/>
  <c r="I199" i="4" s="1"/>
  <c r="G198" i="4"/>
  <c r="I198" i="4" s="1"/>
  <c r="G197" i="4"/>
  <c r="I197" i="4" s="1"/>
  <c r="D187" i="4"/>
  <c r="C187" i="4"/>
  <c r="B187" i="4"/>
  <c r="D177" i="4"/>
  <c r="B31" i="8" s="1"/>
  <c r="E31" i="8" s="1"/>
  <c r="C177" i="4"/>
  <c r="B177" i="4"/>
  <c r="F154" i="4"/>
  <c r="E154" i="4"/>
  <c r="D154" i="4"/>
  <c r="C154" i="4"/>
  <c r="B154" i="4"/>
  <c r="G152" i="4"/>
  <c r="G151" i="4"/>
  <c r="G150" i="4"/>
  <c r="G149" i="4"/>
  <c r="G148" i="4"/>
  <c r="G147" i="4"/>
  <c r="F144" i="4"/>
  <c r="E144" i="4"/>
  <c r="D144" i="4"/>
  <c r="K118" i="8" s="1"/>
  <c r="C144" i="4"/>
  <c r="B144" i="4"/>
  <c r="G142" i="4"/>
  <c r="I142" i="4" s="1"/>
  <c r="G141" i="4"/>
  <c r="I141" i="4" s="1"/>
  <c r="G140" i="4"/>
  <c r="I140" i="4" s="1"/>
  <c r="G139" i="4"/>
  <c r="I139" i="4" s="1"/>
  <c r="G138" i="4"/>
  <c r="I138" i="4" s="1"/>
  <c r="G137" i="4"/>
  <c r="I137" i="4" s="1"/>
  <c r="G136" i="4"/>
  <c r="I136" i="4" s="1"/>
  <c r="G135" i="4"/>
  <c r="I135" i="4" s="1"/>
  <c r="G134" i="4"/>
  <c r="I134" i="4" s="1"/>
  <c r="G133" i="4"/>
  <c r="I133" i="4" s="1"/>
  <c r="G132" i="4"/>
  <c r="I132" i="4" s="1"/>
  <c r="G131" i="4"/>
  <c r="I131" i="4" s="1"/>
  <c r="F121" i="4"/>
  <c r="E121" i="4"/>
  <c r="D121" i="4"/>
  <c r="C121" i="4"/>
  <c r="B121" i="4"/>
  <c r="G119" i="4"/>
  <c r="G118" i="4"/>
  <c r="G117" i="4"/>
  <c r="G116" i="4"/>
  <c r="G115" i="4"/>
  <c r="G114" i="4"/>
  <c r="F111" i="4"/>
  <c r="E111" i="4"/>
  <c r="D111" i="4"/>
  <c r="C111" i="4"/>
  <c r="B111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F88" i="4"/>
  <c r="E88" i="4"/>
  <c r="D88" i="4"/>
  <c r="C88" i="4"/>
  <c r="B88" i="4"/>
  <c r="G86" i="4"/>
  <c r="G85" i="4"/>
  <c r="G84" i="4"/>
  <c r="G83" i="4"/>
  <c r="G82" i="4"/>
  <c r="G81" i="4"/>
  <c r="F78" i="4"/>
  <c r="E78" i="4"/>
  <c r="D78" i="4"/>
  <c r="C78" i="4"/>
  <c r="B78" i="4"/>
  <c r="G76" i="4"/>
  <c r="I76" i="4" s="1"/>
  <c r="G75" i="4"/>
  <c r="I75" i="4" s="1"/>
  <c r="G74" i="4"/>
  <c r="I74" i="4" s="1"/>
  <c r="G73" i="4"/>
  <c r="I73" i="4" s="1"/>
  <c r="G72" i="4"/>
  <c r="I72" i="4" s="1"/>
  <c r="G71" i="4"/>
  <c r="I71" i="4" s="1"/>
  <c r="G70" i="4"/>
  <c r="I70" i="4" s="1"/>
  <c r="G69" i="4"/>
  <c r="I69" i="4" s="1"/>
  <c r="G68" i="4"/>
  <c r="I68" i="4" s="1"/>
  <c r="G67" i="4"/>
  <c r="I67" i="4" s="1"/>
  <c r="G66" i="4"/>
  <c r="I66" i="4" s="1"/>
  <c r="G65" i="4"/>
  <c r="I65" i="4" s="1"/>
  <c r="F55" i="4"/>
  <c r="E55" i="4"/>
  <c r="D55" i="4"/>
  <c r="C55" i="4"/>
  <c r="B55" i="4"/>
  <c r="G53" i="4"/>
  <c r="G52" i="4"/>
  <c r="G51" i="4"/>
  <c r="G50" i="4"/>
  <c r="G49" i="4"/>
  <c r="G48" i="4"/>
  <c r="F45" i="4"/>
  <c r="E45" i="4"/>
  <c r="D45" i="4"/>
  <c r="C45" i="4"/>
  <c r="G43" i="4"/>
  <c r="I43" i="4" s="1"/>
  <c r="G42" i="4"/>
  <c r="I42" i="4" s="1"/>
  <c r="G41" i="4"/>
  <c r="I41" i="4" s="1"/>
  <c r="G40" i="4"/>
  <c r="I40" i="4" s="1"/>
  <c r="G39" i="4"/>
  <c r="I39" i="4" s="1"/>
  <c r="G38" i="4"/>
  <c r="I38" i="4" s="1"/>
  <c r="G37" i="4"/>
  <c r="I37" i="4" s="1"/>
  <c r="G36" i="4"/>
  <c r="I36" i="4" s="1"/>
  <c r="G35" i="4"/>
  <c r="I35" i="4" s="1"/>
  <c r="G34" i="4"/>
  <c r="I34" i="4" s="1"/>
  <c r="G33" i="4"/>
  <c r="I33" i="4" s="1"/>
  <c r="G32" i="4"/>
  <c r="I32" i="4" s="1"/>
  <c r="B3" i="4"/>
  <c r="B2" i="4"/>
  <c r="E178" i="3"/>
  <c r="D178" i="3"/>
  <c r="C178" i="3"/>
  <c r="B178" i="3"/>
  <c r="G176" i="3"/>
  <c r="F176" i="3"/>
  <c r="G175" i="3"/>
  <c r="F175" i="3"/>
  <c r="G174" i="3"/>
  <c r="F174" i="3"/>
  <c r="G173" i="3"/>
  <c r="F173" i="3"/>
  <c r="G172" i="3"/>
  <c r="F172" i="3"/>
  <c r="G171" i="3"/>
  <c r="F171" i="3"/>
  <c r="G170" i="3"/>
  <c r="F170" i="3"/>
  <c r="G169" i="3"/>
  <c r="F169" i="3"/>
  <c r="G168" i="3"/>
  <c r="F168" i="3"/>
  <c r="G167" i="3"/>
  <c r="F167" i="3"/>
  <c r="G166" i="3"/>
  <c r="F166" i="3"/>
  <c r="G165" i="3"/>
  <c r="F165" i="3"/>
  <c r="E162" i="3"/>
  <c r="D162" i="3"/>
  <c r="C162" i="3"/>
  <c r="B162" i="3"/>
  <c r="B180" i="3" s="1"/>
  <c r="E140" i="3"/>
  <c r="E29" i="5" s="1"/>
  <c r="D140" i="3"/>
  <c r="D29" i="5" s="1"/>
  <c r="C140" i="3"/>
  <c r="C29" i="5" s="1"/>
  <c r="B140" i="3"/>
  <c r="B29" i="5" s="1"/>
  <c r="F135" i="3"/>
  <c r="F134" i="3"/>
  <c r="F133" i="3"/>
  <c r="F132" i="3"/>
  <c r="F131" i="3"/>
  <c r="F130" i="3"/>
  <c r="F129" i="3"/>
  <c r="F128" i="3"/>
  <c r="E116" i="3"/>
  <c r="D116" i="3"/>
  <c r="C116" i="3"/>
  <c r="B116" i="3"/>
  <c r="E115" i="3"/>
  <c r="D115" i="3"/>
  <c r="C115" i="3"/>
  <c r="B115" i="3"/>
  <c r="E114" i="3"/>
  <c r="D114" i="3"/>
  <c r="C114" i="3"/>
  <c r="B114" i="3"/>
  <c r="E113" i="3"/>
  <c r="D113" i="3"/>
  <c r="C113" i="3"/>
  <c r="B113" i="3"/>
  <c r="E112" i="3"/>
  <c r="D112" i="3"/>
  <c r="C112" i="3"/>
  <c r="B112" i="3"/>
  <c r="E111" i="3"/>
  <c r="D111" i="3"/>
  <c r="C111" i="3"/>
  <c r="B111" i="3"/>
  <c r="E110" i="3"/>
  <c r="D110" i="3"/>
  <c r="C110" i="3"/>
  <c r="B110" i="3"/>
  <c r="E109" i="3"/>
  <c r="D109" i="3"/>
  <c r="C109" i="3"/>
  <c r="B109" i="3"/>
  <c r="E108" i="3"/>
  <c r="D108" i="3"/>
  <c r="C108" i="3"/>
  <c r="B108" i="3"/>
  <c r="E107" i="3"/>
  <c r="D107" i="3"/>
  <c r="C107" i="3"/>
  <c r="B107" i="3"/>
  <c r="E106" i="3"/>
  <c r="D106" i="3"/>
  <c r="C106" i="3"/>
  <c r="B106" i="3"/>
  <c r="E105" i="3"/>
  <c r="D105" i="3"/>
  <c r="C105" i="3"/>
  <c r="B105" i="3"/>
  <c r="E79" i="3"/>
  <c r="E19" i="5" s="1"/>
  <c r="G7" i="16" s="1"/>
  <c r="D79" i="3"/>
  <c r="D19" i="5" s="1"/>
  <c r="E7" i="16" s="1"/>
  <c r="C79" i="3"/>
  <c r="C19" i="5" s="1"/>
  <c r="D7" i="16" s="1"/>
  <c r="B79" i="3"/>
  <c r="B19" i="5" s="1"/>
  <c r="F7" i="16" s="1"/>
  <c r="F77" i="3"/>
  <c r="F76" i="3"/>
  <c r="F75" i="3"/>
  <c r="F74" i="3"/>
  <c r="F73" i="3"/>
  <c r="F72" i="3"/>
  <c r="F71" i="3"/>
  <c r="F70" i="3"/>
  <c r="F69" i="3"/>
  <c r="F68" i="3"/>
  <c r="F67" i="3"/>
  <c r="F66" i="3"/>
  <c r="E63" i="3"/>
  <c r="E81" i="3" s="1"/>
  <c r="D63" i="3"/>
  <c r="D81" i="3" s="1"/>
  <c r="C63" i="3"/>
  <c r="C81" i="3" s="1"/>
  <c r="B63" i="3"/>
  <c r="B81" i="3" s="1"/>
  <c r="F61" i="3"/>
  <c r="F60" i="3"/>
  <c r="F59" i="3"/>
  <c r="F58" i="3"/>
  <c r="F57" i="3"/>
  <c r="F56" i="3"/>
  <c r="F55" i="3"/>
  <c r="F54" i="3"/>
  <c r="F53" i="3"/>
  <c r="F52" i="3"/>
  <c r="F51" i="3"/>
  <c r="F50" i="3"/>
  <c r="E40" i="3"/>
  <c r="E13" i="5" s="1"/>
  <c r="D40" i="3"/>
  <c r="D13" i="5" s="1"/>
  <c r="C40" i="3"/>
  <c r="C13" i="5" s="1"/>
  <c r="B13" i="5"/>
  <c r="B25" i="5" s="1"/>
  <c r="F38" i="3"/>
  <c r="F37" i="3"/>
  <c r="F36" i="3"/>
  <c r="F35" i="3"/>
  <c r="F34" i="3"/>
  <c r="F33" i="3"/>
  <c r="F32" i="3"/>
  <c r="F31" i="3"/>
  <c r="F30" i="3"/>
  <c r="F29" i="3"/>
  <c r="F28" i="3"/>
  <c r="F27" i="3"/>
  <c r="E24" i="3"/>
  <c r="E12" i="5" s="1"/>
  <c r="D24" i="3"/>
  <c r="D12" i="5" s="1"/>
  <c r="C24" i="3"/>
  <c r="C42" i="3" s="1"/>
  <c r="B24" i="3"/>
  <c r="B42" i="3" s="1"/>
  <c r="B3" i="3"/>
  <c r="B2" i="3"/>
  <c r="G112" i="2"/>
  <c r="F112" i="2"/>
  <c r="E112" i="2"/>
  <c r="D112" i="2"/>
  <c r="C112" i="2"/>
  <c r="I88" i="2"/>
  <c r="H88" i="2"/>
  <c r="G88" i="2"/>
  <c r="D47" i="5" s="1"/>
  <c r="F88" i="2"/>
  <c r="E88" i="2"/>
  <c r="B47" i="5" s="1"/>
  <c r="D88" i="2"/>
  <c r="C88" i="2"/>
  <c r="B88" i="2"/>
  <c r="H78" i="2"/>
  <c r="G78" i="2"/>
  <c r="F78" i="2"/>
  <c r="E78" i="2"/>
  <c r="D78" i="2"/>
  <c r="F54" i="2"/>
  <c r="E54" i="2"/>
  <c r="D54" i="2"/>
  <c r="C54" i="2"/>
  <c r="B54" i="2"/>
  <c r="G52" i="2"/>
  <c r="G51" i="2"/>
  <c r="G50" i="2"/>
  <c r="G49" i="2"/>
  <c r="G48" i="2"/>
  <c r="G47" i="2"/>
  <c r="F44" i="2"/>
  <c r="E44" i="2"/>
  <c r="D44" i="2"/>
  <c r="C44" i="2"/>
  <c r="B44" i="2"/>
  <c r="G42" i="2"/>
  <c r="G41" i="2"/>
  <c r="G40" i="2"/>
  <c r="G39" i="2"/>
  <c r="G38" i="2"/>
  <c r="G37" i="2"/>
  <c r="G36" i="2"/>
  <c r="G35" i="2"/>
  <c r="G34" i="2"/>
  <c r="G33" i="2"/>
  <c r="G32" i="2"/>
  <c r="B3" i="2"/>
  <c r="A48" i="2" s="1"/>
  <c r="B2" i="2"/>
  <c r="H61" i="9" l="1"/>
  <c r="I61" i="9"/>
  <c r="J61" i="9"/>
  <c r="K61" i="9"/>
  <c r="L61" i="9"/>
  <c r="M61" i="9"/>
  <c r="N61" i="9"/>
  <c r="O61" i="9"/>
  <c r="P61" i="9"/>
  <c r="Q61" i="9"/>
  <c r="R61" i="9"/>
  <c r="S61" i="9"/>
  <c r="E61" i="9"/>
  <c r="F61" i="9"/>
  <c r="G61" i="9"/>
  <c r="O92" i="8"/>
  <c r="G8" i="10" s="1"/>
  <c r="O117" i="8"/>
  <c r="O94" i="8"/>
  <c r="G15" i="10" s="1"/>
  <c r="G19" i="10" s="1"/>
  <c r="O119" i="8"/>
  <c r="O93" i="8"/>
  <c r="G7" i="10" s="1"/>
  <c r="G14" i="10" s="1"/>
  <c r="O118" i="8"/>
  <c r="C92" i="8"/>
  <c r="E8" i="10" s="1"/>
  <c r="C117" i="8"/>
  <c r="S92" i="8"/>
  <c r="I8" i="10" s="1"/>
  <c r="S117" i="8"/>
  <c r="C94" i="8"/>
  <c r="E15" i="10" s="1"/>
  <c r="E19" i="10" s="1"/>
  <c r="C119" i="8"/>
  <c r="S94" i="8"/>
  <c r="I15" i="10" s="1"/>
  <c r="I19" i="10" s="1"/>
  <c r="S119" i="8"/>
  <c r="C93" i="8"/>
  <c r="E7" i="10" s="1"/>
  <c r="C118" i="8"/>
  <c r="S93" i="8"/>
  <c r="I7" i="10" s="1"/>
  <c r="S118" i="8"/>
  <c r="G92" i="8"/>
  <c r="H8" i="10" s="1"/>
  <c r="G117" i="8"/>
  <c r="G94" i="8"/>
  <c r="H15" i="10" s="1"/>
  <c r="H19" i="10" s="1"/>
  <c r="G119" i="8"/>
  <c r="G93" i="8"/>
  <c r="H7" i="10" s="1"/>
  <c r="G118" i="8"/>
  <c r="K92" i="8"/>
  <c r="F8" i="10" s="1"/>
  <c r="K117" i="8"/>
  <c r="K94" i="8"/>
  <c r="F15" i="10" s="1"/>
  <c r="F19" i="10" s="1"/>
  <c r="K119" i="8"/>
  <c r="E23" i="2"/>
  <c r="A400" i="4"/>
  <c r="A403" i="4" s="1"/>
  <c r="A340" i="4"/>
  <c r="A215" i="3"/>
  <c r="A240" i="3"/>
  <c r="A220" i="3"/>
  <c r="A200" i="3"/>
  <c r="A245" i="3"/>
  <c r="A205" i="3"/>
  <c r="A225" i="3"/>
  <c r="A230" i="3"/>
  <c r="A210" i="3"/>
  <c r="A235" i="3"/>
  <c r="A195" i="3"/>
  <c r="P37" i="23"/>
  <c r="H36" i="23"/>
  <c r="B37" i="23" s="1"/>
  <c r="A61" i="3"/>
  <c r="C18" i="11"/>
  <c r="C19" i="11" s="1"/>
  <c r="D102" i="3"/>
  <c r="B56" i="2"/>
  <c r="K93" i="8"/>
  <c r="F7" i="10" s="1"/>
  <c r="F14" i="10" s="1"/>
  <c r="L60" i="9"/>
  <c r="Q60" i="9"/>
  <c r="F60" i="9"/>
  <c r="J60" i="9"/>
  <c r="E60" i="9"/>
  <c r="N60" i="9"/>
  <c r="R60" i="9"/>
  <c r="G60" i="9"/>
  <c r="K60" i="9"/>
  <c r="O60" i="9"/>
  <c r="S60" i="9"/>
  <c r="H60" i="9"/>
  <c r="P60" i="9"/>
  <c r="M60" i="9"/>
  <c r="I60" i="9"/>
  <c r="E46" i="5"/>
  <c r="A72" i="2"/>
  <c r="B46" i="5"/>
  <c r="B49" i="5" s="1"/>
  <c r="B51" i="5" s="1"/>
  <c r="A102" i="2"/>
  <c r="C90" i="2"/>
  <c r="F107" i="3"/>
  <c r="C118" i="3"/>
  <c r="C56" i="2"/>
  <c r="G44" i="2"/>
  <c r="C46" i="5"/>
  <c r="E56" i="2"/>
  <c r="G90" i="2"/>
  <c r="F108" i="3"/>
  <c r="F110" i="3"/>
  <c r="F116" i="3"/>
  <c r="F115" i="3"/>
  <c r="G178" i="3"/>
  <c r="C180" i="3"/>
  <c r="F40" i="3"/>
  <c r="D42" i="3"/>
  <c r="F178" i="3"/>
  <c r="F24" i="3"/>
  <c r="E180" i="3"/>
  <c r="C25" i="5"/>
  <c r="A97" i="3"/>
  <c r="F98" i="3"/>
  <c r="F100" i="3"/>
  <c r="A157" i="3"/>
  <c r="C12" i="5"/>
  <c r="C15" i="5" s="1"/>
  <c r="C18" i="5"/>
  <c r="C21" i="5" s="1"/>
  <c r="D8" i="14"/>
  <c r="E42" i="3"/>
  <c r="A108" i="3"/>
  <c r="F90" i="3"/>
  <c r="F106" i="3"/>
  <c r="A168" i="3"/>
  <c r="D180" i="3"/>
  <c r="D18" i="5"/>
  <c r="D24" i="5" s="1"/>
  <c r="A53" i="3"/>
  <c r="A116" i="3"/>
  <c r="F114" i="3"/>
  <c r="A176" i="3"/>
  <c r="E18" i="5"/>
  <c r="E24" i="5" s="1"/>
  <c r="B102" i="3"/>
  <c r="F91" i="3"/>
  <c r="F96" i="3"/>
  <c r="F162" i="3"/>
  <c r="A175" i="3"/>
  <c r="A190" i="3"/>
  <c r="A72" i="3"/>
  <c r="C102" i="3"/>
  <c r="F95" i="3"/>
  <c r="F97" i="3"/>
  <c r="F99" i="3"/>
  <c r="B118" i="3"/>
  <c r="F112" i="3"/>
  <c r="G162" i="3"/>
  <c r="F63" i="3"/>
  <c r="F79" i="3"/>
  <c r="F109" i="3"/>
  <c r="F111" i="3"/>
  <c r="F113" i="3"/>
  <c r="A17" i="3"/>
  <c r="A28" i="3"/>
  <c r="E102" i="3"/>
  <c r="A132" i="3"/>
  <c r="E8" i="14"/>
  <c r="A36" i="3"/>
  <c r="A89" i="3"/>
  <c r="F92" i="3"/>
  <c r="F94" i="3"/>
  <c r="E118" i="3"/>
  <c r="D118" i="3"/>
  <c r="F140" i="3"/>
  <c r="A149" i="3"/>
  <c r="B12" i="5"/>
  <c r="B15" i="5" s="1"/>
  <c r="B18" i="5"/>
  <c r="B21" i="5" s="1"/>
  <c r="D56" i="2"/>
  <c r="A73" i="2"/>
  <c r="D90" i="2"/>
  <c r="C48" i="8" s="1"/>
  <c r="E48" i="8" s="1"/>
  <c r="A103" i="2"/>
  <c r="A74" i="2"/>
  <c r="E90" i="2"/>
  <c r="A104" i="2"/>
  <c r="G54" i="2"/>
  <c r="F56" i="2"/>
  <c r="A82" i="2"/>
  <c r="F90" i="2"/>
  <c r="A105" i="2"/>
  <c r="D46" i="5"/>
  <c r="D49" i="5" s="1"/>
  <c r="D51" i="5" s="1"/>
  <c r="A46" i="2"/>
  <c r="A83" i="2"/>
  <c r="A110" i="2"/>
  <c r="A65" i="2"/>
  <c r="A84" i="2"/>
  <c r="H90" i="2"/>
  <c r="A111" i="2"/>
  <c r="C47" i="5"/>
  <c r="C8" i="14" s="1"/>
  <c r="A66" i="2"/>
  <c r="A85" i="2"/>
  <c r="I90" i="2"/>
  <c r="A71" i="2"/>
  <c r="B90" i="2"/>
  <c r="E47" i="5"/>
  <c r="F8" i="14" s="1"/>
  <c r="F23" i="2"/>
  <c r="A29" i="3"/>
  <c r="A54" i="3"/>
  <c r="A150" i="3"/>
  <c r="A99" i="3"/>
  <c r="A170" i="3"/>
  <c r="A31" i="3"/>
  <c r="A56" i="3"/>
  <c r="A75" i="3"/>
  <c r="A92" i="3"/>
  <c r="A100" i="3"/>
  <c r="A111" i="3"/>
  <c r="A135" i="3"/>
  <c r="A152" i="3"/>
  <c r="A160" i="3"/>
  <c r="A171" i="3"/>
  <c r="A90" i="3"/>
  <c r="A159" i="3"/>
  <c r="A106" i="2"/>
  <c r="A13" i="3"/>
  <c r="A32" i="3"/>
  <c r="A68" i="3"/>
  <c r="A76" i="3"/>
  <c r="A93" i="3"/>
  <c r="A104" i="3"/>
  <c r="A112" i="3"/>
  <c r="A128" i="3"/>
  <c r="A136" i="3"/>
  <c r="A153" i="3"/>
  <c r="A164" i="3"/>
  <c r="A172" i="3"/>
  <c r="A66" i="3"/>
  <c r="A68" i="2"/>
  <c r="A76" i="2"/>
  <c r="A107" i="2"/>
  <c r="A14" i="3"/>
  <c r="A22" i="3"/>
  <c r="A33" i="3"/>
  <c r="A50" i="3"/>
  <c r="A58" i="3"/>
  <c r="A69" i="3"/>
  <c r="A77" i="3"/>
  <c r="A94" i="3"/>
  <c r="A105" i="3"/>
  <c r="A113" i="3"/>
  <c r="A129" i="3"/>
  <c r="A137" i="3"/>
  <c r="A154" i="3"/>
  <c r="A165" i="3"/>
  <c r="A173" i="3"/>
  <c r="A18" i="3"/>
  <c r="A73" i="3"/>
  <c r="A98" i="3"/>
  <c r="A158" i="3"/>
  <c r="A19" i="3"/>
  <c r="A38" i="3"/>
  <c r="A74" i="3"/>
  <c r="A110" i="3"/>
  <c r="A151" i="3"/>
  <c r="A20" i="3"/>
  <c r="A75" i="2"/>
  <c r="A57" i="3"/>
  <c r="A69" i="2"/>
  <c r="A80" i="2"/>
  <c r="A100" i="2"/>
  <c r="A108" i="2"/>
  <c r="A15" i="3"/>
  <c r="A26" i="3"/>
  <c r="A34" i="3"/>
  <c r="A51" i="3"/>
  <c r="A59" i="3"/>
  <c r="A70" i="3"/>
  <c r="A95" i="3"/>
  <c r="A106" i="3"/>
  <c r="A114" i="3"/>
  <c r="A130" i="3"/>
  <c r="A138" i="3"/>
  <c r="A155" i="3"/>
  <c r="A166" i="3"/>
  <c r="A174" i="3"/>
  <c r="A37" i="3"/>
  <c r="A65" i="3"/>
  <c r="A109" i="3"/>
  <c r="A133" i="3"/>
  <c r="A169" i="3"/>
  <c r="A11" i="3"/>
  <c r="A30" i="3"/>
  <c r="A55" i="3"/>
  <c r="A91" i="3"/>
  <c r="A134" i="3"/>
  <c r="A12" i="3"/>
  <c r="A67" i="3"/>
  <c r="A67" i="2"/>
  <c r="A86" i="2"/>
  <c r="A21" i="3"/>
  <c r="A70" i="2"/>
  <c r="A81" i="2"/>
  <c r="A101" i="2"/>
  <c r="A109" i="2"/>
  <c r="A16" i="3"/>
  <c r="A27" i="3"/>
  <c r="A35" i="3"/>
  <c r="A52" i="3"/>
  <c r="A60" i="3"/>
  <c r="A71" i="3"/>
  <c r="A96" i="3"/>
  <c r="A107" i="3"/>
  <c r="A115" i="3"/>
  <c r="A131" i="3"/>
  <c r="A139" i="3"/>
  <c r="A156" i="3"/>
  <c r="A167" i="3"/>
  <c r="A58" i="5" a="1"/>
  <c r="A58" i="5" s="1"/>
  <c r="K58" i="5" s="1"/>
  <c r="K4" i="20" s="1"/>
  <c r="B189" i="4"/>
  <c r="B29" i="8" s="1"/>
  <c r="E29" i="8" s="1"/>
  <c r="E222" i="4"/>
  <c r="B123" i="4"/>
  <c r="B28" i="8" s="1"/>
  <c r="F255" i="4"/>
  <c r="C321" i="4"/>
  <c r="B16" i="8" s="1"/>
  <c r="C90" i="4"/>
  <c r="C189" i="4"/>
  <c r="B30" i="8" s="1"/>
  <c r="E30" i="8" s="1"/>
  <c r="D255" i="4"/>
  <c r="F222" i="4"/>
  <c r="B255" i="4"/>
  <c r="B13" i="8" s="1"/>
  <c r="E13" i="8" s="1"/>
  <c r="F123" i="4"/>
  <c r="B156" i="4"/>
  <c r="C255" i="4"/>
  <c r="G288" i="4"/>
  <c r="C57" i="4"/>
  <c r="D222" i="4"/>
  <c r="E255" i="4"/>
  <c r="B321" i="4"/>
  <c r="C288" i="4"/>
  <c r="B15" i="8" s="1"/>
  <c r="E321" i="4"/>
  <c r="B57" i="4"/>
  <c r="F156" i="4"/>
  <c r="C222" i="4"/>
  <c r="B288" i="4"/>
  <c r="D321" i="4"/>
  <c r="D57" i="4"/>
  <c r="F90" i="4"/>
  <c r="F288" i="4"/>
  <c r="G321" i="4"/>
  <c r="E57" i="4"/>
  <c r="B90" i="4"/>
  <c r="B14" i="8" s="1"/>
  <c r="E14" i="8" s="1"/>
  <c r="C123" i="4"/>
  <c r="F57" i="4"/>
  <c r="D123" i="4"/>
  <c r="E123" i="4"/>
  <c r="C156" i="4"/>
  <c r="B222" i="4"/>
  <c r="B12" i="8" s="1"/>
  <c r="E12" i="8" s="1"/>
  <c r="D90" i="4"/>
  <c r="D156" i="4"/>
  <c r="D288" i="4"/>
  <c r="E90" i="4"/>
  <c r="E156" i="4"/>
  <c r="D189" i="4"/>
  <c r="E288" i="4"/>
  <c r="F321" i="4"/>
  <c r="A107" i="5"/>
  <c r="A130" i="5"/>
  <c r="A122" i="5"/>
  <c r="A123" i="5"/>
  <c r="A129" i="5"/>
  <c r="A121" i="5"/>
  <c r="A124" i="5"/>
  <c r="A128" i="5"/>
  <c r="A120" i="5"/>
  <c r="A127" i="5"/>
  <c r="A119" i="5"/>
  <c r="A126" i="5"/>
  <c r="A125" i="5"/>
  <c r="D25" i="5"/>
  <c r="A100" i="5"/>
  <c r="A101" i="5"/>
  <c r="A102" i="5"/>
  <c r="A105" i="5"/>
  <c r="A106" i="5"/>
  <c r="A169" i="4"/>
  <c r="A208" i="4"/>
  <c r="A298" i="4"/>
  <c r="A15" i="4"/>
  <c r="A83" i="4"/>
  <c r="A317" i="4"/>
  <c r="A113" i="4"/>
  <c r="G111" i="4"/>
  <c r="A47" i="4"/>
  <c r="A238" i="4"/>
  <c r="A147" i="4"/>
  <c r="A268" i="4"/>
  <c r="G88" i="4"/>
  <c r="A72" i="4"/>
  <c r="A136" i="4"/>
  <c r="A180" i="4"/>
  <c r="A200" i="4"/>
  <c r="A306" i="4"/>
  <c r="G253" i="4"/>
  <c r="A102" i="4"/>
  <c r="A230" i="4"/>
  <c r="A36" i="4"/>
  <c r="G154" i="4"/>
  <c r="A249" i="4"/>
  <c r="A279" i="4"/>
  <c r="A402" i="4"/>
  <c r="A18" i="4"/>
  <c r="A39" i="4"/>
  <c r="A50" i="4"/>
  <c r="A67" i="4"/>
  <c r="A75" i="4"/>
  <c r="A86" i="4"/>
  <c r="A105" i="4"/>
  <c r="A116" i="4"/>
  <c r="A131" i="4"/>
  <c r="A139" i="4"/>
  <c r="A150" i="4"/>
  <c r="A164" i="4"/>
  <c r="A172" i="4"/>
  <c r="A183" i="4"/>
  <c r="A203" i="4"/>
  <c r="A214" i="4"/>
  <c r="A233" i="4"/>
  <c r="A241" i="4"/>
  <c r="A263" i="4"/>
  <c r="A271" i="4"/>
  <c r="A282" i="4"/>
  <c r="A301" i="4"/>
  <c r="A312" i="4"/>
  <c r="H309" i="4"/>
  <c r="A330" i="4"/>
  <c r="A410" i="4"/>
  <c r="A11" i="4"/>
  <c r="A19" i="4"/>
  <c r="A32" i="4"/>
  <c r="A40" i="4"/>
  <c r="A51" i="4"/>
  <c r="A68" i="4"/>
  <c r="A76" i="4"/>
  <c r="A98" i="4"/>
  <c r="A106" i="4"/>
  <c r="A117" i="4"/>
  <c r="A132" i="4"/>
  <c r="A140" i="4"/>
  <c r="A151" i="4"/>
  <c r="A165" i="4"/>
  <c r="A173" i="4"/>
  <c r="A184" i="4"/>
  <c r="A204" i="4"/>
  <c r="A215" i="4"/>
  <c r="A234" i="4"/>
  <c r="A245" i="4"/>
  <c r="A264" i="4"/>
  <c r="A272" i="4"/>
  <c r="A283" i="4"/>
  <c r="A302" i="4"/>
  <c r="A313" i="4"/>
  <c r="G220" i="4"/>
  <c r="H276" i="4"/>
  <c r="A420" i="4"/>
  <c r="A12" i="4"/>
  <c r="A20" i="4"/>
  <c r="A33" i="4"/>
  <c r="A41" i="4"/>
  <c r="A52" i="4"/>
  <c r="G78" i="4"/>
  <c r="A69" i="4"/>
  <c r="A80" i="4"/>
  <c r="A99" i="4"/>
  <c r="A107" i="4"/>
  <c r="A118" i="4"/>
  <c r="A133" i="4"/>
  <c r="A141" i="4"/>
  <c r="A152" i="4"/>
  <c r="A166" i="4"/>
  <c r="A174" i="4"/>
  <c r="A185" i="4"/>
  <c r="A197" i="4"/>
  <c r="A205" i="4"/>
  <c r="A216" i="4"/>
  <c r="A235" i="4"/>
  <c r="A246" i="4"/>
  <c r="A265" i="4"/>
  <c r="A273" i="4"/>
  <c r="A284" i="4"/>
  <c r="A303" i="4"/>
  <c r="A314" i="4"/>
  <c r="A350" i="4"/>
  <c r="A430" i="4"/>
  <c r="A13" i="4"/>
  <c r="A21" i="4"/>
  <c r="A34" i="4"/>
  <c r="A42" i="4"/>
  <c r="A53" i="4"/>
  <c r="A70" i="4"/>
  <c r="A81" i="4"/>
  <c r="A100" i="4"/>
  <c r="A108" i="4"/>
  <c r="A119" i="4"/>
  <c r="A134" i="4"/>
  <c r="A142" i="4"/>
  <c r="A167" i="4"/>
  <c r="A175" i="4"/>
  <c r="A198" i="4"/>
  <c r="A206" i="4"/>
  <c r="A217" i="4"/>
  <c r="A236" i="4"/>
  <c r="A247" i="4"/>
  <c r="A266" i="4"/>
  <c r="A274" i="4"/>
  <c r="A296" i="4"/>
  <c r="A304" i="4"/>
  <c r="A315" i="4"/>
  <c r="G243" i="4"/>
  <c r="A360" i="4"/>
  <c r="A440" i="4"/>
  <c r="A445" i="4" s="1"/>
  <c r="A14" i="4"/>
  <c r="A22" i="4"/>
  <c r="A35" i="4"/>
  <c r="A43" i="4"/>
  <c r="G45" i="4"/>
  <c r="A71" i="4"/>
  <c r="A82" i="4"/>
  <c r="A101" i="4"/>
  <c r="A109" i="4"/>
  <c r="A135" i="4"/>
  <c r="A146" i="4"/>
  <c r="G144" i="4"/>
  <c r="A168" i="4"/>
  <c r="A179" i="4"/>
  <c r="A199" i="4"/>
  <c r="A207" i="4"/>
  <c r="A218" i="4"/>
  <c r="A237" i="4"/>
  <c r="A248" i="4"/>
  <c r="A267" i="4"/>
  <c r="A278" i="4"/>
  <c r="A297" i="4"/>
  <c r="A305" i="4"/>
  <c r="A316" i="4"/>
  <c r="A370" i="4"/>
  <c r="A380" i="4"/>
  <c r="A16" i="4"/>
  <c r="A37" i="4"/>
  <c r="A48" i="4"/>
  <c r="G55" i="4"/>
  <c r="A65" i="4"/>
  <c r="A73" i="4"/>
  <c r="A84" i="4"/>
  <c r="A103" i="4"/>
  <c r="A114" i="4"/>
  <c r="G121" i="4"/>
  <c r="A137" i="4"/>
  <c r="A148" i="4"/>
  <c r="A170" i="4"/>
  <c r="A181" i="4"/>
  <c r="A201" i="4"/>
  <c r="A212" i="4"/>
  <c r="A231" i="4"/>
  <c r="A239" i="4"/>
  <c r="A250" i="4"/>
  <c r="A269" i="4"/>
  <c r="A280" i="4"/>
  <c r="A299" i="4"/>
  <c r="A307" i="4"/>
  <c r="H319" i="4"/>
  <c r="A390" i="4"/>
  <c r="A17" i="4"/>
  <c r="A38" i="4"/>
  <c r="A49" i="4"/>
  <c r="A66" i="4"/>
  <c r="A74" i="4"/>
  <c r="A85" i="4"/>
  <c r="A104" i="4"/>
  <c r="A115" i="4"/>
  <c r="A138" i="4"/>
  <c r="A149" i="4"/>
  <c r="A171" i="4"/>
  <c r="A182" i="4"/>
  <c r="A202" i="4"/>
  <c r="A213" i="4"/>
  <c r="A232" i="4"/>
  <c r="A240" i="4"/>
  <c r="A251" i="4"/>
  <c r="A270" i="4"/>
  <c r="A281" i="4"/>
  <c r="A300" i="4"/>
  <c r="A311" i="4"/>
  <c r="G210" i="4"/>
  <c r="G222" i="4" s="1"/>
  <c r="H286" i="4"/>
  <c r="E25" i="5"/>
  <c r="A104" i="5"/>
  <c r="A103" i="5"/>
  <c r="A98" i="5"/>
  <c r="A108" i="5"/>
  <c r="A99" i="5"/>
  <c r="A109" i="5"/>
  <c r="D15" i="5"/>
  <c r="E15" i="5"/>
  <c r="F93" i="3"/>
  <c r="F89" i="3"/>
  <c r="F105" i="3"/>
  <c r="A20" i="2"/>
  <c r="A49" i="2"/>
  <c r="A14" i="2"/>
  <c r="A51" i="2"/>
  <c r="A32" i="2"/>
  <c r="A40" i="2"/>
  <c r="A52" i="2"/>
  <c r="A12" i="2"/>
  <c r="A13" i="2"/>
  <c r="A16" i="2"/>
  <c r="A41" i="2"/>
  <c r="A37" i="2"/>
  <c r="A38" i="2"/>
  <c r="A31" i="2"/>
  <c r="A33" i="2"/>
  <c r="A17" i="2"/>
  <c r="A34" i="2"/>
  <c r="A42" i="2"/>
  <c r="A18" i="2"/>
  <c r="A35" i="2"/>
  <c r="A47" i="2"/>
  <c r="A21" i="2"/>
  <c r="A50" i="2"/>
  <c r="A22" i="2"/>
  <c r="A39" i="2"/>
  <c r="A15" i="2"/>
  <c r="A11" i="2"/>
  <c r="A19" i="2"/>
  <c r="A36" i="2"/>
  <c r="I14" i="10" l="1"/>
  <c r="I20" i="10" s="1"/>
  <c r="G20" i="11" s="1"/>
  <c r="G9" i="16" s="1"/>
  <c r="E14" i="10"/>
  <c r="E20" i="10" s="1"/>
  <c r="C20" i="11" s="1"/>
  <c r="C9" i="16" s="1"/>
  <c r="H14" i="10"/>
  <c r="C20" i="8"/>
  <c r="C21" i="8" s="1"/>
  <c r="B20" i="8"/>
  <c r="A343" i="4"/>
  <c r="A342" i="4"/>
  <c r="A344" i="4"/>
  <c r="A345" i="4"/>
  <c r="A346" i="4"/>
  <c r="A334" i="4"/>
  <c r="A335" i="4"/>
  <c r="A336" i="4"/>
  <c r="E120" i="3"/>
  <c r="C49" i="5"/>
  <c r="C51" i="5" s="1"/>
  <c r="E49" i="5"/>
  <c r="E51" i="5" s="1"/>
  <c r="A406" i="4"/>
  <c r="A404" i="4"/>
  <c r="A405" i="4"/>
  <c r="A433" i="4"/>
  <c r="A436" i="4"/>
  <c r="A435" i="4"/>
  <c r="A434" i="4"/>
  <c r="A423" i="4"/>
  <c r="A424" i="4"/>
  <c r="A426" i="4"/>
  <c r="A425" i="4"/>
  <c r="A413" i="4"/>
  <c r="A416" i="4"/>
  <c r="A415" i="4"/>
  <c r="A414" i="4"/>
  <c r="A393" i="4"/>
  <c r="A396" i="4"/>
  <c r="A394" i="4"/>
  <c r="A395" i="4"/>
  <c r="A383" i="4"/>
  <c r="A386" i="4"/>
  <c r="A385" i="4"/>
  <c r="A384" i="4"/>
  <c r="A373" i="4"/>
  <c r="A376" i="4"/>
  <c r="A374" i="4"/>
  <c r="A375" i="4"/>
  <c r="A366" i="4"/>
  <c r="A365" i="4"/>
  <c r="A364" i="4"/>
  <c r="A363" i="4"/>
  <c r="A353" i="4"/>
  <c r="A356" i="4"/>
  <c r="A355" i="4"/>
  <c r="A354" i="4"/>
  <c r="A333" i="4"/>
  <c r="G255" i="4"/>
  <c r="T37" i="23"/>
  <c r="V37" i="23" s="1"/>
  <c r="M37" i="23"/>
  <c r="O37" i="23" s="1"/>
  <c r="I38" i="23" s="1"/>
  <c r="C120" i="3"/>
  <c r="B120" i="3"/>
  <c r="D21" i="5"/>
  <c r="G123" i="4"/>
  <c r="F37" i="23"/>
  <c r="A446" i="4"/>
  <c r="A444" i="4"/>
  <c r="A443" i="4"/>
  <c r="H321" i="4"/>
  <c r="D120" i="3"/>
  <c r="G180" i="3"/>
  <c r="G56" i="2"/>
  <c r="F20" i="10"/>
  <c r="D20" i="11" s="1"/>
  <c r="C6" i="15" s="1"/>
  <c r="F6" i="12"/>
  <c r="E7" i="12"/>
  <c r="E8" i="12"/>
  <c r="G8" i="12"/>
  <c r="E6" i="12"/>
  <c r="G7" i="12"/>
  <c r="F8" i="12"/>
  <c r="G6" i="12"/>
  <c r="D8" i="12"/>
  <c r="D7" i="12"/>
  <c r="D6" i="12"/>
  <c r="F7" i="12"/>
  <c r="E9" i="12"/>
  <c r="E14" i="12"/>
  <c r="D12" i="12"/>
  <c r="E11" i="12"/>
  <c r="D9" i="12"/>
  <c r="D14" i="12"/>
  <c r="E12" i="12"/>
  <c r="D11" i="12"/>
  <c r="G14" i="12"/>
  <c r="F12" i="12"/>
  <c r="G11" i="12"/>
  <c r="F9" i="12"/>
  <c r="F14" i="12"/>
  <c r="G12" i="12"/>
  <c r="F11" i="12"/>
  <c r="G9" i="12"/>
  <c r="E64" i="9"/>
  <c r="I64" i="9"/>
  <c r="Q64" i="9"/>
  <c r="F64" i="9"/>
  <c r="J64" i="9"/>
  <c r="R64" i="9"/>
  <c r="O64" i="9"/>
  <c r="M64" i="9"/>
  <c r="N64" i="9"/>
  <c r="S64" i="9"/>
  <c r="L64" i="9"/>
  <c r="G64" i="9"/>
  <c r="K64" i="9"/>
  <c r="H64" i="9"/>
  <c r="P64" i="9"/>
  <c r="H20" i="10"/>
  <c r="F20" i="11" s="1"/>
  <c r="C5" i="15" s="1"/>
  <c r="B34" i="8"/>
  <c r="E28" i="8"/>
  <c r="E34" i="8" s="1"/>
  <c r="F42" i="3"/>
  <c r="G20" i="10"/>
  <c r="E20" i="11" s="1"/>
  <c r="C36" i="8"/>
  <c r="C37" i="8" s="1"/>
  <c r="B11" i="8"/>
  <c r="B18" i="8" s="1"/>
  <c r="F180" i="3"/>
  <c r="F118" i="3"/>
  <c r="F102" i="3"/>
  <c r="E21" i="5"/>
  <c r="D27" i="5"/>
  <c r="F81" i="3"/>
  <c r="E27" i="5"/>
  <c r="B24" i="5"/>
  <c r="B27" i="5" s="1"/>
  <c r="B31" i="5" s="1"/>
  <c r="C24" i="23"/>
  <c r="C24" i="5"/>
  <c r="C27" i="5" s="1"/>
  <c r="C31" i="5" s="1"/>
  <c r="F58" i="5"/>
  <c r="D58" i="5"/>
  <c r="C4" i="20" s="1"/>
  <c r="A59" i="5" a="1"/>
  <c r="A59" i="5" s="1"/>
  <c r="A60" i="5" s="1" a="1"/>
  <c r="A60" i="5" s="1"/>
  <c r="H60" i="5" s="1"/>
  <c r="H6" i="20" s="1"/>
  <c r="E58" i="5"/>
  <c r="D4" i="20" s="1"/>
  <c r="H58" i="5"/>
  <c r="H4" i="20" s="1"/>
  <c r="I58" i="5"/>
  <c r="I4" i="20" s="1"/>
  <c r="J58" i="5"/>
  <c r="J4" i="20" s="1"/>
  <c r="G58" i="5"/>
  <c r="E4" i="20" s="1"/>
  <c r="B58" i="5"/>
  <c r="A4" i="20" s="1"/>
  <c r="C58" i="5"/>
  <c r="B4" i="20" s="1"/>
  <c r="H288" i="4"/>
  <c r="G156" i="4"/>
  <c r="G57" i="4"/>
  <c r="G90" i="4"/>
  <c r="A352" i="4"/>
  <c r="A392" i="4"/>
  <c r="A412" i="4"/>
  <c r="A382" i="4"/>
  <c r="A332" i="4"/>
  <c r="A372" i="4"/>
  <c r="A442" i="4"/>
  <c r="A422" i="4"/>
  <c r="A362" i="4"/>
  <c r="A432" i="4"/>
  <c r="P38" i="23" l="1"/>
  <c r="H37" i="23"/>
  <c r="B38" i="23" s="1"/>
  <c r="D31" i="5"/>
  <c r="B96" i="5"/>
  <c r="D9" i="16"/>
  <c r="F120" i="3"/>
  <c r="C8" i="15"/>
  <c r="F7" i="14"/>
  <c r="F9" i="14" s="1"/>
  <c r="G20" i="12"/>
  <c r="C7" i="14"/>
  <c r="C9" i="14" s="1"/>
  <c r="D20" i="12"/>
  <c r="D7" i="14"/>
  <c r="D9" i="14" s="1"/>
  <c r="E20" i="12"/>
  <c r="E7" i="14"/>
  <c r="E9" i="14" s="1"/>
  <c r="F20" i="12"/>
  <c r="F9" i="16"/>
  <c r="B37" i="8"/>
  <c r="B21" i="8"/>
  <c r="E11" i="8"/>
  <c r="E18" i="8" s="1"/>
  <c r="E31" i="5"/>
  <c r="E9" i="16"/>
  <c r="C7" i="15"/>
  <c r="D96" i="5"/>
  <c r="B95" i="5"/>
  <c r="G4" i="20"/>
  <c r="C59" i="5"/>
  <c r="B5" i="20" s="1"/>
  <c r="G59" i="5"/>
  <c r="E5" i="20" s="1"/>
  <c r="F60" i="5"/>
  <c r="F59" i="5"/>
  <c r="J59" i="5"/>
  <c r="J5" i="20" s="1"/>
  <c r="G60" i="5"/>
  <c r="E6" i="20" s="1"/>
  <c r="E59" i="5"/>
  <c r="D5" i="20" s="1"/>
  <c r="D60" i="5"/>
  <c r="P96" i="5" s="1"/>
  <c r="E60" i="5"/>
  <c r="D6" i="20" s="1"/>
  <c r="D59" i="5"/>
  <c r="I96" i="5" s="1"/>
  <c r="C60" i="5"/>
  <c r="B6" i="20" s="1"/>
  <c r="H59" i="5"/>
  <c r="H5" i="20" s="1"/>
  <c r="K60" i="5"/>
  <c r="K6" i="20" s="1"/>
  <c r="K59" i="5"/>
  <c r="K5" i="20" s="1"/>
  <c r="J60" i="5"/>
  <c r="J6" i="20" s="1"/>
  <c r="A61" i="5" a="1"/>
  <c r="A61" i="5" s="1"/>
  <c r="D61" i="5" s="1"/>
  <c r="B59" i="5"/>
  <c r="I95" i="5" s="1"/>
  <c r="I60" i="5"/>
  <c r="I6" i="20" s="1"/>
  <c r="B60" i="5"/>
  <c r="A6" i="20" s="1"/>
  <c r="L103" i="5"/>
  <c r="I59" i="5"/>
  <c r="I5" i="20" s="1"/>
  <c r="O101" i="5"/>
  <c r="T101" i="5"/>
  <c r="O108" i="5"/>
  <c r="I101" i="5"/>
  <c r="I105" i="5"/>
  <c r="L98" i="5"/>
  <c r="Q100" i="5"/>
  <c r="Q98" i="5"/>
  <c r="U100" i="5"/>
  <c r="I103" i="5"/>
  <c r="K99" i="5"/>
  <c r="K106" i="5"/>
  <c r="M109" i="5"/>
  <c r="C104" i="5"/>
  <c r="V99" i="5"/>
  <c r="K98" i="5"/>
  <c r="L99" i="5"/>
  <c r="O104" i="5"/>
  <c r="L100" i="5"/>
  <c r="L102" i="5"/>
  <c r="K101" i="5"/>
  <c r="K104" i="5"/>
  <c r="M106" i="5"/>
  <c r="I104" i="5"/>
  <c r="O107" i="5"/>
  <c r="K109" i="5"/>
  <c r="P108" i="5"/>
  <c r="J101" i="5"/>
  <c r="O102" i="5"/>
  <c r="O106" i="5"/>
  <c r="M105" i="5"/>
  <c r="M108" i="5"/>
  <c r="N109" i="5"/>
  <c r="N101" i="5"/>
  <c r="K105" i="5"/>
  <c r="I102" i="5"/>
  <c r="K103" i="5"/>
  <c r="I107" i="5"/>
  <c r="I106" i="5"/>
  <c r="L109" i="5"/>
  <c r="N98" i="5"/>
  <c r="K102" i="5"/>
  <c r="L106" i="5"/>
  <c r="J99" i="5"/>
  <c r="O99" i="5"/>
  <c r="K100" i="5"/>
  <c r="M103" i="5"/>
  <c r="O103" i="5"/>
  <c r="J104" i="5"/>
  <c r="N105" i="5"/>
  <c r="L105" i="5"/>
  <c r="L107" i="5"/>
  <c r="N108" i="5"/>
  <c r="O109" i="5"/>
  <c r="N99" i="5"/>
  <c r="N103" i="5"/>
  <c r="J98" i="5"/>
  <c r="N102" i="5"/>
  <c r="N100" i="5"/>
  <c r="I98" i="5"/>
  <c r="M101" i="5"/>
  <c r="M98" i="5"/>
  <c r="O100" i="5"/>
  <c r="J105" i="5"/>
  <c r="N106" i="5"/>
  <c r="J107" i="5"/>
  <c r="K108" i="5"/>
  <c r="J109" i="5"/>
  <c r="M107" i="5"/>
  <c r="S106" i="5"/>
  <c r="J100" i="5"/>
  <c r="M99" i="5"/>
  <c r="I99" i="5"/>
  <c r="J106" i="5"/>
  <c r="I108" i="5"/>
  <c r="M104" i="5"/>
  <c r="J102" i="5"/>
  <c r="L104" i="5"/>
  <c r="O105" i="5"/>
  <c r="J108" i="5"/>
  <c r="N107" i="5"/>
  <c r="O98" i="5"/>
  <c r="I100" i="5"/>
  <c r="J103" i="5"/>
  <c r="M100" i="5"/>
  <c r="M102" i="5"/>
  <c r="L101" i="5"/>
  <c r="N104" i="5"/>
  <c r="I109" i="5"/>
  <c r="L108" i="5"/>
  <c r="K107" i="5"/>
  <c r="E98" i="5"/>
  <c r="Q105" i="5"/>
  <c r="B108" i="5"/>
  <c r="C108" i="5"/>
  <c r="V109" i="5"/>
  <c r="D103" i="5"/>
  <c r="S100" i="5"/>
  <c r="P104" i="5"/>
  <c r="R103" i="5"/>
  <c r="V100" i="5"/>
  <c r="U101" i="5"/>
  <c r="V102" i="5"/>
  <c r="P101" i="5"/>
  <c r="S105" i="5"/>
  <c r="P102" i="5"/>
  <c r="U106" i="5"/>
  <c r="T105" i="5"/>
  <c r="V108" i="5"/>
  <c r="T109" i="5"/>
  <c r="H108" i="5"/>
  <c r="S99" i="5"/>
  <c r="R98" i="5"/>
  <c r="S102" i="5"/>
  <c r="V104" i="5"/>
  <c r="R105" i="5"/>
  <c r="R104" i="5"/>
  <c r="T103" i="5"/>
  <c r="Q107" i="5"/>
  <c r="P106" i="5"/>
  <c r="R109" i="5"/>
  <c r="P109" i="5"/>
  <c r="G109" i="5"/>
  <c r="E104" i="5"/>
  <c r="G108" i="5"/>
  <c r="C109" i="5"/>
  <c r="C107" i="5"/>
  <c r="D105" i="5"/>
  <c r="B104" i="5"/>
  <c r="F107" i="5"/>
  <c r="G101" i="5"/>
  <c r="B101" i="5"/>
  <c r="G99" i="5"/>
  <c r="B100" i="5"/>
  <c r="G98" i="5"/>
  <c r="C102" i="5"/>
  <c r="G106" i="5"/>
  <c r="H102" i="5"/>
  <c r="D106" i="5"/>
  <c r="F104" i="5"/>
  <c r="D100" i="5"/>
  <c r="F103" i="5"/>
  <c r="C98" i="5"/>
  <c r="H98" i="5"/>
  <c r="B106" i="5"/>
  <c r="H103" i="5"/>
  <c r="D99" i="5"/>
  <c r="E105" i="5"/>
  <c r="G103" i="5"/>
  <c r="B105" i="5"/>
  <c r="F102" i="5"/>
  <c r="E107" i="5"/>
  <c r="H107" i="5"/>
  <c r="D101" i="5"/>
  <c r="G105" i="5"/>
  <c r="B102" i="5"/>
  <c r="H99" i="5"/>
  <c r="H100" i="5"/>
  <c r="H101" i="5"/>
  <c r="C99" i="5"/>
  <c r="F109" i="5"/>
  <c r="D107" i="5"/>
  <c r="G107" i="5"/>
  <c r="G102" i="5"/>
  <c r="G104" i="5"/>
  <c r="F101" i="5"/>
  <c r="D98" i="5"/>
  <c r="F100" i="5"/>
  <c r="C101" i="5"/>
  <c r="F105" i="5"/>
  <c r="D102" i="5"/>
  <c r="F106" i="5"/>
  <c r="C106" i="5"/>
  <c r="H105" i="5"/>
  <c r="H104" i="5"/>
  <c r="B99" i="5"/>
  <c r="E106" i="5"/>
  <c r="E102" i="5"/>
  <c r="C100" i="5"/>
  <c r="B107" i="5"/>
  <c r="D104" i="5"/>
  <c r="C105" i="5"/>
  <c r="E101" i="5"/>
  <c r="H106" i="5"/>
  <c r="E103" i="5"/>
  <c r="G100" i="5"/>
  <c r="E100" i="5"/>
  <c r="H109" i="5"/>
  <c r="P100" i="5"/>
  <c r="S98" i="5"/>
  <c r="U103" i="5"/>
  <c r="T98" i="5"/>
  <c r="Q101" i="5"/>
  <c r="V105" i="5"/>
  <c r="T104" i="5"/>
  <c r="S108" i="5"/>
  <c r="V107" i="5"/>
  <c r="U107" i="5"/>
  <c r="D109" i="5"/>
  <c r="F98" i="5"/>
  <c r="E99" i="5"/>
  <c r="B98" i="5"/>
  <c r="V98" i="5"/>
  <c r="R99" i="5"/>
  <c r="V101" i="5"/>
  <c r="P99" i="5"/>
  <c r="Q102" i="5"/>
  <c r="P107" i="5"/>
  <c r="R108" i="5"/>
  <c r="R107" i="5"/>
  <c r="Q104" i="5"/>
  <c r="S107" i="5"/>
  <c r="Q108" i="5"/>
  <c r="F108" i="5"/>
  <c r="F99" i="5"/>
  <c r="P98" i="5"/>
  <c r="R102" i="5"/>
  <c r="T102" i="5"/>
  <c r="T100" i="5"/>
  <c r="P103" i="5"/>
  <c r="S101" i="5"/>
  <c r="R106" i="5"/>
  <c r="T108" i="5"/>
  <c r="U105" i="5"/>
  <c r="S109" i="5"/>
  <c r="U109" i="5"/>
  <c r="E109" i="5"/>
  <c r="E108" i="5"/>
  <c r="D108" i="5"/>
  <c r="R100" i="5"/>
  <c r="V106" i="5"/>
  <c r="V103" i="5"/>
  <c r="U98" i="5"/>
  <c r="U102" i="5"/>
  <c r="S103" i="5"/>
  <c r="P105" i="5"/>
  <c r="T107" i="5"/>
  <c r="Q106" i="5"/>
  <c r="C103" i="5"/>
  <c r="T99" i="5"/>
  <c r="R101" i="5"/>
  <c r="U99" i="5"/>
  <c r="U104" i="5"/>
  <c r="Q99" i="5"/>
  <c r="Q103" i="5"/>
  <c r="S104" i="5"/>
  <c r="T106" i="5"/>
  <c r="U108" i="5"/>
  <c r="Q109" i="5"/>
  <c r="B109" i="5"/>
  <c r="B103" i="5"/>
  <c r="W105" i="5" l="1"/>
  <c r="T38" i="23"/>
  <c r="V38" i="23" s="1"/>
  <c r="M38" i="23"/>
  <c r="Z101" i="5"/>
  <c r="K61" i="5"/>
  <c r="K7" i="20" s="1"/>
  <c r="AA100" i="5"/>
  <c r="AA107" i="5"/>
  <c r="AB105" i="5"/>
  <c r="R96" i="5"/>
  <c r="C5" i="20"/>
  <c r="X100" i="5"/>
  <c r="AC100" i="5"/>
  <c r="AA101" i="5"/>
  <c r="AB107" i="5"/>
  <c r="Y107" i="5"/>
  <c r="W109" i="5"/>
  <c r="Z99" i="5"/>
  <c r="X103" i="5"/>
  <c r="Z104" i="5"/>
  <c r="AA105" i="5"/>
  <c r="X107" i="5"/>
  <c r="Y108" i="5"/>
  <c r="X98" i="5"/>
  <c r="X99" i="5"/>
  <c r="AC101" i="5"/>
  <c r="AB103" i="5"/>
  <c r="AC105" i="5"/>
  <c r="X108" i="5"/>
  <c r="Z98" i="5"/>
  <c r="Y100" i="5"/>
  <c r="Y102" i="5"/>
  <c r="Z103" i="5"/>
  <c r="Y103" i="5"/>
  <c r="AB104" i="5"/>
  <c r="Z105" i="5"/>
  <c r="W106" i="5"/>
  <c r="AA108" i="5"/>
  <c r="I61" i="5"/>
  <c r="I7" i="20" s="1"/>
  <c r="X109" i="5"/>
  <c r="A62" i="5" a="1"/>
  <c r="A62" i="5" s="1"/>
  <c r="J62" i="5" s="1"/>
  <c r="J8" i="20" s="1"/>
  <c r="W99" i="5"/>
  <c r="AA99" i="5"/>
  <c r="AC99" i="5"/>
  <c r="W103" i="5"/>
  <c r="X101" i="5"/>
  <c r="AC98" i="5"/>
  <c r="Z102" i="5"/>
  <c r="AC103" i="5"/>
  <c r="AC102" i="5"/>
  <c r="AA104" i="5"/>
  <c r="AA103" i="5"/>
  <c r="AB101" i="5"/>
  <c r="X105" i="5"/>
  <c r="Y105" i="5"/>
  <c r="B61" i="5"/>
  <c r="W95" i="5" s="1"/>
  <c r="Z108" i="5"/>
  <c r="W107" i="5"/>
  <c r="Y109" i="5"/>
  <c r="Z109" i="5"/>
  <c r="AA109" i="5"/>
  <c r="G61" i="5"/>
  <c r="E7" i="20" s="1"/>
  <c r="F61" i="5"/>
  <c r="C61" i="5"/>
  <c r="Y96" i="5" s="1"/>
  <c r="W98" i="5"/>
  <c r="AB99" i="5"/>
  <c r="AB98" i="5"/>
  <c r="Y99" i="5"/>
  <c r="W100" i="5"/>
  <c r="AB106" i="5"/>
  <c r="X102" i="5"/>
  <c r="AC106" i="5"/>
  <c r="Y104" i="5"/>
  <c r="AA106" i="5"/>
  <c r="H61" i="5"/>
  <c r="H7" i="20" s="1"/>
  <c r="AC107" i="5"/>
  <c r="E61" i="5"/>
  <c r="D7" i="20" s="1"/>
  <c r="Y98" i="5"/>
  <c r="AA98" i="5"/>
  <c r="Z100" i="5"/>
  <c r="W101" i="5"/>
  <c r="AB100" i="5"/>
  <c r="X104" i="5"/>
  <c r="Y101" i="5"/>
  <c r="AA102" i="5"/>
  <c r="AB102" i="5"/>
  <c r="Z106" i="5"/>
  <c r="W102" i="5"/>
  <c r="Z107" i="5"/>
  <c r="AC104" i="5"/>
  <c r="W104" i="5"/>
  <c r="J61" i="5"/>
  <c r="J7" i="20" s="1"/>
  <c r="X106" i="5"/>
  <c r="Y106" i="5"/>
  <c r="AB108" i="5"/>
  <c r="AC108" i="5"/>
  <c r="W108" i="5"/>
  <c r="AB109" i="5"/>
  <c r="AC109" i="5"/>
  <c r="C6" i="20"/>
  <c r="K96" i="5"/>
  <c r="F26" i="12"/>
  <c r="E14" i="13" s="1"/>
  <c r="F21" i="12"/>
  <c r="E26" i="12"/>
  <c r="D14" i="13" s="1"/>
  <c r="E21" i="12"/>
  <c r="D21" i="12"/>
  <c r="D26" i="12"/>
  <c r="C14" i="13" s="1"/>
  <c r="G21" i="12"/>
  <c r="G26" i="12"/>
  <c r="F14" i="13" s="1"/>
  <c r="A5" i="20"/>
  <c r="P95" i="5"/>
  <c r="G6" i="20"/>
  <c r="G5" i="20"/>
  <c r="C7" i="20"/>
  <c r="W96" i="5"/>
  <c r="I111" i="5"/>
  <c r="I112" i="5" s="1"/>
  <c r="P111" i="5"/>
  <c r="P112" i="5" s="1"/>
  <c r="R111" i="5"/>
  <c r="R112" i="5" s="1"/>
  <c r="K111" i="5"/>
  <c r="K112" i="5" s="1"/>
  <c r="T111" i="5"/>
  <c r="T112" i="5" s="1"/>
  <c r="L111" i="5"/>
  <c r="L112" i="5" s="1"/>
  <c r="J111" i="5"/>
  <c r="J112" i="5" s="1"/>
  <c r="O111" i="5"/>
  <c r="O112" i="5" s="1"/>
  <c r="N111" i="5"/>
  <c r="N112" i="5" s="1"/>
  <c r="M111" i="5"/>
  <c r="M112" i="5" s="1"/>
  <c r="B111" i="5"/>
  <c r="B112" i="5" s="1"/>
  <c r="U111" i="5"/>
  <c r="U112" i="5" s="1"/>
  <c r="S111" i="5"/>
  <c r="S112" i="5" s="1"/>
  <c r="Q111" i="5"/>
  <c r="Q112" i="5" s="1"/>
  <c r="V111" i="5"/>
  <c r="V112" i="5" s="1"/>
  <c r="E111" i="5"/>
  <c r="E112" i="5" s="1"/>
  <c r="C111" i="5"/>
  <c r="C112" i="5" s="1"/>
  <c r="F111" i="5"/>
  <c r="F112" i="5" s="1"/>
  <c r="H111" i="5"/>
  <c r="H112" i="5" s="1"/>
  <c r="D111" i="5"/>
  <c r="D112" i="5" s="1"/>
  <c r="G111" i="5"/>
  <c r="G112" i="5" s="1"/>
  <c r="O38" i="23" l="1"/>
  <c r="I39" i="23" s="1"/>
  <c r="F38" i="23"/>
  <c r="H38" i="23" s="1"/>
  <c r="P39" i="23"/>
  <c r="B39" i="23"/>
  <c r="M39" i="23" s="1"/>
  <c r="O39" i="23" s="1"/>
  <c r="I40" i="23" s="1"/>
  <c r="A63" i="5" a="1"/>
  <c r="A63" i="5" s="1"/>
  <c r="AN109" i="5" s="1"/>
  <c r="AI102" i="5"/>
  <c r="AG107" i="5"/>
  <c r="AE103" i="5"/>
  <c r="AI105" i="5"/>
  <c r="AH99" i="5"/>
  <c r="AH104" i="5"/>
  <c r="D62" i="5"/>
  <c r="C8" i="20" s="1"/>
  <c r="AG105" i="5"/>
  <c r="AG100" i="5"/>
  <c r="AI99" i="5"/>
  <c r="AF101" i="5"/>
  <c r="AG99" i="5"/>
  <c r="AH106" i="5"/>
  <c r="AF100" i="5"/>
  <c r="AD100" i="5"/>
  <c r="AE101" i="5"/>
  <c r="AJ98" i="5"/>
  <c r="AG101" i="5"/>
  <c r="AD106" i="5"/>
  <c r="AI108" i="5"/>
  <c r="AI106" i="5"/>
  <c r="AJ108" i="5"/>
  <c r="AH100" i="5"/>
  <c r="AD102" i="5"/>
  <c r="AH102" i="5"/>
  <c r="AD104" i="5"/>
  <c r="AH105" i="5"/>
  <c r="AH108" i="5"/>
  <c r="AF106" i="5"/>
  <c r="AF108" i="5"/>
  <c r="AF98" i="5"/>
  <c r="AJ104" i="5"/>
  <c r="AJ105" i="5"/>
  <c r="H62" i="5"/>
  <c r="H8" i="20" s="1"/>
  <c r="AE99" i="5"/>
  <c r="AI98" i="5"/>
  <c r="AD101" i="5"/>
  <c r="AE98" i="5"/>
  <c r="AG102" i="5"/>
  <c r="AH103" i="5"/>
  <c r="AF99" i="5"/>
  <c r="AE100" i="5"/>
  <c r="AG103" i="5"/>
  <c r="AI101" i="5"/>
  <c r="AF102" i="5"/>
  <c r="AF104" i="5"/>
  <c r="AD107" i="5"/>
  <c r="AG104" i="5"/>
  <c r="AJ107" i="5"/>
  <c r="AI107" i="5"/>
  <c r="F62" i="5"/>
  <c r="C62" i="5"/>
  <c r="B8" i="20" s="1"/>
  <c r="AF109" i="5"/>
  <c r="B62" i="5"/>
  <c r="A8" i="20" s="1"/>
  <c r="AH109" i="5"/>
  <c r="G62" i="5"/>
  <c r="E8" i="20" s="1"/>
  <c r="E62" i="5"/>
  <c r="D8" i="20" s="1"/>
  <c r="AG98" i="5"/>
  <c r="AH98" i="5"/>
  <c r="AJ99" i="5"/>
  <c r="AD98" i="5"/>
  <c r="AD99" i="5"/>
  <c r="AF103" i="5"/>
  <c r="AI100" i="5"/>
  <c r="AJ102" i="5"/>
  <c r="AD103" i="5"/>
  <c r="AI104" i="5"/>
  <c r="AI103" i="5"/>
  <c r="AJ103" i="5"/>
  <c r="AD105" i="5"/>
  <c r="AE107" i="5"/>
  <c r="AG106" i="5"/>
  <c r="AG109" i="5"/>
  <c r="AI109" i="5"/>
  <c r="AG108" i="5"/>
  <c r="AE109" i="5"/>
  <c r="AA111" i="5"/>
  <c r="AA112" i="5" s="1"/>
  <c r="Y111" i="5"/>
  <c r="Y112" i="5" s="1"/>
  <c r="X111" i="5"/>
  <c r="X112" i="5" s="1"/>
  <c r="AC111" i="5"/>
  <c r="AC112" i="5" s="1"/>
  <c r="A7" i="20"/>
  <c r="B7" i="20"/>
  <c r="AB111" i="5"/>
  <c r="AB112" i="5" s="1"/>
  <c r="G7" i="20"/>
  <c r="W111" i="5"/>
  <c r="W112" i="5" s="1"/>
  <c r="Z111" i="5"/>
  <c r="Z112" i="5" s="1"/>
  <c r="AH101" i="5"/>
  <c r="AJ100" i="5"/>
  <c r="AE104" i="5"/>
  <c r="AE105" i="5"/>
  <c r="AF105" i="5"/>
  <c r="AE102" i="5"/>
  <c r="AJ101" i="5"/>
  <c r="AJ106" i="5"/>
  <c r="I62" i="5"/>
  <c r="I8" i="20" s="1"/>
  <c r="AE106" i="5"/>
  <c r="AF107" i="5"/>
  <c r="AH107" i="5"/>
  <c r="AD108" i="5"/>
  <c r="AE108" i="5"/>
  <c r="AJ109" i="5"/>
  <c r="AD109" i="5"/>
  <c r="K62" i="5"/>
  <c r="K8" i="20" s="1"/>
  <c r="T39" i="23" l="1"/>
  <c r="V39" i="23" s="1"/>
  <c r="F39" i="23"/>
  <c r="H39" i="23" s="1"/>
  <c r="I63" i="5"/>
  <c r="I9" i="20" s="1"/>
  <c r="AL102" i="5"/>
  <c r="A64" i="5" a="1"/>
  <c r="A64" i="5" s="1"/>
  <c r="AR108" i="5" s="1"/>
  <c r="AM106" i="5"/>
  <c r="AK103" i="5"/>
  <c r="AQ104" i="5"/>
  <c r="D63" i="5"/>
  <c r="C9" i="20" s="1"/>
  <c r="AQ105" i="5"/>
  <c r="AO109" i="5"/>
  <c r="AM108" i="5"/>
  <c r="AL99" i="5"/>
  <c r="AP103" i="5"/>
  <c r="AK105" i="5"/>
  <c r="AM104" i="5"/>
  <c r="AP99" i="5"/>
  <c r="AP104" i="5"/>
  <c r="AK100" i="5"/>
  <c r="AN101" i="5"/>
  <c r="AQ103" i="5"/>
  <c r="AN105" i="5"/>
  <c r="AN107" i="5"/>
  <c r="AQ108" i="5"/>
  <c r="G63" i="5"/>
  <c r="E9" i="20" s="1"/>
  <c r="AO108" i="5"/>
  <c r="J63" i="5"/>
  <c r="J9" i="20" s="1"/>
  <c r="AQ98" i="5"/>
  <c r="AP100" i="5"/>
  <c r="AK99" i="5"/>
  <c r="AK98" i="5"/>
  <c r="AN103" i="5"/>
  <c r="AQ101" i="5"/>
  <c r="AL107" i="5"/>
  <c r="AK106" i="5"/>
  <c r="AN106" i="5"/>
  <c r="AL108" i="5"/>
  <c r="E63" i="5"/>
  <c r="D9" i="20" s="1"/>
  <c r="B63" i="5"/>
  <c r="A9" i="20" s="1"/>
  <c r="AM98" i="5"/>
  <c r="AQ99" i="5"/>
  <c r="AK101" i="5"/>
  <c r="AM101" i="5"/>
  <c r="AK102" i="5"/>
  <c r="AL104" i="5"/>
  <c r="AP106" i="5"/>
  <c r="AP108" i="5"/>
  <c r="AQ106" i="5"/>
  <c r="F63" i="5"/>
  <c r="AL109" i="5"/>
  <c r="AL100" i="5"/>
  <c r="AN100" i="5"/>
  <c r="AN98" i="5"/>
  <c r="AP98" i="5"/>
  <c r="AO100" i="5"/>
  <c r="AN99" i="5"/>
  <c r="AO99" i="5"/>
  <c r="AM103" i="5"/>
  <c r="AM100" i="5"/>
  <c r="AO101" i="5"/>
  <c r="AM102" i="5"/>
  <c r="AN102" i="5"/>
  <c r="AM105" i="5"/>
  <c r="AP105" i="5"/>
  <c r="AM107" i="5"/>
  <c r="AO107" i="5"/>
  <c r="AP107" i="5"/>
  <c r="AO106" i="5"/>
  <c r="AP109" i="5"/>
  <c r="AQ109" i="5"/>
  <c r="AK107" i="5"/>
  <c r="C63" i="5"/>
  <c r="B9" i="20" s="1"/>
  <c r="AM109" i="5"/>
  <c r="AQ102" i="5"/>
  <c r="AL98" i="5"/>
  <c r="AM99" i="5"/>
  <c r="AP101" i="5"/>
  <c r="AO98" i="5"/>
  <c r="AQ100" i="5"/>
  <c r="AL103" i="5"/>
  <c r="AL101" i="5"/>
  <c r="AO102" i="5"/>
  <c r="AP102" i="5"/>
  <c r="AO103" i="5"/>
  <c r="AK104" i="5"/>
  <c r="AL105" i="5"/>
  <c r="AL106" i="5"/>
  <c r="AO105" i="5"/>
  <c r="AK108" i="5"/>
  <c r="AN104" i="5"/>
  <c r="AO104" i="5"/>
  <c r="H63" i="5"/>
  <c r="H9" i="20" s="1"/>
  <c r="AQ107" i="5"/>
  <c r="AN108" i="5"/>
  <c r="AK109" i="5"/>
  <c r="K63" i="5"/>
  <c r="K9" i="20" s="1"/>
  <c r="AF96" i="5"/>
  <c r="G8" i="20"/>
  <c r="AD95" i="5"/>
  <c r="AI111" i="5"/>
  <c r="AI112" i="5" s="1"/>
  <c r="AD96" i="5"/>
  <c r="AG111" i="5"/>
  <c r="AG112" i="5" s="1"/>
  <c r="AF111" i="5"/>
  <c r="AF112" i="5" s="1"/>
  <c r="AH111" i="5"/>
  <c r="AH112" i="5" s="1"/>
  <c r="AD111" i="5"/>
  <c r="AD112" i="5" s="1"/>
  <c r="AJ111" i="5"/>
  <c r="AJ112" i="5" s="1"/>
  <c r="AE111" i="5"/>
  <c r="AE112" i="5" s="1"/>
  <c r="P40" i="23" l="1"/>
  <c r="B40" i="23"/>
  <c r="AK95" i="5"/>
  <c r="AX100" i="5"/>
  <c r="AX109" i="5"/>
  <c r="AT106" i="5"/>
  <c r="AR104" i="5"/>
  <c r="AV107" i="5"/>
  <c r="B64" i="5"/>
  <c r="A10" i="20" s="1"/>
  <c r="AX98" i="5"/>
  <c r="AS102" i="5"/>
  <c r="AX108" i="5"/>
  <c r="A65" i="5" a="1"/>
  <c r="A65" i="5" s="1"/>
  <c r="F65" i="5" s="1"/>
  <c r="AR98" i="5"/>
  <c r="AW109" i="5"/>
  <c r="H64" i="5"/>
  <c r="H10" i="20" s="1"/>
  <c r="AK111" i="5"/>
  <c r="AK112" i="5" s="1"/>
  <c r="AN111" i="5"/>
  <c r="AN112" i="5" s="1"/>
  <c r="G9" i="20"/>
  <c r="AR106" i="5"/>
  <c r="AW106" i="5"/>
  <c r="AU98" i="5"/>
  <c r="AS100" i="5"/>
  <c r="AV102" i="5"/>
  <c r="AS107" i="5"/>
  <c r="AW100" i="5"/>
  <c r="AX102" i="5"/>
  <c r="AU102" i="5"/>
  <c r="AR105" i="5"/>
  <c r="AV108" i="5"/>
  <c r="AK96" i="5"/>
  <c r="AT99" i="5"/>
  <c r="AX99" i="5"/>
  <c r="AT100" i="5"/>
  <c r="AT103" i="5"/>
  <c r="AU103" i="5"/>
  <c r="AV101" i="5"/>
  <c r="AW99" i="5"/>
  <c r="AT105" i="5"/>
  <c r="AX106" i="5"/>
  <c r="AW107" i="5"/>
  <c r="AV98" i="5"/>
  <c r="AR99" i="5"/>
  <c r="AW98" i="5"/>
  <c r="AR102" i="5"/>
  <c r="AT102" i="5"/>
  <c r="AW102" i="5"/>
  <c r="AR100" i="5"/>
  <c r="AS98" i="5"/>
  <c r="AU100" i="5"/>
  <c r="AS104" i="5"/>
  <c r="AU105" i="5"/>
  <c r="AV105" i="5"/>
  <c r="AX104" i="5"/>
  <c r="AS106" i="5"/>
  <c r="AU106" i="5"/>
  <c r="AW104" i="5"/>
  <c r="AS108" i="5"/>
  <c r="AU107" i="5"/>
  <c r="AU108" i="5"/>
  <c r="K64" i="5"/>
  <c r="K10" i="20" s="1"/>
  <c r="AS109" i="5"/>
  <c r="I64" i="5"/>
  <c r="I10" i="20" s="1"/>
  <c r="AV109" i="5"/>
  <c r="AS99" i="5"/>
  <c r="AV103" i="5"/>
  <c r="AW101" i="5"/>
  <c r="AR101" i="5"/>
  <c r="AX105" i="5"/>
  <c r="AV104" i="5"/>
  <c r="AS105" i="5"/>
  <c r="AT107" i="5"/>
  <c r="AT108" i="5"/>
  <c r="D64" i="5"/>
  <c r="C10" i="20" s="1"/>
  <c r="C64" i="5"/>
  <c r="AT96" i="5" s="1"/>
  <c r="J64" i="5"/>
  <c r="J10" i="20" s="1"/>
  <c r="AU109" i="5"/>
  <c r="G64" i="5"/>
  <c r="E10" i="20" s="1"/>
  <c r="AT98" i="5"/>
  <c r="AU99" i="5"/>
  <c r="AS103" i="5"/>
  <c r="AV100" i="5"/>
  <c r="AS101" i="5"/>
  <c r="AT101" i="5"/>
  <c r="AU101" i="5"/>
  <c r="AV99" i="5"/>
  <c r="AX103" i="5"/>
  <c r="AX101" i="5"/>
  <c r="AW103" i="5"/>
  <c r="AT104" i="5"/>
  <c r="AU104" i="5"/>
  <c r="AR103" i="5"/>
  <c r="AW105" i="5"/>
  <c r="AX107" i="5"/>
  <c r="AV106" i="5"/>
  <c r="AR107" i="5"/>
  <c r="F64" i="5"/>
  <c r="E64" i="5"/>
  <c r="D10" i="20" s="1"/>
  <c r="AR109" i="5"/>
  <c r="AW108" i="5"/>
  <c r="AT109" i="5"/>
  <c r="AP111" i="5"/>
  <c r="AP112" i="5" s="1"/>
  <c r="AM96" i="5"/>
  <c r="AQ111" i="5"/>
  <c r="AQ112" i="5" s="1"/>
  <c r="AL111" i="5"/>
  <c r="AL112" i="5" s="1"/>
  <c r="AM111" i="5"/>
  <c r="AM112" i="5" s="1"/>
  <c r="AO111" i="5"/>
  <c r="AO112" i="5" s="1"/>
  <c r="M40" i="23" l="1"/>
  <c r="T40" i="23"/>
  <c r="V40" i="23" s="1"/>
  <c r="AR95" i="5"/>
  <c r="AR96" i="5"/>
  <c r="B10" i="20"/>
  <c r="G10" i="20"/>
  <c r="AU111" i="5"/>
  <c r="AU112" i="5" s="1"/>
  <c r="AR111" i="5"/>
  <c r="AR112" i="5" s="1"/>
  <c r="AV111" i="5"/>
  <c r="AV112" i="5" s="1"/>
  <c r="AY99" i="5"/>
  <c r="D65" i="5"/>
  <c r="AY96" i="5" s="1"/>
  <c r="BA104" i="5"/>
  <c r="AW111" i="5"/>
  <c r="AW112" i="5" s="1"/>
  <c r="BB102" i="5"/>
  <c r="AY104" i="5"/>
  <c r="BA107" i="5"/>
  <c r="AT111" i="5"/>
  <c r="AT112" i="5" s="1"/>
  <c r="AS111" i="5"/>
  <c r="AS112" i="5" s="1"/>
  <c r="BE100" i="5"/>
  <c r="AZ102" i="5"/>
  <c r="AZ103" i="5"/>
  <c r="BE104" i="5"/>
  <c r="C65" i="5"/>
  <c r="BA96" i="5" s="1"/>
  <c r="AX111" i="5"/>
  <c r="AX112" i="5" s="1"/>
  <c r="BC99" i="5"/>
  <c r="AY102" i="5"/>
  <c r="AY103" i="5"/>
  <c r="BD104" i="5"/>
  <c r="BC108" i="5"/>
  <c r="AZ108" i="5"/>
  <c r="BD103" i="5"/>
  <c r="AZ104" i="5"/>
  <c r="BE103" i="5"/>
  <c r="BA106" i="5"/>
  <c r="AY108" i="5"/>
  <c r="BB109" i="5"/>
  <c r="A66" i="5" a="1"/>
  <c r="A66" i="5" s="1"/>
  <c r="D66" i="5" s="1"/>
  <c r="BD100" i="5"/>
  <c r="AY98" i="5"/>
  <c r="BB99" i="5"/>
  <c r="BE98" i="5"/>
  <c r="BD105" i="5"/>
  <c r="BD99" i="5"/>
  <c r="BE99" i="5"/>
  <c r="BB104" i="5"/>
  <c r="BC100" i="5"/>
  <c r="BE101" i="5"/>
  <c r="AY101" i="5"/>
  <c r="AZ101" i="5"/>
  <c r="AY105" i="5"/>
  <c r="BA108" i="5"/>
  <c r="BC106" i="5"/>
  <c r="BD106" i="5"/>
  <c r="BE106" i="5"/>
  <c r="AY106" i="5"/>
  <c r="K65" i="5"/>
  <c r="K11" i="20" s="1"/>
  <c r="J65" i="5"/>
  <c r="J11" i="20" s="1"/>
  <c r="AZ109" i="5"/>
  <c r="BA109" i="5"/>
  <c r="BC109" i="5"/>
  <c r="E65" i="5"/>
  <c r="D11" i="20" s="1"/>
  <c r="BB100" i="5"/>
  <c r="BD98" i="5"/>
  <c r="BB98" i="5"/>
  <c r="BC101" i="5"/>
  <c r="BD101" i="5"/>
  <c r="AZ98" i="5"/>
  <c r="BA98" i="5"/>
  <c r="BA103" i="5"/>
  <c r="BB103" i="5"/>
  <c r="BC103" i="5"/>
  <c r="BC104" i="5"/>
  <c r="AZ106" i="5"/>
  <c r="BB106" i="5"/>
  <c r="BC105" i="5"/>
  <c r="BE109" i="5"/>
  <c r="AZ105" i="5"/>
  <c r="BA105" i="5"/>
  <c r="BD107" i="5"/>
  <c r="BB108" i="5"/>
  <c r="AY109" i="5"/>
  <c r="BD108" i="5"/>
  <c r="BE108" i="5"/>
  <c r="G65" i="5"/>
  <c r="E11" i="20" s="1"/>
  <c r="BD109" i="5"/>
  <c r="BE102" i="5"/>
  <c r="AZ99" i="5"/>
  <c r="BC98" i="5"/>
  <c r="BA99" i="5"/>
  <c r="AY100" i="5"/>
  <c r="AZ100" i="5"/>
  <c r="BA100" i="5"/>
  <c r="BA101" i="5"/>
  <c r="BB101" i="5"/>
  <c r="BA102" i="5"/>
  <c r="BC102" i="5"/>
  <c r="BD102" i="5"/>
  <c r="BB105" i="5"/>
  <c r="BE105" i="5"/>
  <c r="AZ107" i="5"/>
  <c r="BB107" i="5"/>
  <c r="BC107" i="5"/>
  <c r="BE107" i="5"/>
  <c r="AY107" i="5"/>
  <c r="B65" i="5"/>
  <c r="A11" i="20" s="1"/>
  <c r="I65" i="5"/>
  <c r="I11" i="20" s="1"/>
  <c r="H65" i="5"/>
  <c r="H11" i="20" s="1"/>
  <c r="O40" i="23" l="1"/>
  <c r="I41" i="23" s="1"/>
  <c r="F40" i="23"/>
  <c r="H40" i="23" s="1"/>
  <c r="B41" i="23" s="1"/>
  <c r="P41" i="23"/>
  <c r="M41" i="23"/>
  <c r="O41" i="23" s="1"/>
  <c r="I42" i="23" s="1"/>
  <c r="C11" i="20"/>
  <c r="B11" i="20"/>
  <c r="BA111" i="5"/>
  <c r="BA112" i="5" s="1"/>
  <c r="BD111" i="5"/>
  <c r="BD112" i="5" s="1"/>
  <c r="AY111" i="5"/>
  <c r="AY112" i="5" s="1"/>
  <c r="BC111" i="5"/>
  <c r="BC112" i="5" s="1"/>
  <c r="BE111" i="5"/>
  <c r="BE112" i="5" s="1"/>
  <c r="AZ111" i="5"/>
  <c r="AZ112" i="5" s="1"/>
  <c r="G11" i="20"/>
  <c r="BB111" i="5"/>
  <c r="BB112" i="5" s="1"/>
  <c r="BF98" i="5"/>
  <c r="BJ98" i="5"/>
  <c r="BK99" i="5"/>
  <c r="BL100" i="5"/>
  <c r="BF101" i="5"/>
  <c r="BI101" i="5"/>
  <c r="BL99" i="5"/>
  <c r="BL103" i="5"/>
  <c r="BL101" i="5"/>
  <c r="BI102" i="5"/>
  <c r="BG105" i="5"/>
  <c r="BG104" i="5"/>
  <c r="BH103" i="5"/>
  <c r="BF106" i="5"/>
  <c r="BJ106" i="5"/>
  <c r="BJ107" i="5"/>
  <c r="BI108" i="5"/>
  <c r="BL106" i="5"/>
  <c r="BG106" i="5"/>
  <c r="C66" i="5"/>
  <c r="B12" i="20" s="1"/>
  <c r="I66" i="5"/>
  <c r="I12" i="20" s="1"/>
  <c r="BI107" i="5"/>
  <c r="F66" i="5"/>
  <c r="BL109" i="5"/>
  <c r="AY95" i="5"/>
  <c r="BH99" i="5"/>
  <c r="BL98" i="5"/>
  <c r="BG100" i="5"/>
  <c r="BJ102" i="5"/>
  <c r="BJ104" i="5"/>
  <c r="BL102" i="5"/>
  <c r="A67" i="5" a="1"/>
  <c r="A67" i="5" s="1"/>
  <c r="J67" i="5" s="1"/>
  <c r="J13" i="20" s="1"/>
  <c r="BG98" i="5"/>
  <c r="BF100" i="5"/>
  <c r="BF99" i="5"/>
  <c r="BF102" i="5"/>
  <c r="BJ103" i="5"/>
  <c r="BK103" i="5"/>
  <c r="BJ101" i="5"/>
  <c r="BI100" i="5"/>
  <c r="BK100" i="5"/>
  <c r="BF103" i="5"/>
  <c r="BK102" i="5"/>
  <c r="BH101" i="5"/>
  <c r="BK105" i="5"/>
  <c r="BF107" i="5"/>
  <c r="BH107" i="5"/>
  <c r="BK106" i="5"/>
  <c r="BL104" i="5"/>
  <c r="B66" i="5"/>
  <c r="A12" i="20" s="1"/>
  <c r="BF109" i="5"/>
  <c r="BK108" i="5"/>
  <c r="BH109" i="5"/>
  <c r="G66" i="5"/>
  <c r="E12" i="20" s="1"/>
  <c r="E66" i="5"/>
  <c r="D12" i="20" s="1"/>
  <c r="BK98" i="5"/>
  <c r="BI103" i="5"/>
  <c r="BH98" i="5"/>
  <c r="BK101" i="5"/>
  <c r="BF104" i="5"/>
  <c r="BG103" i="5"/>
  <c r="BL105" i="5"/>
  <c r="BK104" i="5"/>
  <c r="BF108" i="5"/>
  <c r="BK107" i="5"/>
  <c r="BH105" i="5"/>
  <c r="BI105" i="5"/>
  <c r="J66" i="5"/>
  <c r="J12" i="20" s="1"/>
  <c r="BG109" i="5"/>
  <c r="H66" i="5"/>
  <c r="H12" i="20" s="1"/>
  <c r="BJ109" i="5"/>
  <c r="BH108" i="5"/>
  <c r="BG99" i="5"/>
  <c r="BJ99" i="5"/>
  <c r="BJ100" i="5"/>
  <c r="BI99" i="5"/>
  <c r="BG102" i="5"/>
  <c r="BH102" i="5"/>
  <c r="BH100" i="5"/>
  <c r="BI98" i="5"/>
  <c r="BI104" i="5"/>
  <c r="BF105" i="5"/>
  <c r="BG101" i="5"/>
  <c r="BJ105" i="5"/>
  <c r="BH104" i="5"/>
  <c r="BH106" i="5"/>
  <c r="BI106" i="5"/>
  <c r="BG108" i="5"/>
  <c r="K66" i="5"/>
  <c r="K12" i="20" s="1"/>
  <c r="BL107" i="5"/>
  <c r="BJ108" i="5"/>
  <c r="BG107" i="5"/>
  <c r="BL108" i="5"/>
  <c r="BI109" i="5"/>
  <c r="BK109" i="5"/>
  <c r="C12" i="20"/>
  <c r="BF96" i="5"/>
  <c r="T41" i="23" l="1"/>
  <c r="V41" i="23" s="1"/>
  <c r="F41" i="23"/>
  <c r="H41" i="23" s="1"/>
  <c r="B42" i="23" s="1"/>
  <c r="BF95" i="5"/>
  <c r="BH96" i="5"/>
  <c r="BG111" i="5"/>
  <c r="BG112" i="5" s="1"/>
  <c r="G12" i="20"/>
  <c r="BL111" i="5"/>
  <c r="BL112" i="5" s="1"/>
  <c r="BJ111" i="5"/>
  <c r="BJ112" i="5" s="1"/>
  <c r="BI111" i="5"/>
  <c r="BI112" i="5" s="1"/>
  <c r="BK111" i="5"/>
  <c r="BK112" i="5" s="1"/>
  <c r="BH111" i="5"/>
  <c r="BH112" i="5" s="1"/>
  <c r="BF111" i="5"/>
  <c r="BF112" i="5" s="1"/>
  <c r="BN98" i="5"/>
  <c r="BQ99" i="5"/>
  <c r="BO100" i="5"/>
  <c r="BN102" i="5"/>
  <c r="BO104" i="5"/>
  <c r="BO103" i="5"/>
  <c r="BM105" i="5"/>
  <c r="BQ103" i="5"/>
  <c r="BN109" i="5"/>
  <c r="BO109" i="5"/>
  <c r="BR109" i="5"/>
  <c r="BP108" i="5"/>
  <c r="BP102" i="5"/>
  <c r="BR98" i="5"/>
  <c r="BR99" i="5"/>
  <c r="BM98" i="5"/>
  <c r="BR102" i="5"/>
  <c r="BN106" i="5"/>
  <c r="BQ98" i="5"/>
  <c r="BR103" i="5"/>
  <c r="BN101" i="5"/>
  <c r="BM103" i="5"/>
  <c r="BN103" i="5"/>
  <c r="BS102" i="5"/>
  <c r="BP103" i="5"/>
  <c r="BR107" i="5"/>
  <c r="I67" i="5"/>
  <c r="I13" i="20" s="1"/>
  <c r="BN108" i="5"/>
  <c r="BM106" i="5"/>
  <c r="BQ108" i="5"/>
  <c r="BR108" i="5"/>
  <c r="BS108" i="5"/>
  <c r="F67" i="5"/>
  <c r="E67" i="5"/>
  <c r="D13" i="20" s="1"/>
  <c r="K67" i="5"/>
  <c r="K13" i="20" s="1"/>
  <c r="BN104" i="5"/>
  <c r="BO98" i="5"/>
  <c r="BS104" i="5"/>
  <c r="BM99" i="5"/>
  <c r="BO102" i="5"/>
  <c r="BP104" i="5"/>
  <c r="BR104" i="5"/>
  <c r="BS106" i="5"/>
  <c r="BM107" i="5"/>
  <c r="C67" i="5"/>
  <c r="BO96" i="5" s="1"/>
  <c r="BQ107" i="5"/>
  <c r="BN100" i="5"/>
  <c r="BQ102" i="5"/>
  <c r="A68" i="5" a="1"/>
  <c r="A68" i="5" s="1"/>
  <c r="H68" i="5" s="1"/>
  <c r="H14" i="20" s="1"/>
  <c r="BS99" i="5"/>
  <c r="BN99" i="5"/>
  <c r="BR100" i="5"/>
  <c r="BR101" i="5"/>
  <c r="BR105" i="5"/>
  <c r="BP100" i="5"/>
  <c r="BM102" i="5"/>
  <c r="BS100" i="5"/>
  <c r="BP106" i="5"/>
  <c r="BO101" i="5"/>
  <c r="BP101" i="5"/>
  <c r="BO105" i="5"/>
  <c r="BS107" i="5"/>
  <c r="BP105" i="5"/>
  <c r="BQ105" i="5"/>
  <c r="BN107" i="5"/>
  <c r="BP107" i="5"/>
  <c r="BO107" i="5"/>
  <c r="BP109" i="5"/>
  <c r="BQ109" i="5"/>
  <c r="BS109" i="5"/>
  <c r="B67" i="5"/>
  <c r="BM95" i="5" s="1"/>
  <c r="BS98" i="5"/>
  <c r="BQ101" i="5"/>
  <c r="BO99" i="5"/>
  <c r="BP99" i="5"/>
  <c r="BM100" i="5"/>
  <c r="BS101" i="5"/>
  <c r="BP98" i="5"/>
  <c r="BQ100" i="5"/>
  <c r="BS103" i="5"/>
  <c r="BM101" i="5"/>
  <c r="BS105" i="5"/>
  <c r="BR106" i="5"/>
  <c r="BQ104" i="5"/>
  <c r="BN105" i="5"/>
  <c r="BQ106" i="5"/>
  <c r="BM109" i="5"/>
  <c r="BM104" i="5"/>
  <c r="BO108" i="5"/>
  <c r="BO106" i="5"/>
  <c r="H67" i="5"/>
  <c r="H13" i="20" s="1"/>
  <c r="G67" i="5"/>
  <c r="E13" i="20" s="1"/>
  <c r="BM108" i="5"/>
  <c r="D67" i="5"/>
  <c r="C13" i="20" s="1"/>
  <c r="P42" i="23" l="1"/>
  <c r="M42" i="23"/>
  <c r="O42" i="23" s="1"/>
  <c r="I43" i="23" s="1"/>
  <c r="I45" i="23" s="1"/>
  <c r="BN111" i="5"/>
  <c r="BN112" i="5" s="1"/>
  <c r="B13" i="20"/>
  <c r="A13" i="20"/>
  <c r="BP111" i="5"/>
  <c r="BP112" i="5" s="1"/>
  <c r="BQ111" i="5"/>
  <c r="BQ112" i="5" s="1"/>
  <c r="BR111" i="5"/>
  <c r="BR112" i="5" s="1"/>
  <c r="BM96" i="5"/>
  <c r="BO111" i="5"/>
  <c r="BO112" i="5" s="1"/>
  <c r="BS111" i="5"/>
  <c r="BS112" i="5" s="1"/>
  <c r="BM111" i="5"/>
  <c r="BM112" i="5" s="1"/>
  <c r="G13" i="20"/>
  <c r="BZ100" i="5"/>
  <c r="BU103" i="5"/>
  <c r="BV102" i="5"/>
  <c r="BU99" i="5"/>
  <c r="BU101" i="5"/>
  <c r="BZ105" i="5"/>
  <c r="A69" i="5" a="1"/>
  <c r="A69" i="5" s="1"/>
  <c r="CB109" i="5" s="1"/>
  <c r="BV99" i="5"/>
  <c r="BW98" i="5"/>
  <c r="BT100" i="5"/>
  <c r="BU100" i="5"/>
  <c r="BT101" i="5"/>
  <c r="BT99" i="5"/>
  <c r="BY98" i="5"/>
  <c r="BX102" i="5"/>
  <c r="BW108" i="5"/>
  <c r="BY104" i="5"/>
  <c r="BW101" i="5"/>
  <c r="BX101" i="5"/>
  <c r="BX106" i="5"/>
  <c r="BU105" i="5"/>
  <c r="BT107" i="5"/>
  <c r="BT106" i="5"/>
  <c r="BU104" i="5"/>
  <c r="BZ107" i="5"/>
  <c r="BV109" i="5"/>
  <c r="E68" i="5"/>
  <c r="D14" i="20" s="1"/>
  <c r="BY107" i="5"/>
  <c r="BZ109" i="5"/>
  <c r="BX108" i="5"/>
  <c r="BT98" i="5"/>
  <c r="BW99" i="5"/>
  <c r="BZ99" i="5"/>
  <c r="BY99" i="5"/>
  <c r="BW100" i="5"/>
  <c r="BX98" i="5"/>
  <c r="BW102" i="5"/>
  <c r="BY101" i="5"/>
  <c r="BT103" i="5"/>
  <c r="BV103" i="5"/>
  <c r="BT105" i="5"/>
  <c r="BV106" i="5"/>
  <c r="BW105" i="5"/>
  <c r="BW104" i="5"/>
  <c r="G68" i="5"/>
  <c r="E14" i="20" s="1"/>
  <c r="BX105" i="5"/>
  <c r="BY103" i="5"/>
  <c r="BX107" i="5"/>
  <c r="BZ108" i="5"/>
  <c r="BW109" i="5"/>
  <c r="D68" i="5"/>
  <c r="C14" i="20" s="1"/>
  <c r="K68" i="5"/>
  <c r="K14" i="20" s="1"/>
  <c r="I68" i="5"/>
  <c r="I14" i="20" s="1"/>
  <c r="C68" i="5"/>
  <c r="BV96" i="5" s="1"/>
  <c r="BX99" i="5"/>
  <c r="BU102" i="5"/>
  <c r="BX100" i="5"/>
  <c r="BZ101" i="5"/>
  <c r="BW103" i="5"/>
  <c r="BX103" i="5"/>
  <c r="BT102" i="5"/>
  <c r="BY106" i="5"/>
  <c r="BU107" i="5"/>
  <c r="BV107" i="5"/>
  <c r="BY105" i="5"/>
  <c r="BW106" i="5"/>
  <c r="F68" i="5"/>
  <c r="BT108" i="5"/>
  <c r="BU108" i="5"/>
  <c r="J68" i="5"/>
  <c r="J14" i="20" s="1"/>
  <c r="BT109" i="5"/>
  <c r="BV100" i="5"/>
  <c r="BV98" i="5"/>
  <c r="BZ98" i="5"/>
  <c r="BU98" i="5"/>
  <c r="BV104" i="5"/>
  <c r="BX104" i="5"/>
  <c r="BV101" i="5"/>
  <c r="BY100" i="5"/>
  <c r="BZ102" i="5"/>
  <c r="BY102" i="5"/>
  <c r="BZ104" i="5"/>
  <c r="BV105" i="5"/>
  <c r="BZ103" i="5"/>
  <c r="BZ106" i="5"/>
  <c r="BY108" i="5"/>
  <c r="BT104" i="5"/>
  <c r="BU109" i="5"/>
  <c r="BU106" i="5"/>
  <c r="BV108" i="5"/>
  <c r="BW107" i="5"/>
  <c r="BX109" i="5"/>
  <c r="BY109" i="5"/>
  <c r="B68" i="5"/>
  <c r="A14" i="20" s="1"/>
  <c r="T42" i="23" l="1"/>
  <c r="G14" i="20"/>
  <c r="BZ111" i="5"/>
  <c r="BZ112" i="5" s="1"/>
  <c r="B14" i="20"/>
  <c r="BT95" i="5"/>
  <c r="BV111" i="5"/>
  <c r="BV112" i="5" s="1"/>
  <c r="BY111" i="5"/>
  <c r="BY112" i="5" s="1"/>
  <c r="BU111" i="5"/>
  <c r="BU112" i="5" s="1"/>
  <c r="BX111" i="5"/>
  <c r="BX112" i="5" s="1"/>
  <c r="CB99" i="5"/>
  <c r="CF103" i="5"/>
  <c r="CD100" i="5"/>
  <c r="CE100" i="5"/>
  <c r="CC101" i="5"/>
  <c r="CB101" i="5"/>
  <c r="CG101" i="5"/>
  <c r="CB107" i="5"/>
  <c r="CD106" i="5"/>
  <c r="BW111" i="5"/>
  <c r="BW112" i="5" s="1"/>
  <c r="CC100" i="5"/>
  <c r="CG98" i="5"/>
  <c r="CF101" i="5"/>
  <c r="CB98" i="5"/>
  <c r="BT111" i="5"/>
  <c r="BT112" i="5" s="1"/>
  <c r="A70" i="5" a="1"/>
  <c r="A70" i="5" s="1"/>
  <c r="CN108" i="5" s="1"/>
  <c r="CD98" i="5"/>
  <c r="CA98" i="5"/>
  <c r="CC98" i="5"/>
  <c r="CE102" i="5"/>
  <c r="CB103" i="5"/>
  <c r="CD105" i="5"/>
  <c r="CD103" i="5"/>
  <c r="CG100" i="5"/>
  <c r="CA101" i="5"/>
  <c r="CE103" i="5"/>
  <c r="CA102" i="5"/>
  <c r="CD104" i="5"/>
  <c r="CG104" i="5"/>
  <c r="CG106" i="5"/>
  <c r="CA106" i="5"/>
  <c r="CB106" i="5"/>
  <c r="CG105" i="5"/>
  <c r="CA107" i="5"/>
  <c r="CE107" i="5"/>
  <c r="CB108" i="5"/>
  <c r="CG107" i="5"/>
  <c r="H69" i="5"/>
  <c r="H15" i="20" s="1"/>
  <c r="CF108" i="5"/>
  <c r="BT96" i="5"/>
  <c r="CF106" i="5"/>
  <c r="CF107" i="5"/>
  <c r="CB104" i="5"/>
  <c r="CG103" i="5"/>
  <c r="CC109" i="5"/>
  <c r="CD109" i="5"/>
  <c r="CE109" i="5"/>
  <c r="J69" i="5"/>
  <c r="J15" i="20" s="1"/>
  <c r="CG109" i="5"/>
  <c r="G69" i="5"/>
  <c r="E15" i="20" s="1"/>
  <c r="F69" i="5"/>
  <c r="CF99" i="5"/>
  <c r="CD102" i="5"/>
  <c r="CE99" i="5"/>
  <c r="CD101" i="5"/>
  <c r="CF102" i="5"/>
  <c r="CC103" i="5"/>
  <c r="CF100" i="5"/>
  <c r="CC99" i="5"/>
  <c r="CA100" i="5"/>
  <c r="CG102" i="5"/>
  <c r="CE101" i="5"/>
  <c r="CB102" i="5"/>
  <c r="E69" i="5"/>
  <c r="D15" i="20" s="1"/>
  <c r="CC105" i="5"/>
  <c r="CD108" i="5"/>
  <c r="CF105" i="5"/>
  <c r="CC104" i="5"/>
  <c r="CE106" i="5"/>
  <c r="D69" i="5"/>
  <c r="CA96" i="5" s="1"/>
  <c r="K69" i="5"/>
  <c r="K15" i="20" s="1"/>
  <c r="B69" i="5"/>
  <c r="A15" i="20" s="1"/>
  <c r="I69" i="5"/>
  <c r="I15" i="20" s="1"/>
  <c r="C69" i="5"/>
  <c r="B15" i="20" s="1"/>
  <c r="CE98" i="5"/>
  <c r="CB100" i="5"/>
  <c r="CD99" i="5"/>
  <c r="CG99" i="5"/>
  <c r="CA103" i="5"/>
  <c r="CA99" i="5"/>
  <c r="CF98" i="5"/>
  <c r="CE104" i="5"/>
  <c r="CF104" i="5"/>
  <c r="CC102" i="5"/>
  <c r="CE105" i="5"/>
  <c r="CA104" i="5"/>
  <c r="CA105" i="5"/>
  <c r="CB105" i="5"/>
  <c r="CC107" i="5"/>
  <c r="CE108" i="5"/>
  <c r="CG108" i="5"/>
  <c r="CC106" i="5"/>
  <c r="CD107" i="5"/>
  <c r="CA108" i="5"/>
  <c r="CF109" i="5"/>
  <c r="CC108" i="5"/>
  <c r="CA109" i="5"/>
  <c r="V42" i="23" l="1"/>
  <c r="F42" i="23"/>
  <c r="H42" i="23" s="1"/>
  <c r="B43" i="23" s="1"/>
  <c r="B45" i="23" s="1"/>
  <c r="P43" i="23"/>
  <c r="M43" i="23"/>
  <c r="O43" i="23" s="1"/>
  <c r="O45" i="23" s="1"/>
  <c r="C15" i="20"/>
  <c r="CC96" i="5"/>
  <c r="G15" i="20"/>
  <c r="CA111" i="5"/>
  <c r="CA112" i="5" s="1"/>
  <c r="CD111" i="5"/>
  <c r="CD112" i="5" s="1"/>
  <c r="CE111" i="5"/>
  <c r="CE112" i="5" s="1"/>
  <c r="CC111" i="5"/>
  <c r="CC112" i="5" s="1"/>
  <c r="CG111" i="5"/>
  <c r="CG112" i="5" s="1"/>
  <c r="CB111" i="5"/>
  <c r="CB112" i="5" s="1"/>
  <c r="CF111" i="5"/>
  <c r="CF112" i="5" s="1"/>
  <c r="CN99" i="5"/>
  <c r="CL99" i="5"/>
  <c r="CJ100" i="5"/>
  <c r="CK100" i="5"/>
  <c r="CH102" i="5"/>
  <c r="CN100" i="5"/>
  <c r="CJ101" i="5"/>
  <c r="CM102" i="5"/>
  <c r="CN102" i="5"/>
  <c r="CI104" i="5"/>
  <c r="CN106" i="5"/>
  <c r="CM104" i="5"/>
  <c r="CI103" i="5"/>
  <c r="CM105" i="5"/>
  <c r="CJ104" i="5"/>
  <c r="CK104" i="5"/>
  <c r="CK107" i="5"/>
  <c r="CN107" i="5"/>
  <c r="CL109" i="5"/>
  <c r="CI108" i="5"/>
  <c r="CN109" i="5"/>
  <c r="CH109" i="5"/>
  <c r="F70" i="5"/>
  <c r="CH98" i="5"/>
  <c r="CJ98" i="5"/>
  <c r="CM98" i="5"/>
  <c r="CK98" i="5"/>
  <c r="CH101" i="5"/>
  <c r="CJ99" i="5"/>
  <c r="CK99" i="5"/>
  <c r="CL101" i="5"/>
  <c r="CI100" i="5"/>
  <c r="CN103" i="5"/>
  <c r="CH105" i="5"/>
  <c r="CH103" i="5"/>
  <c r="CJ102" i="5"/>
  <c r="CL105" i="5"/>
  <c r="CH107" i="5"/>
  <c r="CI107" i="5"/>
  <c r="CL108" i="5"/>
  <c r="CM106" i="5"/>
  <c r="CH108" i="5"/>
  <c r="CM107" i="5"/>
  <c r="CJ108" i="5"/>
  <c r="H70" i="5"/>
  <c r="H16" i="20" s="1"/>
  <c r="CI109" i="5"/>
  <c r="E70" i="5"/>
  <c r="D16" i="20" s="1"/>
  <c r="CA95" i="5"/>
  <c r="CH99" i="5"/>
  <c r="CM99" i="5"/>
  <c r="CH100" i="5"/>
  <c r="CM103" i="5"/>
  <c r="CM100" i="5"/>
  <c r="CN98" i="5"/>
  <c r="CK102" i="5"/>
  <c r="CJ103" i="5"/>
  <c r="CH104" i="5"/>
  <c r="CK101" i="5"/>
  <c r="CL104" i="5"/>
  <c r="CI102" i="5"/>
  <c r="CN101" i="5"/>
  <c r="CJ105" i="5"/>
  <c r="CI106" i="5"/>
  <c r="CJ106" i="5"/>
  <c r="CJ107" i="5"/>
  <c r="CK109" i="5"/>
  <c r="CL107" i="5"/>
  <c r="B70" i="5"/>
  <c r="CH95" i="5" s="1"/>
  <c r="J70" i="5"/>
  <c r="J16" i="20" s="1"/>
  <c r="CK108" i="5"/>
  <c r="C70" i="5"/>
  <c r="CJ96" i="5" s="1"/>
  <c r="CJ109" i="5"/>
  <c r="A71" i="5" a="1"/>
  <c r="A71" i="5" s="1"/>
  <c r="CR109" i="5" s="1"/>
  <c r="CI98" i="5"/>
  <c r="CL98" i="5"/>
  <c r="CL100" i="5"/>
  <c r="CI99" i="5"/>
  <c r="CH106" i="5"/>
  <c r="CI101" i="5"/>
  <c r="CL102" i="5"/>
  <c r="CK103" i="5"/>
  <c r="CL103" i="5"/>
  <c r="CL106" i="5"/>
  <c r="CM101" i="5"/>
  <c r="CI105" i="5"/>
  <c r="CN104" i="5"/>
  <c r="CK105" i="5"/>
  <c r="CN105" i="5"/>
  <c r="CK106" i="5"/>
  <c r="CM108" i="5"/>
  <c r="D70" i="5"/>
  <c r="C16" i="20" s="1"/>
  <c r="K70" i="5"/>
  <c r="K16" i="20" s="1"/>
  <c r="CM109" i="5"/>
  <c r="I70" i="5"/>
  <c r="I16" i="20" s="1"/>
  <c r="G70" i="5"/>
  <c r="E16" i="20" s="1"/>
  <c r="P45" i="23" l="1"/>
  <c r="T43" i="23"/>
  <c r="M45" i="23"/>
  <c r="CH111" i="5"/>
  <c r="CH112" i="5" s="1"/>
  <c r="B16" i="20"/>
  <c r="CJ111" i="5"/>
  <c r="CJ112" i="5" s="1"/>
  <c r="CL111" i="5"/>
  <c r="CL112" i="5" s="1"/>
  <c r="A16" i="20"/>
  <c r="G16" i="20"/>
  <c r="CM111" i="5"/>
  <c r="CM112" i="5" s="1"/>
  <c r="CN111" i="5"/>
  <c r="CN112" i="5" s="1"/>
  <c r="CH96" i="5"/>
  <c r="CI111" i="5"/>
  <c r="CI112" i="5" s="1"/>
  <c r="CK111" i="5"/>
  <c r="CK112" i="5" s="1"/>
  <c r="CT100" i="5"/>
  <c r="CP99" i="5"/>
  <c r="CQ98" i="5"/>
  <c r="CO99" i="5"/>
  <c r="CS103" i="5"/>
  <c r="CT103" i="5"/>
  <c r="CU102" i="5"/>
  <c r="CO98" i="5"/>
  <c r="CO101" i="5"/>
  <c r="CU104" i="5"/>
  <c r="CP103" i="5"/>
  <c r="CQ103" i="5"/>
  <c r="CT106" i="5"/>
  <c r="CO106" i="5"/>
  <c r="CU105" i="5"/>
  <c r="CR106" i="5"/>
  <c r="CS106" i="5"/>
  <c r="CO108" i="5"/>
  <c r="CT109" i="5"/>
  <c r="CU109" i="5"/>
  <c r="CO107" i="5"/>
  <c r="C71" i="5"/>
  <c r="CQ96" i="5" s="1"/>
  <c r="D71" i="5"/>
  <c r="CO96" i="5" s="1"/>
  <c r="CP100" i="5"/>
  <c r="CS98" i="5"/>
  <c r="CT102" i="5"/>
  <c r="CQ105" i="5"/>
  <c r="CO102" i="5"/>
  <c r="CQ102" i="5"/>
  <c r="CS105" i="5"/>
  <c r="CR104" i="5"/>
  <c r="CO105" i="5"/>
  <c r="CP108" i="5"/>
  <c r="CQ108" i="5"/>
  <c r="G71" i="5"/>
  <c r="E17" i="20" s="1"/>
  <c r="F71" i="5"/>
  <c r="CQ109" i="5"/>
  <c r="A72" i="5" a="1"/>
  <c r="A72" i="5" s="1"/>
  <c r="CZ109" i="5" s="1"/>
  <c r="CU98" i="5"/>
  <c r="CQ101" i="5"/>
  <c r="CU100" i="5"/>
  <c r="CO100" i="5"/>
  <c r="CS101" i="5"/>
  <c r="CU101" i="5"/>
  <c r="CR102" i="5"/>
  <c r="CP105" i="5"/>
  <c r="CU108" i="5"/>
  <c r="CS107" i="5"/>
  <c r="CS104" i="5"/>
  <c r="B71" i="5"/>
  <c r="CO95" i="5" s="1"/>
  <c r="CT107" i="5"/>
  <c r="CU107" i="5"/>
  <c r="CR108" i="5"/>
  <c r="CO109" i="5"/>
  <c r="E71" i="5"/>
  <c r="D17" i="20" s="1"/>
  <c r="K71" i="5"/>
  <c r="K17" i="20" s="1"/>
  <c r="CT98" i="5"/>
  <c r="CT99" i="5"/>
  <c r="CS102" i="5"/>
  <c r="CT101" i="5"/>
  <c r="CQ100" i="5"/>
  <c r="CT108" i="5"/>
  <c r="CR103" i="5"/>
  <c r="CR107" i="5"/>
  <c r="CU106" i="5"/>
  <c r="CR100" i="5"/>
  <c r="CP104" i="5"/>
  <c r="CU99" i="5"/>
  <c r="CR101" i="5"/>
  <c r="CR99" i="5"/>
  <c r="CP107" i="5"/>
  <c r="CR98" i="5"/>
  <c r="CP101" i="5"/>
  <c r="CP102" i="5"/>
  <c r="CP98" i="5"/>
  <c r="CS100" i="5"/>
  <c r="CT104" i="5"/>
  <c r="CQ99" i="5"/>
  <c r="CU103" i="5"/>
  <c r="CS99" i="5"/>
  <c r="CO104" i="5"/>
  <c r="CR105" i="5"/>
  <c r="CT105" i="5"/>
  <c r="CP106" i="5"/>
  <c r="CQ104" i="5"/>
  <c r="CQ107" i="5"/>
  <c r="CQ106" i="5"/>
  <c r="CO103" i="5"/>
  <c r="J71" i="5"/>
  <c r="J17" i="20" s="1"/>
  <c r="CS109" i="5"/>
  <c r="I71" i="5"/>
  <c r="I17" i="20" s="1"/>
  <c r="H71" i="5"/>
  <c r="H17" i="20" s="1"/>
  <c r="CS108" i="5"/>
  <c r="CP109" i="5"/>
  <c r="V43" i="23" l="1"/>
  <c r="F43" i="23"/>
  <c r="V45" i="23"/>
  <c r="T45" i="23"/>
  <c r="C17" i="20"/>
  <c r="B17" i="20"/>
  <c r="CU111" i="5"/>
  <c r="CU112" i="5" s="1"/>
  <c r="CS111" i="5"/>
  <c r="CS112" i="5" s="1"/>
  <c r="CP111" i="5"/>
  <c r="CP112" i="5" s="1"/>
  <c r="CR111" i="5"/>
  <c r="CR112" i="5" s="1"/>
  <c r="CT111" i="5"/>
  <c r="CT112" i="5" s="1"/>
  <c r="CO111" i="5"/>
  <c r="CO112" i="5" s="1"/>
  <c r="CQ111" i="5"/>
  <c r="CQ112" i="5" s="1"/>
  <c r="G17" i="20"/>
  <c r="CV99" i="5"/>
  <c r="CY99" i="5"/>
  <c r="DA99" i="5"/>
  <c r="CZ101" i="5"/>
  <c r="CZ103" i="5"/>
  <c r="DA109" i="5"/>
  <c r="CZ104" i="5"/>
  <c r="DB106" i="5"/>
  <c r="CZ108" i="5"/>
  <c r="CX109" i="5"/>
  <c r="DB101" i="5"/>
  <c r="CY98" i="5"/>
  <c r="DA98" i="5"/>
  <c r="CV98" i="5"/>
  <c r="CV102" i="5"/>
  <c r="CW100" i="5"/>
  <c r="CY101" i="5"/>
  <c r="DB102" i="5"/>
  <c r="CY103" i="5"/>
  <c r="CW104" i="5"/>
  <c r="DA103" i="5"/>
  <c r="CY104" i="5"/>
  <c r="DB105" i="5"/>
  <c r="CW108" i="5"/>
  <c r="CV105" i="5"/>
  <c r="CW103" i="5"/>
  <c r="CY107" i="5"/>
  <c r="CX108" i="5"/>
  <c r="CY108" i="5"/>
  <c r="CV109" i="5"/>
  <c r="DA108" i="5"/>
  <c r="K72" i="5"/>
  <c r="K18" i="20" s="1"/>
  <c r="CV108" i="5"/>
  <c r="A17" i="20"/>
  <c r="A73" i="5" a="1"/>
  <c r="A73" i="5" s="1"/>
  <c r="DH109" i="5" s="1"/>
  <c r="CZ100" i="5"/>
  <c r="DA100" i="5"/>
  <c r="CW98" i="5"/>
  <c r="CY100" i="5"/>
  <c r="CY102" i="5"/>
  <c r="DA105" i="5"/>
  <c r="CX100" i="5"/>
  <c r="DB98" i="5"/>
  <c r="CW101" i="5"/>
  <c r="DB103" i="5"/>
  <c r="CX103" i="5"/>
  <c r="CZ102" i="5"/>
  <c r="DB104" i="5"/>
  <c r="CW106" i="5"/>
  <c r="H72" i="5"/>
  <c r="H18" i="20" s="1"/>
  <c r="DB107" i="5"/>
  <c r="CY106" i="5"/>
  <c r="CW107" i="5"/>
  <c r="B72" i="5"/>
  <c r="A18" i="20" s="1"/>
  <c r="DB99" i="5"/>
  <c r="CZ98" i="5"/>
  <c r="CV100" i="5"/>
  <c r="CX102" i="5"/>
  <c r="CW102" i="5"/>
  <c r="CV101" i="5"/>
  <c r="CY105" i="5"/>
  <c r="CV106" i="5"/>
  <c r="DB108" i="5"/>
  <c r="CX107" i="5"/>
  <c r="CW105" i="5"/>
  <c r="DA107" i="5"/>
  <c r="G72" i="5"/>
  <c r="E18" i="20" s="1"/>
  <c r="CV107" i="5"/>
  <c r="C72" i="5"/>
  <c r="CX96" i="5" s="1"/>
  <c r="D72" i="5"/>
  <c r="CV96" i="5" s="1"/>
  <c r="J72" i="5"/>
  <c r="J18" i="20" s="1"/>
  <c r="I72" i="5"/>
  <c r="I18" i="20" s="1"/>
  <c r="CX99" i="5"/>
  <c r="CX98" i="5"/>
  <c r="DB100" i="5"/>
  <c r="CW99" i="5"/>
  <c r="CZ99" i="5"/>
  <c r="CV103" i="5"/>
  <c r="CX101" i="5"/>
  <c r="DA102" i="5"/>
  <c r="DA101" i="5"/>
  <c r="CV104" i="5"/>
  <c r="CX105" i="5"/>
  <c r="CX104" i="5"/>
  <c r="CZ105" i="5"/>
  <c r="CX106" i="5"/>
  <c r="CZ106" i="5"/>
  <c r="DA106" i="5"/>
  <c r="DA104" i="5"/>
  <c r="CZ107" i="5"/>
  <c r="DB109" i="5"/>
  <c r="F72" i="5"/>
  <c r="E72" i="5"/>
  <c r="D18" i="20" s="1"/>
  <c r="CW109" i="5"/>
  <c r="CY109" i="5"/>
  <c r="H43" i="23" l="1"/>
  <c r="H45" i="23" s="1"/>
  <c r="F45" i="23"/>
  <c r="CV95" i="5"/>
  <c r="C18" i="20"/>
  <c r="DA111" i="5"/>
  <c r="DA112" i="5" s="1"/>
  <c r="CW111" i="5"/>
  <c r="CW112" i="5" s="1"/>
  <c r="G18" i="20"/>
  <c r="DG104" i="5"/>
  <c r="CZ111" i="5"/>
  <c r="CZ112" i="5" s="1"/>
  <c r="CX111" i="5"/>
  <c r="CX112" i="5" s="1"/>
  <c r="CY111" i="5"/>
  <c r="CY112" i="5" s="1"/>
  <c r="CV111" i="5"/>
  <c r="CV112" i="5" s="1"/>
  <c r="DG105" i="5"/>
  <c r="DH108" i="5"/>
  <c r="DI98" i="5"/>
  <c r="DE106" i="5"/>
  <c r="DF107" i="5"/>
  <c r="DI106" i="5"/>
  <c r="DC109" i="5"/>
  <c r="DD108" i="5"/>
  <c r="DF99" i="5"/>
  <c r="DD98" i="5"/>
  <c r="DH105" i="5"/>
  <c r="DG107" i="5"/>
  <c r="E73" i="5"/>
  <c r="D19" i="20" s="1"/>
  <c r="DF109" i="5"/>
  <c r="DF103" i="5"/>
  <c r="DG99" i="5"/>
  <c r="DI101" i="5"/>
  <c r="DF105" i="5"/>
  <c r="DE105" i="5"/>
  <c r="DI108" i="5"/>
  <c r="DD102" i="5"/>
  <c r="DD105" i="5"/>
  <c r="DB111" i="5"/>
  <c r="DB112" i="5" s="1"/>
  <c r="A74" i="5" a="1"/>
  <c r="A74" i="5" s="1"/>
  <c r="F74" i="5" s="1"/>
  <c r="DG98" i="5"/>
  <c r="DD99" i="5"/>
  <c r="DH100" i="5"/>
  <c r="DE101" i="5"/>
  <c r="DD104" i="5"/>
  <c r="DI102" i="5"/>
  <c r="DH101" i="5"/>
  <c r="DE100" i="5"/>
  <c r="DD103" i="5"/>
  <c r="DE104" i="5"/>
  <c r="DF104" i="5"/>
  <c r="DI103" i="5"/>
  <c r="DC104" i="5"/>
  <c r="DF106" i="5"/>
  <c r="DC105" i="5"/>
  <c r="DH104" i="5"/>
  <c r="DI104" i="5"/>
  <c r="DF108" i="5"/>
  <c r="DG108" i="5"/>
  <c r="DD107" i="5"/>
  <c r="DE107" i="5"/>
  <c r="B73" i="5"/>
  <c r="A19" i="20" s="1"/>
  <c r="H73" i="5"/>
  <c r="H19" i="20" s="1"/>
  <c r="DC98" i="5"/>
  <c r="DC99" i="5"/>
  <c r="DC102" i="5"/>
  <c r="DI100" i="5"/>
  <c r="DF102" i="5"/>
  <c r="DG101" i="5"/>
  <c r="DD100" i="5"/>
  <c r="DI99" i="5"/>
  <c r="DG100" i="5"/>
  <c r="DG103" i="5"/>
  <c r="DH103" i="5"/>
  <c r="DG102" i="5"/>
  <c r="DH102" i="5"/>
  <c r="DI105" i="5"/>
  <c r="DH107" i="5"/>
  <c r="F73" i="5"/>
  <c r="DE103" i="5"/>
  <c r="DD106" i="5"/>
  <c r="DC107" i="5"/>
  <c r="C73" i="5"/>
  <c r="DE96" i="5" s="1"/>
  <c r="K73" i="5"/>
  <c r="K19" i="20" s="1"/>
  <c r="J73" i="5"/>
  <c r="J19" i="20" s="1"/>
  <c r="DG109" i="5"/>
  <c r="G73" i="5"/>
  <c r="E19" i="20" s="1"/>
  <c r="B18" i="20"/>
  <c r="DF98" i="5"/>
  <c r="DH98" i="5"/>
  <c r="DF100" i="5"/>
  <c r="DE99" i="5"/>
  <c r="DF101" i="5"/>
  <c r="DC100" i="5"/>
  <c r="DH99" i="5"/>
  <c r="DE98" i="5"/>
  <c r="DC103" i="5"/>
  <c r="DE102" i="5"/>
  <c r="DH106" i="5"/>
  <c r="DC101" i="5"/>
  <c r="DD101" i="5"/>
  <c r="DC106" i="5"/>
  <c r="DI109" i="5"/>
  <c r="DI107" i="5"/>
  <c r="DC108" i="5"/>
  <c r="DE108" i="5"/>
  <c r="DG106" i="5"/>
  <c r="D73" i="5"/>
  <c r="DC96" i="5" s="1"/>
  <c r="DD109" i="5"/>
  <c r="DE109" i="5"/>
  <c r="I73" i="5"/>
  <c r="I19" i="20" s="1"/>
  <c r="G19" i="20" l="1"/>
  <c r="DC95" i="5"/>
  <c r="B19" i="20"/>
  <c r="DF111" i="5"/>
  <c r="DF112" i="5" s="1"/>
  <c r="DE111" i="5"/>
  <c r="DE112" i="5" s="1"/>
  <c r="DH111" i="5"/>
  <c r="DH112" i="5" s="1"/>
  <c r="DG111" i="5"/>
  <c r="DG112" i="5" s="1"/>
  <c r="DD111" i="5"/>
  <c r="DD112" i="5" s="1"/>
  <c r="DI111" i="5"/>
  <c r="DI112" i="5" s="1"/>
  <c r="C19" i="20"/>
  <c r="DC111" i="5"/>
  <c r="DC112" i="5" s="1"/>
  <c r="DN99" i="5"/>
  <c r="DK98" i="5"/>
  <c r="DJ99" i="5"/>
  <c r="DP101" i="5"/>
  <c r="DO99" i="5"/>
  <c r="DL98" i="5"/>
  <c r="DO103" i="5"/>
  <c r="DK102" i="5"/>
  <c r="DO100" i="5"/>
  <c r="DP103" i="5"/>
  <c r="DK101" i="5"/>
  <c r="DL101" i="5"/>
  <c r="DO105" i="5"/>
  <c r="DN104" i="5"/>
  <c r="DK105" i="5"/>
  <c r="DN107" i="5"/>
  <c r="DO107" i="5"/>
  <c r="DK108" i="5"/>
  <c r="D74" i="5"/>
  <c r="DJ96" i="5" s="1"/>
  <c r="DO108" i="5"/>
  <c r="DL107" i="5"/>
  <c r="DM107" i="5"/>
  <c r="H74" i="5"/>
  <c r="H20" i="20" s="1"/>
  <c r="DP109" i="5"/>
  <c r="DN98" i="5"/>
  <c r="DL103" i="5"/>
  <c r="DJ101" i="5"/>
  <c r="DM102" i="5"/>
  <c r="DJ104" i="5"/>
  <c r="DJ106" i="5"/>
  <c r="DJ109" i="5"/>
  <c r="DL108" i="5"/>
  <c r="DP98" i="5"/>
  <c r="DM99" i="5"/>
  <c r="DO104" i="5"/>
  <c r="DJ102" i="5"/>
  <c r="DL102" i="5"/>
  <c r="DM108" i="5"/>
  <c r="DN106" i="5"/>
  <c r="DL104" i="5"/>
  <c r="E74" i="5"/>
  <c r="D20" i="20" s="1"/>
  <c r="DK106" i="5"/>
  <c r="DM106" i="5"/>
  <c r="DK107" i="5"/>
  <c r="B74" i="5"/>
  <c r="A20" i="20" s="1"/>
  <c r="J74" i="5"/>
  <c r="J20" i="20" s="1"/>
  <c r="DN109" i="5"/>
  <c r="DO101" i="5"/>
  <c r="DP100" i="5"/>
  <c r="DK99" i="5"/>
  <c r="DJ100" i="5"/>
  <c r="DN103" i="5"/>
  <c r="DL100" i="5"/>
  <c r="DM100" i="5"/>
  <c r="DM101" i="5"/>
  <c r="DN102" i="5"/>
  <c r="DL106" i="5"/>
  <c r="DN105" i="5"/>
  <c r="DJ103" i="5"/>
  <c r="DP105" i="5"/>
  <c r="DP106" i="5"/>
  <c r="DL105" i="5"/>
  <c r="DM105" i="5"/>
  <c r="DJ108" i="5"/>
  <c r="DN108" i="5"/>
  <c r="DO106" i="5"/>
  <c r="K74" i="5"/>
  <c r="K20" i="20" s="1"/>
  <c r="DL109" i="5"/>
  <c r="I74" i="5"/>
  <c r="I20" i="20" s="1"/>
  <c r="G74" i="5"/>
  <c r="E20" i="20" s="1"/>
  <c r="A75" i="5" a="1"/>
  <c r="A75" i="5" s="1"/>
  <c r="E75" i="5" s="1"/>
  <c r="D21" i="20" s="1"/>
  <c r="DJ98" i="5"/>
  <c r="DL99" i="5"/>
  <c r="DO98" i="5"/>
  <c r="DK103" i="5"/>
  <c r="DK100" i="5"/>
  <c r="DP99" i="5"/>
  <c r="DM98" i="5"/>
  <c r="DN100" i="5"/>
  <c r="DN101" i="5"/>
  <c r="DJ105" i="5"/>
  <c r="DO102" i="5"/>
  <c r="DP102" i="5"/>
  <c r="DK104" i="5"/>
  <c r="DM104" i="5"/>
  <c r="DP104" i="5"/>
  <c r="DM103" i="5"/>
  <c r="DP107" i="5"/>
  <c r="DJ107" i="5"/>
  <c r="C74" i="5"/>
  <c r="DL96" i="5" s="1"/>
  <c r="DK109" i="5"/>
  <c r="DP108" i="5"/>
  <c r="DM109" i="5"/>
  <c r="DO109" i="5"/>
  <c r="C20" i="20" l="1"/>
  <c r="DL111" i="5"/>
  <c r="DL112" i="5" s="1"/>
  <c r="G20" i="20"/>
  <c r="DJ95" i="5"/>
  <c r="DO111" i="5"/>
  <c r="DO112" i="5" s="1"/>
  <c r="B20" i="20"/>
  <c r="DK111" i="5"/>
  <c r="DK112" i="5" s="1"/>
  <c r="DP111" i="5"/>
  <c r="DP112" i="5" s="1"/>
  <c r="DN111" i="5"/>
  <c r="DN112" i="5" s="1"/>
  <c r="DM111" i="5"/>
  <c r="DM112" i="5" s="1"/>
  <c r="DJ111" i="5"/>
  <c r="DJ112" i="5" s="1"/>
  <c r="A76" i="5" a="1"/>
  <c r="A76" i="5" s="1"/>
  <c r="B76" i="5" s="1"/>
  <c r="DR99" i="5"/>
  <c r="DT99" i="5"/>
  <c r="DU99" i="5"/>
  <c r="DR101" i="5"/>
  <c r="DU101" i="5"/>
  <c r="DV101" i="5"/>
  <c r="DU100" i="5"/>
  <c r="DV103" i="5"/>
  <c r="DQ101" i="5"/>
  <c r="DS104" i="5"/>
  <c r="DT104" i="5"/>
  <c r="DV104" i="5"/>
  <c r="K75" i="5"/>
  <c r="K21" i="20" s="1"/>
  <c r="DQ105" i="5"/>
  <c r="DS105" i="5"/>
  <c r="DU103" i="5"/>
  <c r="C75" i="5"/>
  <c r="DS96" i="5" s="1"/>
  <c r="DV108" i="5"/>
  <c r="DW106" i="5"/>
  <c r="I75" i="5"/>
  <c r="I21" i="20" s="1"/>
  <c r="DU107" i="5"/>
  <c r="DR108" i="5"/>
  <c r="DW109" i="5"/>
  <c r="DR98" i="5"/>
  <c r="DQ102" i="5"/>
  <c r="DR102" i="5"/>
  <c r="DT98" i="5"/>
  <c r="DU98" i="5"/>
  <c r="DT103" i="5"/>
  <c r="DW100" i="5"/>
  <c r="DR104" i="5"/>
  <c r="DW102" i="5"/>
  <c r="DT101" i="5"/>
  <c r="DW104" i="5"/>
  <c r="DV105" i="5"/>
  <c r="DU108" i="5"/>
  <c r="DT105" i="5"/>
  <c r="DU105" i="5"/>
  <c r="DQ107" i="5"/>
  <c r="J75" i="5"/>
  <c r="J21" i="20" s="1"/>
  <c r="DW108" i="5"/>
  <c r="DT109" i="5"/>
  <c r="DU109" i="5"/>
  <c r="F75" i="5"/>
  <c r="DT108" i="5"/>
  <c r="DS98" i="5"/>
  <c r="DW98" i="5"/>
  <c r="DQ98" i="5"/>
  <c r="DR100" i="5"/>
  <c r="DS100" i="5"/>
  <c r="DT100" i="5"/>
  <c r="DQ99" i="5"/>
  <c r="DV100" i="5"/>
  <c r="DW103" i="5"/>
  <c r="DQ103" i="5"/>
  <c r="DR103" i="5"/>
  <c r="DS103" i="5"/>
  <c r="DU106" i="5"/>
  <c r="DU104" i="5"/>
  <c r="DQ109" i="5"/>
  <c r="DS106" i="5"/>
  <c r="DT106" i="5"/>
  <c r="DR107" i="5"/>
  <c r="B75" i="5"/>
  <c r="A21" i="20" s="1"/>
  <c r="DS109" i="5"/>
  <c r="H75" i="5"/>
  <c r="H21" i="20" s="1"/>
  <c r="G75" i="5"/>
  <c r="E21" i="20" s="1"/>
  <c r="DS108" i="5"/>
  <c r="D75" i="5"/>
  <c r="DQ96" i="5" s="1"/>
  <c r="DS99" i="5"/>
  <c r="DW99" i="5"/>
  <c r="DV98" i="5"/>
  <c r="DV99" i="5"/>
  <c r="DQ100" i="5"/>
  <c r="DS102" i="5"/>
  <c r="DT102" i="5"/>
  <c r="DV102" i="5"/>
  <c r="DW101" i="5"/>
  <c r="DW105" i="5"/>
  <c r="DU102" i="5"/>
  <c r="DS101" i="5"/>
  <c r="DV107" i="5"/>
  <c r="DQ106" i="5"/>
  <c r="DR105" i="5"/>
  <c r="DW107" i="5"/>
  <c r="DR106" i="5"/>
  <c r="DQ104" i="5"/>
  <c r="DV106" i="5"/>
  <c r="DR109" i="5"/>
  <c r="DS107" i="5"/>
  <c r="DT107" i="5"/>
  <c r="DQ108" i="5"/>
  <c r="DV109" i="5"/>
  <c r="DQ111" i="5" l="1"/>
  <c r="DQ112" i="5" s="1"/>
  <c r="DT111" i="5"/>
  <c r="DT112" i="5" s="1"/>
  <c r="DX103" i="5"/>
  <c r="EC100" i="5"/>
  <c r="EB102" i="5"/>
  <c r="ED98" i="5"/>
  <c r="EA99" i="5"/>
  <c r="ED101" i="5"/>
  <c r="EA100" i="5"/>
  <c r="EB104" i="5"/>
  <c r="DY102" i="5"/>
  <c r="DZ101" i="5"/>
  <c r="DY103" i="5"/>
  <c r="DZ105" i="5"/>
  <c r="EB101" i="5"/>
  <c r="DX106" i="5"/>
  <c r="DY105" i="5"/>
  <c r="EA105" i="5"/>
  <c r="DX104" i="5"/>
  <c r="EC103" i="5"/>
  <c r="ED106" i="5"/>
  <c r="DZ109" i="5"/>
  <c r="H76" i="5"/>
  <c r="H22" i="20" s="1"/>
  <c r="G76" i="5"/>
  <c r="E22" i="20" s="1"/>
  <c r="F76" i="5"/>
  <c r="EA108" i="5"/>
  <c r="K76" i="5"/>
  <c r="K22" i="20" s="1"/>
  <c r="EC101" i="5"/>
  <c r="DY100" i="5"/>
  <c r="EB100" i="5"/>
  <c r="EC102" i="5"/>
  <c r="ED105" i="5"/>
  <c r="EC104" i="5"/>
  <c r="DY109" i="5"/>
  <c r="EC106" i="5"/>
  <c r="EA109" i="5"/>
  <c r="EC109" i="5"/>
  <c r="DX109" i="5"/>
  <c r="DX100" i="5"/>
  <c r="DZ99" i="5"/>
  <c r="DX99" i="5"/>
  <c r="EA103" i="5"/>
  <c r="A77" i="5" a="1"/>
  <c r="A77" i="5" s="1"/>
  <c r="A78" i="5" s="1" a="1"/>
  <c r="A78" i="5" s="1"/>
  <c r="EO109" i="5" s="1"/>
  <c r="EA98" i="5"/>
  <c r="DZ100" i="5"/>
  <c r="DZ102" i="5"/>
  <c r="DZ103" i="5"/>
  <c r="DZ104" i="5"/>
  <c r="EC108" i="5"/>
  <c r="ED107" i="5"/>
  <c r="ED108" i="5"/>
  <c r="EB109" i="5"/>
  <c r="E76" i="5"/>
  <c r="D22" i="20" s="1"/>
  <c r="DX98" i="5"/>
  <c r="EC99" i="5"/>
  <c r="ED103" i="5"/>
  <c r="DY99" i="5"/>
  <c r="DX101" i="5"/>
  <c r="DY101" i="5"/>
  <c r="DX105" i="5"/>
  <c r="EB103" i="5"/>
  <c r="DZ106" i="5"/>
  <c r="DX107" i="5"/>
  <c r="DY107" i="5"/>
  <c r="EB106" i="5"/>
  <c r="EC105" i="5"/>
  <c r="DZ107" i="5"/>
  <c r="EA107" i="5"/>
  <c r="DX108" i="5"/>
  <c r="DY108" i="5"/>
  <c r="ED109" i="5"/>
  <c r="EB108" i="5"/>
  <c r="C76" i="5"/>
  <c r="B22" i="20" s="1"/>
  <c r="ED99" i="5"/>
  <c r="EB99" i="5"/>
  <c r="DZ98" i="5"/>
  <c r="DY98" i="5"/>
  <c r="ED102" i="5"/>
  <c r="EB98" i="5"/>
  <c r="EC98" i="5"/>
  <c r="ED100" i="5"/>
  <c r="EA102" i="5"/>
  <c r="ED104" i="5"/>
  <c r="EA101" i="5"/>
  <c r="DX102" i="5"/>
  <c r="EA104" i="5"/>
  <c r="DY106" i="5"/>
  <c r="EA106" i="5"/>
  <c r="EB105" i="5"/>
  <c r="DY104" i="5"/>
  <c r="J76" i="5"/>
  <c r="J22" i="20" s="1"/>
  <c r="I76" i="5"/>
  <c r="I22" i="20" s="1"/>
  <c r="EB107" i="5"/>
  <c r="EC107" i="5"/>
  <c r="DZ108" i="5"/>
  <c r="D76" i="5"/>
  <c r="DX96" i="5" s="1"/>
  <c r="B21" i="20"/>
  <c r="C21" i="20"/>
  <c r="DU111" i="5"/>
  <c r="DU112" i="5" s="1"/>
  <c r="G21" i="20"/>
  <c r="DW111" i="5"/>
  <c r="DW112" i="5" s="1"/>
  <c r="DQ95" i="5"/>
  <c r="DR111" i="5"/>
  <c r="DR112" i="5" s="1"/>
  <c r="DV111" i="5"/>
  <c r="DV112" i="5" s="1"/>
  <c r="DS111" i="5"/>
  <c r="DS112" i="5" s="1"/>
  <c r="DX95" i="5"/>
  <c r="A22" i="20"/>
  <c r="G22" i="20" l="1"/>
  <c r="DZ111" i="5"/>
  <c r="DZ112" i="5" s="1"/>
  <c r="DZ96" i="5"/>
  <c r="ED111" i="5"/>
  <c r="ED112" i="5" s="1"/>
  <c r="EA111" i="5"/>
  <c r="EA112" i="5" s="1"/>
  <c r="EB111" i="5"/>
  <c r="EB112" i="5" s="1"/>
  <c r="DX111" i="5"/>
  <c r="DX112" i="5" s="1"/>
  <c r="EC111" i="5"/>
  <c r="EC112" i="5" s="1"/>
  <c r="DY111" i="5"/>
  <c r="DY112" i="5" s="1"/>
  <c r="A79" i="5" a="1"/>
  <c r="A79" i="5" s="1"/>
  <c r="EX106" i="5" s="1"/>
  <c r="C78" i="5"/>
  <c r="EN96" i="5" s="1"/>
  <c r="B78" i="5"/>
  <c r="A24" i="20" s="1"/>
  <c r="EN98" i="5"/>
  <c r="ER102" i="5"/>
  <c r="EO107" i="5"/>
  <c r="EP109" i="5"/>
  <c r="ER101" i="5"/>
  <c r="EO106" i="5"/>
  <c r="EO100" i="5"/>
  <c r="ER100" i="5"/>
  <c r="EO105" i="5"/>
  <c r="EN99" i="5"/>
  <c r="EL101" i="5"/>
  <c r="EP105" i="5"/>
  <c r="EL105" i="5"/>
  <c r="EN102" i="5"/>
  <c r="ER106" i="5"/>
  <c r="EL99" i="5"/>
  <c r="EP103" i="5"/>
  <c r="EM108" i="5"/>
  <c r="EL98" i="5"/>
  <c r="EP102" i="5"/>
  <c r="EM107" i="5"/>
  <c r="EI103" i="5"/>
  <c r="EH100" i="5"/>
  <c r="EJ99" i="5"/>
  <c r="EJ100" i="5"/>
  <c r="EE99" i="5"/>
  <c r="EG103" i="5"/>
  <c r="EI102" i="5"/>
  <c r="EJ102" i="5"/>
  <c r="EK102" i="5"/>
  <c r="EE100" i="5"/>
  <c r="EH104" i="5"/>
  <c r="EI104" i="5"/>
  <c r="EH105" i="5"/>
  <c r="EH106" i="5"/>
  <c r="EK108" i="5"/>
  <c r="EG109" i="5"/>
  <c r="EE107" i="5"/>
  <c r="EG107" i="5"/>
  <c r="EE106" i="5"/>
  <c r="G77" i="5"/>
  <c r="E23" i="20" s="1"/>
  <c r="F77" i="5"/>
  <c r="E77" i="5"/>
  <c r="D23" i="20" s="1"/>
  <c r="EE109" i="5"/>
  <c r="EJ108" i="5"/>
  <c r="E78" i="5"/>
  <c r="D24" i="20" s="1"/>
  <c r="H78" i="5"/>
  <c r="H24" i="20" s="1"/>
  <c r="F78" i="5"/>
  <c r="EO99" i="5"/>
  <c r="EL104" i="5"/>
  <c r="EP108" i="5"/>
  <c r="EO98" i="5"/>
  <c r="EL103" i="5"/>
  <c r="EP107" i="5"/>
  <c r="EO108" i="5"/>
  <c r="EL102" i="5"/>
  <c r="EP106" i="5"/>
  <c r="EN107" i="5"/>
  <c r="EM102" i="5"/>
  <c r="EQ106" i="5"/>
  <c r="ER98" i="5"/>
  <c r="EO103" i="5"/>
  <c r="EL108" i="5"/>
  <c r="EM100" i="5"/>
  <c r="EQ104" i="5"/>
  <c r="EN109" i="5"/>
  <c r="EM99" i="5"/>
  <c r="EQ103" i="5"/>
  <c r="EN108" i="5"/>
  <c r="EH99" i="5"/>
  <c r="EI98" i="5"/>
  <c r="EI100" i="5"/>
  <c r="EE103" i="5"/>
  <c r="EH102" i="5"/>
  <c r="EH101" i="5"/>
  <c r="EK101" i="5"/>
  <c r="EG101" i="5"/>
  <c r="EE104" i="5"/>
  <c r="EJ103" i="5"/>
  <c r="EF102" i="5"/>
  <c r="EF105" i="5"/>
  <c r="EG105" i="5"/>
  <c r="EJ106" i="5"/>
  <c r="EK106" i="5"/>
  <c r="EK105" i="5"/>
  <c r="EF106" i="5"/>
  <c r="H77" i="5"/>
  <c r="H23" i="20" s="1"/>
  <c r="EI109" i="5"/>
  <c r="EJ109" i="5"/>
  <c r="EK109" i="5"/>
  <c r="EI108" i="5"/>
  <c r="C77" i="5"/>
  <c r="EG96" i="5" s="1"/>
  <c r="EF98" i="5"/>
  <c r="EI99" i="5"/>
  <c r="EK99" i="5"/>
  <c r="EG102" i="5"/>
  <c r="EF101" i="5"/>
  <c r="EF99" i="5"/>
  <c r="EG99" i="5"/>
  <c r="EG100" i="5"/>
  <c r="EE102" i="5"/>
  <c r="EJ101" i="5"/>
  <c r="EJ104" i="5"/>
  <c r="EK104" i="5"/>
  <c r="EI105" i="5"/>
  <c r="EJ105" i="5"/>
  <c r="EG104" i="5"/>
  <c r="I77" i="5"/>
  <c r="I23" i="20" s="1"/>
  <c r="EH109" i="5"/>
  <c r="EE108" i="5"/>
  <c r="EF108" i="5"/>
  <c r="EG108" i="5"/>
  <c r="D77" i="5"/>
  <c r="C23" i="20" s="1"/>
  <c r="B77" i="5"/>
  <c r="A23" i="20" s="1"/>
  <c r="J77" i="5"/>
  <c r="J23" i="20" s="1"/>
  <c r="K78" i="5"/>
  <c r="K24" i="20" s="1"/>
  <c r="G78" i="5"/>
  <c r="E24" i="20" s="1"/>
  <c r="EQ102" i="5"/>
  <c r="EQ101" i="5"/>
  <c r="EN106" i="5"/>
  <c r="EP101" i="5"/>
  <c r="EQ100" i="5"/>
  <c r="EN105" i="5"/>
  <c r="ER109" i="5"/>
  <c r="EQ99" i="5"/>
  <c r="EN104" i="5"/>
  <c r="ER108" i="5"/>
  <c r="ER99" i="5"/>
  <c r="EO104" i="5"/>
  <c r="EL109" i="5"/>
  <c r="EM101" i="5"/>
  <c r="EQ105" i="5"/>
  <c r="EM106" i="5"/>
  <c r="EO102" i="5"/>
  <c r="EL107" i="5"/>
  <c r="ER103" i="5"/>
  <c r="EO101" i="5"/>
  <c r="EL106" i="5"/>
  <c r="C22" i="20"/>
  <c r="EE98" i="5"/>
  <c r="EH98" i="5"/>
  <c r="EG98" i="5"/>
  <c r="EE101" i="5"/>
  <c r="EK100" i="5"/>
  <c r="EJ98" i="5"/>
  <c r="EK98" i="5"/>
  <c r="EG106" i="5"/>
  <c r="EH103" i="5"/>
  <c r="EI101" i="5"/>
  <c r="EF100" i="5"/>
  <c r="EE105" i="5"/>
  <c r="EF103" i="5"/>
  <c r="EI106" i="5"/>
  <c r="EF104" i="5"/>
  <c r="EK103" i="5"/>
  <c r="EF107" i="5"/>
  <c r="EH107" i="5"/>
  <c r="EI107" i="5"/>
  <c r="EJ107" i="5"/>
  <c r="EK107" i="5"/>
  <c r="EH108" i="5"/>
  <c r="K77" i="5"/>
  <c r="K23" i="20" s="1"/>
  <c r="EF109" i="5"/>
  <c r="D78" i="5"/>
  <c r="EL96" i="5" s="1"/>
  <c r="J78" i="5"/>
  <c r="J24" i="20" s="1"/>
  <c r="I78" i="5"/>
  <c r="I24" i="20" s="1"/>
  <c r="EP100" i="5"/>
  <c r="EM105" i="5"/>
  <c r="EQ109" i="5"/>
  <c r="EP99" i="5"/>
  <c r="EM104" i="5"/>
  <c r="EQ108" i="5"/>
  <c r="EP98" i="5"/>
  <c r="EM103" i="5"/>
  <c r="EQ107" i="5"/>
  <c r="EQ98" i="5"/>
  <c r="EN103" i="5"/>
  <c r="ER107" i="5"/>
  <c r="EL100" i="5"/>
  <c r="EP104" i="5"/>
  <c r="EM109" i="5"/>
  <c r="EN101" i="5"/>
  <c r="ER105" i="5"/>
  <c r="EM98" i="5"/>
  <c r="EN100" i="5"/>
  <c r="ER104" i="5"/>
  <c r="EU101" i="5" l="1"/>
  <c r="ES106" i="5"/>
  <c r="EY98" i="5"/>
  <c r="EW99" i="5"/>
  <c r="EU104" i="5"/>
  <c r="ES100" i="5"/>
  <c r="EV101" i="5"/>
  <c r="ET106" i="5"/>
  <c r="EW108" i="5"/>
  <c r="EX99" i="5"/>
  <c r="EW105" i="5"/>
  <c r="H79" i="5"/>
  <c r="H25" i="20" s="1"/>
  <c r="EY106" i="5"/>
  <c r="EW101" i="5"/>
  <c r="ES104" i="5"/>
  <c r="EX108" i="5"/>
  <c r="ES101" i="5"/>
  <c r="E79" i="5"/>
  <c r="D25" i="20" s="1"/>
  <c r="EY105" i="5"/>
  <c r="EU102" i="5"/>
  <c r="EV99" i="5"/>
  <c r="ET104" i="5"/>
  <c r="EY108" i="5"/>
  <c r="B79" i="5"/>
  <c r="A25" i="20" s="1"/>
  <c r="C79" i="5"/>
  <c r="EU96" i="5" s="1"/>
  <c r="F79" i="5"/>
  <c r="ET100" i="5"/>
  <c r="EX104" i="5"/>
  <c r="EU109" i="5"/>
  <c r="EU100" i="5"/>
  <c r="EY104" i="5"/>
  <c r="EV109" i="5"/>
  <c r="EV100" i="5"/>
  <c r="ES105" i="5"/>
  <c r="EW109" i="5"/>
  <c r="EU98" i="5"/>
  <c r="EY102" i="5"/>
  <c r="EV107" i="5"/>
  <c r="EV98" i="5"/>
  <c r="ES103" i="5"/>
  <c r="EW107" i="5"/>
  <c r="EW98" i="5"/>
  <c r="ET103" i="5"/>
  <c r="EX107" i="5"/>
  <c r="EY99" i="5"/>
  <c r="EV104" i="5"/>
  <c r="ES109" i="5"/>
  <c r="J79" i="5"/>
  <c r="J25" i="20" s="1"/>
  <c r="I79" i="5"/>
  <c r="I25" i="20" s="1"/>
  <c r="K79" i="5"/>
  <c r="K25" i="20" s="1"/>
  <c r="ES99" i="5"/>
  <c r="EW103" i="5"/>
  <c r="ET108" i="5"/>
  <c r="ET99" i="5"/>
  <c r="EX103" i="5"/>
  <c r="EU108" i="5"/>
  <c r="EU99" i="5"/>
  <c r="EY103" i="5"/>
  <c r="EV108" i="5"/>
  <c r="ET109" i="5"/>
  <c r="EX101" i="5"/>
  <c r="EU106" i="5"/>
  <c r="ET101" i="5"/>
  <c r="EY101" i="5"/>
  <c r="EV106" i="5"/>
  <c r="EW104" i="5"/>
  <c r="ES102" i="5"/>
  <c r="EW106" i="5"/>
  <c r="EX98" i="5"/>
  <c r="EU103" i="5"/>
  <c r="EY107" i="5"/>
  <c r="A80" i="5" a="1"/>
  <c r="A80" i="5" s="1"/>
  <c r="FE109" i="5" s="1"/>
  <c r="D79" i="5"/>
  <c r="ES96" i="5" s="1"/>
  <c r="G79" i="5"/>
  <c r="E25" i="20" s="1"/>
  <c r="EX105" i="5"/>
  <c r="EV102" i="5"/>
  <c r="ES107" i="5"/>
  <c r="ES98" i="5"/>
  <c r="EW102" i="5"/>
  <c r="ET107" i="5"/>
  <c r="ET98" i="5"/>
  <c r="EX102" i="5"/>
  <c r="EU107" i="5"/>
  <c r="EV103" i="5"/>
  <c r="EW100" i="5"/>
  <c r="ET105" i="5"/>
  <c r="EX109" i="5"/>
  <c r="EX100" i="5"/>
  <c r="EU105" i="5"/>
  <c r="EY109" i="5"/>
  <c r="EY100" i="5"/>
  <c r="EV105" i="5"/>
  <c r="ES108" i="5"/>
  <c r="ET102" i="5"/>
  <c r="EE111" i="5"/>
  <c r="EE112" i="5" s="1"/>
  <c r="G23" i="20"/>
  <c r="EE96" i="5"/>
  <c r="C24" i="20"/>
  <c r="B24" i="20"/>
  <c r="B23" i="20"/>
  <c r="EL95" i="5"/>
  <c r="ER111" i="5"/>
  <c r="ER112" i="5" s="1"/>
  <c r="EE95" i="5"/>
  <c r="EH111" i="5"/>
  <c r="EH112" i="5" s="1"/>
  <c r="EJ111" i="5"/>
  <c r="EJ112" i="5" s="1"/>
  <c r="G24" i="20"/>
  <c r="EK111" i="5"/>
  <c r="EK112" i="5" s="1"/>
  <c r="EG111" i="5"/>
  <c r="EG112" i="5" s="1"/>
  <c r="EO111" i="5"/>
  <c r="EO112" i="5" s="1"/>
  <c r="EN111" i="5"/>
  <c r="EN112" i="5" s="1"/>
  <c r="EM111" i="5"/>
  <c r="EM112" i="5" s="1"/>
  <c r="EP111" i="5"/>
  <c r="EP112" i="5" s="1"/>
  <c r="EI111" i="5"/>
  <c r="EI112" i="5" s="1"/>
  <c r="EL111" i="5"/>
  <c r="EL112" i="5" s="1"/>
  <c r="EQ111" i="5"/>
  <c r="EQ112" i="5" s="1"/>
  <c r="EF111" i="5"/>
  <c r="EF112" i="5" s="1"/>
  <c r="B25" i="20" l="1"/>
  <c r="EY111" i="5"/>
  <c r="EY112" i="5" s="1"/>
  <c r="ES111" i="5"/>
  <c r="ES112" i="5" s="1"/>
  <c r="EX111" i="5"/>
  <c r="EX112" i="5" s="1"/>
  <c r="EW111" i="5"/>
  <c r="EW112" i="5" s="1"/>
  <c r="EU111" i="5"/>
  <c r="EU112" i="5" s="1"/>
  <c r="EV111" i="5"/>
  <c r="EV112" i="5" s="1"/>
  <c r="G25" i="20"/>
  <c r="C25" i="20"/>
  <c r="ES95" i="5"/>
  <c r="ET111" i="5"/>
  <c r="ET112" i="5" s="1"/>
  <c r="E80" i="5"/>
  <c r="D26" i="20" s="1"/>
  <c r="EZ103" i="5"/>
  <c r="FE99" i="5"/>
  <c r="FF108" i="5"/>
  <c r="FC104" i="5"/>
  <c r="EZ100" i="5"/>
  <c r="FA109" i="5"/>
  <c r="FA100" i="5"/>
  <c r="FD109" i="5"/>
  <c r="FC101" i="5"/>
  <c r="EZ106" i="5"/>
  <c r="FA105" i="5"/>
  <c r="FD101" i="5"/>
  <c r="FA106" i="5"/>
  <c r="FC109" i="5"/>
  <c r="A81" i="5" a="1"/>
  <c r="A81" i="5" s="1"/>
  <c r="FI109" i="5" s="1"/>
  <c r="H80" i="5"/>
  <c r="H26" i="20" s="1"/>
  <c r="K80" i="5"/>
  <c r="K26" i="20" s="1"/>
  <c r="EZ104" i="5"/>
  <c r="FF101" i="5"/>
  <c r="FC106" i="5"/>
  <c r="FD98" i="5"/>
  <c r="FA103" i="5"/>
  <c r="FE107" i="5"/>
  <c r="FE98" i="5"/>
  <c r="FB103" i="5"/>
  <c r="FF107" i="5"/>
  <c r="FF98" i="5"/>
  <c r="FC103" i="5"/>
  <c r="EZ108" i="5"/>
  <c r="EZ99" i="5"/>
  <c r="FD103" i="5"/>
  <c r="FA108" i="5"/>
  <c r="FB100" i="5"/>
  <c r="FF104" i="5"/>
  <c r="FF109" i="5"/>
  <c r="FC100" i="5"/>
  <c r="EZ105" i="5"/>
  <c r="FB109" i="5"/>
  <c r="F80" i="5"/>
  <c r="D80" i="5"/>
  <c r="EZ96" i="5" s="1"/>
  <c r="FC99" i="5"/>
  <c r="FE100" i="5"/>
  <c r="FB105" i="5"/>
  <c r="FE101" i="5"/>
  <c r="EZ102" i="5"/>
  <c r="FD106" i="5"/>
  <c r="FC107" i="5"/>
  <c r="FA102" i="5"/>
  <c r="FE106" i="5"/>
  <c r="FD108" i="5"/>
  <c r="FB102" i="5"/>
  <c r="FF106" i="5"/>
  <c r="FB106" i="5"/>
  <c r="FC102" i="5"/>
  <c r="EZ107" i="5"/>
  <c r="FA99" i="5"/>
  <c r="FE103" i="5"/>
  <c r="FB108" i="5"/>
  <c r="FB99" i="5"/>
  <c r="FF103" i="5"/>
  <c r="FC108" i="5"/>
  <c r="B80" i="5"/>
  <c r="A26" i="20" s="1"/>
  <c r="C80" i="5"/>
  <c r="B26" i="20" s="1"/>
  <c r="FC98" i="5"/>
  <c r="FD107" i="5"/>
  <c r="FB104" i="5"/>
  <c r="FF99" i="5"/>
  <c r="EZ109" i="5"/>
  <c r="FD104" i="5"/>
  <c r="FE104" i="5"/>
  <c r="G80" i="5"/>
  <c r="E26" i="20" s="1"/>
  <c r="I80" i="5"/>
  <c r="I26" i="20" s="1"/>
  <c r="J80" i="5"/>
  <c r="J26" i="20" s="1"/>
  <c r="FD99" i="5"/>
  <c r="FA104" i="5"/>
  <c r="FE108" i="5"/>
  <c r="FF100" i="5"/>
  <c r="FC105" i="5"/>
  <c r="FD100" i="5"/>
  <c r="EZ101" i="5"/>
  <c r="FD105" i="5"/>
  <c r="FF102" i="5"/>
  <c r="FA101" i="5"/>
  <c r="FE105" i="5"/>
  <c r="FB98" i="5"/>
  <c r="FB101" i="5"/>
  <c r="FF105" i="5"/>
  <c r="EZ98" i="5"/>
  <c r="FD102" i="5"/>
  <c r="FA107" i="5"/>
  <c r="FA98" i="5"/>
  <c r="FE102" i="5"/>
  <c r="FB107" i="5"/>
  <c r="EZ111" i="5" l="1"/>
  <c r="EZ112" i="5" s="1"/>
  <c r="FC111" i="5"/>
  <c r="FC112" i="5" s="1"/>
  <c r="FF111" i="5"/>
  <c r="FF112" i="5" s="1"/>
  <c r="FE111" i="5"/>
  <c r="FE112" i="5" s="1"/>
  <c r="FD111" i="5"/>
  <c r="FD112" i="5" s="1"/>
  <c r="C26" i="20"/>
  <c r="G26" i="20"/>
  <c r="FB96" i="5"/>
  <c r="FB111" i="5"/>
  <c r="FB112" i="5" s="1"/>
  <c r="FA111" i="5"/>
  <c r="FA112" i="5" s="1"/>
  <c r="EZ95" i="5"/>
  <c r="I81" i="5"/>
  <c r="I27" i="20" s="1"/>
  <c r="FK100" i="5"/>
  <c r="K81" i="5"/>
  <c r="K27" i="20" s="1"/>
  <c r="G81" i="5"/>
  <c r="E27" i="20" s="1"/>
  <c r="E81" i="5"/>
  <c r="D27" i="20" s="1"/>
  <c r="FG99" i="5"/>
  <c r="FH105" i="5"/>
  <c r="FJ107" i="5"/>
  <c r="FL109" i="5"/>
  <c r="FH99" i="5"/>
  <c r="FL103" i="5"/>
  <c r="FI108" i="5"/>
  <c r="FG105" i="5"/>
  <c r="FK109" i="5"/>
  <c r="FM101" i="5"/>
  <c r="FJ106" i="5"/>
  <c r="FK98" i="5"/>
  <c r="FH103" i="5"/>
  <c r="FL107" i="5"/>
  <c r="FG101" i="5"/>
  <c r="FK105" i="5"/>
  <c r="FM98" i="5"/>
  <c r="FJ103" i="5"/>
  <c r="FG108" i="5"/>
  <c r="FJ102" i="5"/>
  <c r="FG107" i="5"/>
  <c r="H81" i="5"/>
  <c r="H27" i="20" s="1"/>
  <c r="FG104" i="5"/>
  <c r="FJ99" i="5"/>
  <c r="FH98" i="5"/>
  <c r="FI100" i="5"/>
  <c r="FM104" i="5"/>
  <c r="FJ109" i="5"/>
  <c r="FH106" i="5"/>
  <c r="FJ98" i="5"/>
  <c r="FG103" i="5"/>
  <c r="FK107" i="5"/>
  <c r="FL99" i="5"/>
  <c r="FI104" i="5"/>
  <c r="FM108" i="5"/>
  <c r="FH102" i="5"/>
  <c r="FL106" i="5"/>
  <c r="FG100" i="5"/>
  <c r="FK104" i="5"/>
  <c r="FH109" i="5"/>
  <c r="FK103" i="5"/>
  <c r="FH108" i="5"/>
  <c r="D81" i="5"/>
  <c r="C27" i="20" s="1"/>
  <c r="B81" i="5"/>
  <c r="A27" i="20" s="1"/>
  <c r="F81" i="5"/>
  <c r="FI98" i="5"/>
  <c r="FI99" i="5"/>
  <c r="FJ100" i="5"/>
  <c r="FK101" i="5"/>
  <c r="FG98" i="5"/>
  <c r="FK102" i="5"/>
  <c r="FH107" i="5"/>
  <c r="FM103" i="5"/>
  <c r="FJ108" i="5"/>
  <c r="FL100" i="5"/>
  <c r="FI105" i="5"/>
  <c r="FM109" i="5"/>
  <c r="FG102" i="5"/>
  <c r="FK106" i="5"/>
  <c r="FM99" i="5"/>
  <c r="FJ104" i="5"/>
  <c r="FG109" i="5"/>
  <c r="FI102" i="5"/>
  <c r="FM106" i="5"/>
  <c r="FI101" i="5"/>
  <c r="FM105" i="5"/>
  <c r="A82" i="5" a="1"/>
  <c r="A82" i="5" s="1"/>
  <c r="FR107" i="5" s="1"/>
  <c r="J81" i="5"/>
  <c r="J27" i="20" s="1"/>
  <c r="C81" i="5"/>
  <c r="B27" i="20" s="1"/>
  <c r="FM102" i="5"/>
  <c r="FI106" i="5"/>
  <c r="FK108" i="5"/>
  <c r="FL101" i="5"/>
  <c r="FJ101" i="5"/>
  <c r="FG106" i="5"/>
  <c r="FL102" i="5"/>
  <c r="FI107" i="5"/>
  <c r="FK99" i="5"/>
  <c r="FH104" i="5"/>
  <c r="FL108" i="5"/>
  <c r="FM100" i="5"/>
  <c r="FJ105" i="5"/>
  <c r="FL98" i="5"/>
  <c r="FI103" i="5"/>
  <c r="FM107" i="5"/>
  <c r="FH101" i="5"/>
  <c r="FL105" i="5"/>
  <c r="FH100" i="5"/>
  <c r="FL104" i="5"/>
  <c r="FG111" i="5" l="1"/>
  <c r="FG112" i="5" s="1"/>
  <c r="FM111" i="5"/>
  <c r="FM112" i="5" s="1"/>
  <c r="FK111" i="5"/>
  <c r="FK112" i="5" s="1"/>
  <c r="FJ111" i="5"/>
  <c r="FJ112" i="5" s="1"/>
  <c r="G27" i="20"/>
  <c r="FG96" i="5"/>
  <c r="FH111" i="5"/>
  <c r="FH112" i="5" s="1"/>
  <c r="FL111" i="5"/>
  <c r="FL112" i="5" s="1"/>
  <c r="FI111" i="5"/>
  <c r="FI112" i="5" s="1"/>
  <c r="FI96" i="5"/>
  <c r="FG95" i="5"/>
  <c r="FT98" i="5"/>
  <c r="FQ105" i="5"/>
  <c r="FP103" i="5"/>
  <c r="FP101" i="5"/>
  <c r="FN98" i="5"/>
  <c r="FO107" i="5"/>
  <c r="FT103" i="5"/>
  <c r="FR100" i="5"/>
  <c r="FT101" i="5"/>
  <c r="FT106" i="5"/>
  <c r="FT108" i="5"/>
  <c r="FO100" i="5"/>
  <c r="FQ101" i="5"/>
  <c r="FS102" i="5"/>
  <c r="FQ99" i="5"/>
  <c r="FN104" i="5"/>
  <c r="FS100" i="5"/>
  <c r="FP105" i="5"/>
  <c r="FT109" i="5"/>
  <c r="E82" i="5"/>
  <c r="D28" i="20" s="1"/>
  <c r="C82" i="5"/>
  <c r="B28" i="20" s="1"/>
  <c r="FO109" i="5"/>
  <c r="FN100" i="5"/>
  <c r="FT100" i="5"/>
  <c r="FS98" i="5"/>
  <c r="FT107" i="5"/>
  <c r="FT105" i="5"/>
  <c r="FR102" i="5"/>
  <c r="FP99" i="5"/>
  <c r="FQ108" i="5"/>
  <c r="FO105" i="5"/>
  <c r="FS109" i="5"/>
  <c r="FQ106" i="5"/>
  <c r="FS99" i="5"/>
  <c r="FO102" i="5"/>
  <c r="FS104" i="5"/>
  <c r="FN106" i="5"/>
  <c r="FP107" i="5"/>
  <c r="FR108" i="5"/>
  <c r="F82" i="5"/>
  <c r="B82" i="5"/>
  <c r="A28" i="20" s="1"/>
  <c r="FP102" i="5"/>
  <c r="FS105" i="5"/>
  <c r="FR98" i="5"/>
  <c r="FO103" i="5"/>
  <c r="FS107" i="5"/>
  <c r="FN101" i="5"/>
  <c r="FR105" i="5"/>
  <c r="FN99" i="5"/>
  <c r="FR103" i="5"/>
  <c r="FO108" i="5"/>
  <c r="FP100" i="5"/>
  <c r="FT104" i="5"/>
  <c r="FQ109" i="5"/>
  <c r="FR101" i="5"/>
  <c r="FO106" i="5"/>
  <c r="FP98" i="5"/>
  <c r="FT102" i="5"/>
  <c r="FQ107" i="5"/>
  <c r="FR99" i="5"/>
  <c r="FO104" i="5"/>
  <c r="FS108" i="5"/>
  <c r="A83" i="5" a="1"/>
  <c r="A83" i="5" s="1"/>
  <c r="K83" i="5" s="1"/>
  <c r="K29" i="20" s="1"/>
  <c r="I82" i="5"/>
  <c r="I28" i="20" s="1"/>
  <c r="H82" i="5"/>
  <c r="H28" i="20" s="1"/>
  <c r="FQ103" i="5"/>
  <c r="FP104" i="5"/>
  <c r="FS106" i="5"/>
  <c r="FP109" i="5"/>
  <c r="FO98" i="5"/>
  <c r="K82" i="5"/>
  <c r="K28" i="20" s="1"/>
  <c r="G82" i="5"/>
  <c r="E28" i="20" s="1"/>
  <c r="J82" i="5"/>
  <c r="J28" i="20" s="1"/>
  <c r="D82" i="5"/>
  <c r="FN96" i="5" s="1"/>
  <c r="FO101" i="5"/>
  <c r="FR104" i="5"/>
  <c r="FN108" i="5"/>
  <c r="FN102" i="5"/>
  <c r="FR106" i="5"/>
  <c r="FT99" i="5"/>
  <c r="FQ104" i="5"/>
  <c r="FN109" i="5"/>
  <c r="FQ102" i="5"/>
  <c r="FN107" i="5"/>
  <c r="FO99" i="5"/>
  <c r="FS103" i="5"/>
  <c r="FP108" i="5"/>
  <c r="FQ100" i="5"/>
  <c r="FN105" i="5"/>
  <c r="FR109" i="5"/>
  <c r="FS101" i="5"/>
  <c r="FP106" i="5"/>
  <c r="FQ98" i="5"/>
  <c r="FN103" i="5"/>
  <c r="FP96" i="5" l="1"/>
  <c r="FT111" i="5"/>
  <c r="FT112" i="5" s="1"/>
  <c r="FN95" i="5"/>
  <c r="FN111" i="5"/>
  <c r="FN112" i="5" s="1"/>
  <c r="FQ111" i="5"/>
  <c r="FQ112" i="5" s="1"/>
  <c r="FS111" i="5"/>
  <c r="FS112" i="5" s="1"/>
  <c r="FR111" i="5"/>
  <c r="FR112" i="5" s="1"/>
  <c r="G28" i="20"/>
  <c r="FP111" i="5"/>
  <c r="FP112" i="5" s="1"/>
  <c r="C28" i="20"/>
  <c r="FO111" i="5"/>
  <c r="FO112" i="5" s="1"/>
  <c r="FX107" i="5"/>
  <c r="FV105" i="5"/>
  <c r="FU106" i="5"/>
  <c r="FZ102" i="5"/>
  <c r="FY99" i="5"/>
  <c r="FZ108" i="5"/>
  <c r="FX105" i="5"/>
  <c r="FW103" i="5"/>
  <c r="H83" i="5"/>
  <c r="H29" i="20" s="1"/>
  <c r="FX99" i="5"/>
  <c r="FZ101" i="5"/>
  <c r="FU98" i="5"/>
  <c r="FY102" i="5"/>
  <c r="FV107" i="5"/>
  <c r="FW99" i="5"/>
  <c r="GA103" i="5"/>
  <c r="FX108" i="5"/>
  <c r="FZ100" i="5"/>
  <c r="FW105" i="5"/>
  <c r="GA109" i="5"/>
  <c r="FU102" i="5"/>
  <c r="FY106" i="5"/>
  <c r="GA99" i="5"/>
  <c r="FX104" i="5"/>
  <c r="FU109" i="5"/>
  <c r="FW102" i="5"/>
  <c r="GA106" i="5"/>
  <c r="FV100" i="5"/>
  <c r="FZ104" i="5"/>
  <c r="FW109" i="5"/>
  <c r="C83" i="5"/>
  <c r="FW96" i="5" s="1"/>
  <c r="A84" i="5" a="1"/>
  <c r="A84" i="5" s="1"/>
  <c r="A85" i="5" s="1" a="1"/>
  <c r="A85" i="5" s="1"/>
  <c r="GJ108" i="5" s="1"/>
  <c r="J83" i="5"/>
  <c r="J29" i="20" s="1"/>
  <c r="FZ109" i="5"/>
  <c r="FX101" i="5"/>
  <c r="FV98" i="5"/>
  <c r="FW107" i="5"/>
  <c r="FV104" i="5"/>
  <c r="GA100" i="5"/>
  <c r="FZ98" i="5"/>
  <c r="GA107" i="5"/>
  <c r="FV101" i="5"/>
  <c r="FZ105" i="5"/>
  <c r="FU99" i="5"/>
  <c r="FY103" i="5"/>
  <c r="FV108" i="5"/>
  <c r="E83" i="5"/>
  <c r="D29" i="20" s="1"/>
  <c r="D83" i="5"/>
  <c r="C29" i="20" s="1"/>
  <c r="FW98" i="5"/>
  <c r="FY100" i="5"/>
  <c r="FU104" i="5"/>
  <c r="FW100" i="5"/>
  <c r="GA104" i="5"/>
  <c r="FX109" i="5"/>
  <c r="FY101" i="5"/>
  <c r="FV106" i="5"/>
  <c r="FX98" i="5"/>
  <c r="FU103" i="5"/>
  <c r="FY107" i="5"/>
  <c r="FZ99" i="5"/>
  <c r="FW104" i="5"/>
  <c r="GA108" i="5"/>
  <c r="FV102" i="5"/>
  <c r="FZ106" i="5"/>
  <c r="FU100" i="5"/>
  <c r="FY104" i="5"/>
  <c r="FV109" i="5"/>
  <c r="FX102" i="5"/>
  <c r="FU107" i="5"/>
  <c r="I83" i="5"/>
  <c r="I29" i="20" s="1"/>
  <c r="F83" i="5"/>
  <c r="B83" i="5"/>
  <c r="A29" i="20" s="1"/>
  <c r="FW106" i="5"/>
  <c r="FY108" i="5"/>
  <c r="GA102" i="5"/>
  <c r="FV99" i="5"/>
  <c r="FZ103" i="5"/>
  <c r="FW108" i="5"/>
  <c r="FX100" i="5"/>
  <c r="FU105" i="5"/>
  <c r="FY109" i="5"/>
  <c r="GA101" i="5"/>
  <c r="FX106" i="5"/>
  <c r="FY98" i="5"/>
  <c r="FV103" i="5"/>
  <c r="FZ107" i="5"/>
  <c r="FU101" i="5"/>
  <c r="FY105" i="5"/>
  <c r="GA98" i="5"/>
  <c r="FX103" i="5"/>
  <c r="FU108" i="5"/>
  <c r="FW101" i="5"/>
  <c r="GA105" i="5"/>
  <c r="G83" i="5"/>
  <c r="E29" i="20" s="1"/>
  <c r="G29" i="20" l="1"/>
  <c r="B29" i="20"/>
  <c r="GA111" i="5"/>
  <c r="GA112" i="5" s="1"/>
  <c r="FU111" i="5"/>
  <c r="FU112" i="5" s="1"/>
  <c r="FX111" i="5"/>
  <c r="FX112" i="5" s="1"/>
  <c r="FZ111" i="5"/>
  <c r="FZ112" i="5" s="1"/>
  <c r="FY111" i="5"/>
  <c r="FY112" i="5" s="1"/>
  <c r="FW111" i="5"/>
  <c r="FW112" i="5" s="1"/>
  <c r="FU96" i="5"/>
  <c r="FV111" i="5"/>
  <c r="FV112" i="5" s="1"/>
  <c r="A86" i="5" a="1"/>
  <c r="A86" i="5" s="1"/>
  <c r="GU108" i="5" s="1"/>
  <c r="C85" i="5"/>
  <c r="GK96" i="5" s="1"/>
  <c r="E85" i="5"/>
  <c r="D31" i="20" s="1"/>
  <c r="G84" i="5"/>
  <c r="E30" i="20" s="1"/>
  <c r="GE103" i="5"/>
  <c r="GC109" i="5"/>
  <c r="GG99" i="5"/>
  <c r="GD104" i="5"/>
  <c r="GH108" i="5"/>
  <c r="GC102" i="5"/>
  <c r="GG106" i="5"/>
  <c r="GC100" i="5"/>
  <c r="GG104" i="5"/>
  <c r="GD109" i="5"/>
  <c r="GE101" i="5"/>
  <c r="GB106" i="5"/>
  <c r="GC98" i="5"/>
  <c r="GG102" i="5"/>
  <c r="GD107" i="5"/>
  <c r="GE99" i="5"/>
  <c r="GB104" i="5"/>
  <c r="GF108" i="5"/>
  <c r="GG100" i="5"/>
  <c r="GD105" i="5"/>
  <c r="GH109" i="5"/>
  <c r="J84" i="5"/>
  <c r="J30" i="20" s="1"/>
  <c r="GN101" i="5"/>
  <c r="GJ105" i="5"/>
  <c r="GM100" i="5"/>
  <c r="GJ99" i="5"/>
  <c r="GN103" i="5"/>
  <c r="GK108" i="5"/>
  <c r="GL100" i="5"/>
  <c r="GI105" i="5"/>
  <c r="GM109" i="5"/>
  <c r="GO101" i="5"/>
  <c r="GL106" i="5"/>
  <c r="GM98" i="5"/>
  <c r="GJ103" i="5"/>
  <c r="GN107" i="5"/>
  <c r="GI101" i="5"/>
  <c r="GM105" i="5"/>
  <c r="GO98" i="5"/>
  <c r="GL103" i="5"/>
  <c r="GI108" i="5"/>
  <c r="GK101" i="5"/>
  <c r="GO105" i="5"/>
  <c r="FU95" i="5"/>
  <c r="F85" i="5"/>
  <c r="G85" i="5"/>
  <c r="E31" i="20" s="1"/>
  <c r="GF104" i="5"/>
  <c r="GH98" i="5"/>
  <c r="GH100" i="5"/>
  <c r="GE105" i="5"/>
  <c r="GG98" i="5"/>
  <c r="GD103" i="5"/>
  <c r="GH107" i="5"/>
  <c r="GH105" i="5"/>
  <c r="GB98" i="5"/>
  <c r="GF102" i="5"/>
  <c r="GC107" i="5"/>
  <c r="GD99" i="5"/>
  <c r="GH103" i="5"/>
  <c r="GE108" i="5"/>
  <c r="GF100" i="5"/>
  <c r="GC105" i="5"/>
  <c r="GG109" i="5"/>
  <c r="GH101" i="5"/>
  <c r="GE106" i="5"/>
  <c r="F84" i="5"/>
  <c r="GO102" i="5"/>
  <c r="GK106" i="5"/>
  <c r="GL99" i="5"/>
  <c r="GK100" i="5"/>
  <c r="GO104" i="5"/>
  <c r="GL109" i="5"/>
  <c r="GM101" i="5"/>
  <c r="GJ106" i="5"/>
  <c r="GL98" i="5"/>
  <c r="GI103" i="5"/>
  <c r="GM107" i="5"/>
  <c r="GN99" i="5"/>
  <c r="GK104" i="5"/>
  <c r="GO108" i="5"/>
  <c r="GJ102" i="5"/>
  <c r="GN106" i="5"/>
  <c r="GI100" i="5"/>
  <c r="GM104" i="5"/>
  <c r="GJ109" i="5"/>
  <c r="GL102" i="5"/>
  <c r="GI107" i="5"/>
  <c r="GH106" i="5"/>
  <c r="GF98" i="5"/>
  <c r="GF105" i="5"/>
  <c r="GD98" i="5"/>
  <c r="J85" i="5"/>
  <c r="J31" i="20" s="1"/>
  <c r="C84" i="5"/>
  <c r="B30" i="20" s="1"/>
  <c r="GC101" i="5"/>
  <c r="GD101" i="5"/>
  <c r="D85" i="5"/>
  <c r="C31" i="20" s="1"/>
  <c r="H85" i="5"/>
  <c r="H31" i="20" s="1"/>
  <c r="K84" i="5"/>
  <c r="K30" i="20" s="1"/>
  <c r="GB100" i="5"/>
  <c r="GC103" i="5"/>
  <c r="GG107" i="5"/>
  <c r="GB101" i="5"/>
  <c r="GB99" i="5"/>
  <c r="GF103" i="5"/>
  <c r="GC108" i="5"/>
  <c r="GD100" i="5"/>
  <c r="GH104" i="5"/>
  <c r="GE109" i="5"/>
  <c r="GF101" i="5"/>
  <c r="GC106" i="5"/>
  <c r="GH102" i="5"/>
  <c r="GE107" i="5"/>
  <c r="GF99" i="5"/>
  <c r="GC104" i="5"/>
  <c r="GG108" i="5"/>
  <c r="I84" i="5"/>
  <c r="I30" i="20" s="1"/>
  <c r="B84" i="5"/>
  <c r="GB95" i="5" s="1"/>
  <c r="GI104" i="5"/>
  <c r="GL107" i="5"/>
  <c r="GI98" i="5"/>
  <c r="GM102" i="5"/>
  <c r="GJ107" i="5"/>
  <c r="GK99" i="5"/>
  <c r="GO103" i="5"/>
  <c r="GL108" i="5"/>
  <c r="GN100" i="5"/>
  <c r="GK105" i="5"/>
  <c r="GO109" i="5"/>
  <c r="GI102" i="5"/>
  <c r="GM106" i="5"/>
  <c r="GO99" i="5"/>
  <c r="GL104" i="5"/>
  <c r="GI109" i="5"/>
  <c r="GK102" i="5"/>
  <c r="GO106" i="5"/>
  <c r="GJ100" i="5"/>
  <c r="GN104" i="5"/>
  <c r="GK109" i="5"/>
  <c r="K85" i="5"/>
  <c r="K31" i="20" s="1"/>
  <c r="B85" i="5"/>
  <c r="GI95" i="5" s="1"/>
  <c r="I85" i="5"/>
  <c r="I31" i="20" s="1"/>
  <c r="H84" i="5"/>
  <c r="H30" i="20" s="1"/>
  <c r="GG105" i="5"/>
  <c r="GB108" i="5"/>
  <c r="GD102" i="5"/>
  <c r="GB102" i="5"/>
  <c r="GF106" i="5"/>
  <c r="GH99" i="5"/>
  <c r="GE104" i="5"/>
  <c r="GB109" i="5"/>
  <c r="GE102" i="5"/>
  <c r="GB107" i="5"/>
  <c r="GC99" i="5"/>
  <c r="GG103" i="5"/>
  <c r="GD108" i="5"/>
  <c r="GE100" i="5"/>
  <c r="GB105" i="5"/>
  <c r="GF109" i="5"/>
  <c r="GG101" i="5"/>
  <c r="GD106" i="5"/>
  <c r="GE98" i="5"/>
  <c r="GB103" i="5"/>
  <c r="GF107" i="5"/>
  <c r="D84" i="5"/>
  <c r="C30" i="20" s="1"/>
  <c r="E84" i="5"/>
  <c r="D30" i="20" s="1"/>
  <c r="GN109" i="5"/>
  <c r="GK98" i="5"/>
  <c r="GM108" i="5"/>
  <c r="GL101" i="5"/>
  <c r="GI106" i="5"/>
  <c r="GJ98" i="5"/>
  <c r="GN102" i="5"/>
  <c r="GK107" i="5"/>
  <c r="GM99" i="5"/>
  <c r="GJ104" i="5"/>
  <c r="GN108" i="5"/>
  <c r="GO100" i="5"/>
  <c r="GL105" i="5"/>
  <c r="GN98" i="5"/>
  <c r="GK103" i="5"/>
  <c r="GO107" i="5"/>
  <c r="GJ101" i="5"/>
  <c r="GN105" i="5"/>
  <c r="GI99" i="5"/>
  <c r="GM103" i="5"/>
  <c r="GQ101" i="5" l="1"/>
  <c r="GU98" i="5"/>
  <c r="GV105" i="5"/>
  <c r="GR99" i="5"/>
  <c r="GQ105" i="5"/>
  <c r="GQ109" i="5"/>
  <c r="GV108" i="5"/>
  <c r="GU104" i="5"/>
  <c r="GQ98" i="5"/>
  <c r="GP104" i="5"/>
  <c r="GV109" i="5"/>
  <c r="K86" i="5"/>
  <c r="K32" i="20" s="1"/>
  <c r="GU99" i="5"/>
  <c r="GU106" i="5"/>
  <c r="GS101" i="5"/>
  <c r="GR107" i="5"/>
  <c r="GU100" i="5"/>
  <c r="E86" i="5"/>
  <c r="D32" i="20" s="1"/>
  <c r="GV100" i="5"/>
  <c r="GV107" i="5"/>
  <c r="GT102" i="5"/>
  <c r="GS108" i="5"/>
  <c r="GV101" i="5"/>
  <c r="A87" i="5" a="1"/>
  <c r="A87" i="5" s="1"/>
  <c r="GX108" i="5" s="1"/>
  <c r="GS103" i="5"/>
  <c r="GR104" i="5"/>
  <c r="GQ102" i="5"/>
  <c r="GQ100" i="5"/>
  <c r="GR109" i="5"/>
  <c r="GP106" i="5"/>
  <c r="GU102" i="5"/>
  <c r="GS99" i="5"/>
  <c r="GT108" i="5"/>
  <c r="GR105" i="5"/>
  <c r="F86" i="5"/>
  <c r="J86" i="5"/>
  <c r="J32" i="20" s="1"/>
  <c r="GV98" i="5"/>
  <c r="GT104" i="5"/>
  <c r="GS105" i="5"/>
  <c r="GR103" i="5"/>
  <c r="GR101" i="5"/>
  <c r="GP98" i="5"/>
  <c r="GQ107" i="5"/>
  <c r="GV103" i="5"/>
  <c r="GT100" i="5"/>
  <c r="GU109" i="5"/>
  <c r="GS106" i="5"/>
  <c r="I86" i="5"/>
  <c r="I32" i="20" s="1"/>
  <c r="H86" i="5"/>
  <c r="H32" i="20" s="1"/>
  <c r="C86" i="5"/>
  <c r="B32" i="20" s="1"/>
  <c r="GP108" i="5"/>
  <c r="GR102" i="5"/>
  <c r="GU105" i="5"/>
  <c r="GP102" i="5"/>
  <c r="GT106" i="5"/>
  <c r="GV99" i="5"/>
  <c r="GS104" i="5"/>
  <c r="GP109" i="5"/>
  <c r="GS102" i="5"/>
  <c r="GP107" i="5"/>
  <c r="GQ99" i="5"/>
  <c r="GU103" i="5"/>
  <c r="GR108" i="5"/>
  <c r="GS100" i="5"/>
  <c r="GP105" i="5"/>
  <c r="GT109" i="5"/>
  <c r="GU101" i="5"/>
  <c r="GR106" i="5"/>
  <c r="GS98" i="5"/>
  <c r="GP103" i="5"/>
  <c r="GT107" i="5"/>
  <c r="G86" i="5"/>
  <c r="E32" i="20" s="1"/>
  <c r="D86" i="5"/>
  <c r="GP96" i="5" s="1"/>
  <c r="B86" i="5"/>
  <c r="GP95" i="5" s="1"/>
  <c r="GP100" i="5"/>
  <c r="GV106" i="5"/>
  <c r="GT98" i="5"/>
  <c r="GQ103" i="5"/>
  <c r="GU107" i="5"/>
  <c r="GP101" i="5"/>
  <c r="GT105" i="5"/>
  <c r="GP99" i="5"/>
  <c r="GT103" i="5"/>
  <c r="GQ108" i="5"/>
  <c r="GR100" i="5"/>
  <c r="GV104" i="5"/>
  <c r="GS109" i="5"/>
  <c r="GT101" i="5"/>
  <c r="GQ106" i="5"/>
  <c r="GR98" i="5"/>
  <c r="GV102" i="5"/>
  <c r="GS107" i="5"/>
  <c r="GT99" i="5"/>
  <c r="GQ104" i="5"/>
  <c r="B31" i="20"/>
  <c r="GH111" i="5"/>
  <c r="GH112" i="5" s="1"/>
  <c r="G30" i="20"/>
  <c r="GE111" i="5"/>
  <c r="GE112" i="5" s="1"/>
  <c r="GB111" i="5"/>
  <c r="GB112" i="5" s="1"/>
  <c r="GN111" i="5"/>
  <c r="GN112" i="5" s="1"/>
  <c r="GG111" i="5"/>
  <c r="GG112" i="5" s="1"/>
  <c r="A31" i="20"/>
  <c r="GO111" i="5"/>
  <c r="GO112" i="5" s="1"/>
  <c r="GI111" i="5"/>
  <c r="GI112" i="5" s="1"/>
  <c r="GL111" i="5"/>
  <c r="GL112" i="5" s="1"/>
  <c r="GM111" i="5"/>
  <c r="GM112" i="5" s="1"/>
  <c r="A30" i="20"/>
  <c r="GF111" i="5"/>
  <c r="GF112" i="5" s="1"/>
  <c r="GD96" i="5"/>
  <c r="GK111" i="5"/>
  <c r="GK112" i="5" s="1"/>
  <c r="GD111" i="5"/>
  <c r="GD112" i="5" s="1"/>
  <c r="GI96" i="5"/>
  <c r="GC111" i="5"/>
  <c r="GC112" i="5" s="1"/>
  <c r="G31" i="20"/>
  <c r="GB96" i="5"/>
  <c r="GJ111" i="5"/>
  <c r="GJ112" i="5" s="1"/>
  <c r="GR96" i="5" l="1"/>
  <c r="A32" i="20"/>
  <c r="G32" i="20"/>
  <c r="I87" i="5"/>
  <c r="I33" i="20" s="1"/>
  <c r="I35" i="20" s="1"/>
  <c r="HB101" i="5"/>
  <c r="Q122" i="5" s="1"/>
  <c r="S122" i="5" s="1"/>
  <c r="GY108" i="5"/>
  <c r="H129" i="5" s="1"/>
  <c r="J129" i="5" s="1"/>
  <c r="GZ108" i="5"/>
  <c r="K129" i="5" s="1"/>
  <c r="M129" i="5" s="1"/>
  <c r="HA107" i="5"/>
  <c r="N128" i="5" s="1"/>
  <c r="P128" i="5" s="1"/>
  <c r="HB107" i="5"/>
  <c r="Q128" i="5" s="1"/>
  <c r="S128" i="5" s="1"/>
  <c r="GW109" i="5"/>
  <c r="B130" i="5" s="1"/>
  <c r="D130" i="5" s="1"/>
  <c r="GX109" i="5"/>
  <c r="E130" i="5" s="1"/>
  <c r="G130" i="5" s="1"/>
  <c r="E87" i="5"/>
  <c r="D33" i="20" s="1"/>
  <c r="D35" i="20" s="1"/>
  <c r="GZ99" i="5"/>
  <c r="HB103" i="5"/>
  <c r="Q124" i="5" s="1"/>
  <c r="S124" i="5" s="1"/>
  <c r="HC103" i="5"/>
  <c r="T124" i="5" s="1"/>
  <c r="V124" i="5" s="1"/>
  <c r="HA109" i="5"/>
  <c r="N130" i="5" s="1"/>
  <c r="P130" i="5" s="1"/>
  <c r="GX103" i="5"/>
  <c r="E124" i="5" s="1"/>
  <c r="G124" i="5" s="1"/>
  <c r="GZ104" i="5"/>
  <c r="K125" i="5" s="1"/>
  <c r="M125" i="5" s="1"/>
  <c r="HA104" i="5"/>
  <c r="N125" i="5" s="1"/>
  <c r="P125" i="5" s="1"/>
  <c r="HC105" i="5"/>
  <c r="T126" i="5" s="1"/>
  <c r="V126" i="5" s="1"/>
  <c r="J87" i="5"/>
  <c r="J33" i="20" s="1"/>
  <c r="J35" i="20" s="1"/>
  <c r="C87" i="5"/>
  <c r="B33" i="20" s="1"/>
  <c r="GW104" i="5"/>
  <c r="B125" i="5" s="1"/>
  <c r="D125" i="5" s="1"/>
  <c r="HA100" i="5"/>
  <c r="N121" i="5" s="1"/>
  <c r="P121" i="5" s="1"/>
  <c r="GX99" i="5"/>
  <c r="E120" i="5" s="1"/>
  <c r="G120" i="5" s="1"/>
  <c r="HC104" i="5"/>
  <c r="T125" i="5" s="1"/>
  <c r="V125" i="5" s="1"/>
  <c r="GY99" i="5"/>
  <c r="H120" i="5" s="1"/>
  <c r="J120" i="5" s="1"/>
  <c r="GW105" i="5"/>
  <c r="B126" i="5" s="1"/>
  <c r="D126" i="5" s="1"/>
  <c r="GZ98" i="5"/>
  <c r="K119" i="5" s="1"/>
  <c r="GY105" i="5"/>
  <c r="H126" i="5" s="1"/>
  <c r="J126" i="5" s="1"/>
  <c r="HA98" i="5"/>
  <c r="GY104" i="5"/>
  <c r="H125" i="5" s="1"/>
  <c r="J125" i="5" s="1"/>
  <c r="HC99" i="5"/>
  <c r="T120" i="5" s="1"/>
  <c r="V120" i="5" s="1"/>
  <c r="HA105" i="5"/>
  <c r="N126" i="5" s="1"/>
  <c r="P126" i="5" s="1"/>
  <c r="GW100" i="5"/>
  <c r="B121" i="5" s="1"/>
  <c r="D121" i="5" s="1"/>
  <c r="HC106" i="5"/>
  <c r="T127" i="5" s="1"/>
  <c r="V127" i="5" s="1"/>
  <c r="GY101" i="5"/>
  <c r="H122" i="5" s="1"/>
  <c r="J122" i="5" s="1"/>
  <c r="GW107" i="5"/>
  <c r="B128" i="5" s="1"/>
  <c r="D128" i="5" s="1"/>
  <c r="D87" i="5"/>
  <c r="C33" i="20" s="1"/>
  <c r="GZ107" i="5"/>
  <c r="K128" i="5" s="1"/>
  <c r="M128" i="5" s="1"/>
  <c r="HA102" i="5"/>
  <c r="N123" i="5" s="1"/>
  <c r="P123" i="5" s="1"/>
  <c r="HA101" i="5"/>
  <c r="N122" i="5" s="1"/>
  <c r="P122" i="5" s="1"/>
  <c r="HC101" i="5"/>
  <c r="T122" i="5" s="1"/>
  <c r="V122" i="5" s="1"/>
  <c r="GW102" i="5"/>
  <c r="B123" i="5" s="1"/>
  <c r="D123" i="5" s="1"/>
  <c r="GX102" i="5"/>
  <c r="E123" i="5" s="1"/>
  <c r="G123" i="5" s="1"/>
  <c r="GZ103" i="5"/>
  <c r="K124" i="5" s="1"/>
  <c r="M124" i="5" s="1"/>
  <c r="HB104" i="5"/>
  <c r="Q125" i="5" s="1"/>
  <c r="S125" i="5" s="1"/>
  <c r="GX105" i="5"/>
  <c r="E126" i="5" s="1"/>
  <c r="G126" i="5" s="1"/>
  <c r="GW98" i="5"/>
  <c r="B119" i="5" s="1"/>
  <c r="GZ109" i="5"/>
  <c r="K130" i="5" s="1"/>
  <c r="M130" i="5" s="1"/>
  <c r="GW103" i="5"/>
  <c r="B124" i="5" s="1"/>
  <c r="D124" i="5" s="1"/>
  <c r="HC109" i="5"/>
  <c r="T130" i="5" s="1"/>
  <c r="V130" i="5" s="1"/>
  <c r="HC108" i="5"/>
  <c r="T129" i="5" s="1"/>
  <c r="V129" i="5" s="1"/>
  <c r="HC98" i="5"/>
  <c r="T119" i="5" s="1"/>
  <c r="GX100" i="5"/>
  <c r="E121" i="5" s="1"/>
  <c r="G121" i="5" s="1"/>
  <c r="H87" i="5"/>
  <c r="H33" i="20" s="1"/>
  <c r="H35" i="20" s="1"/>
  <c r="B87" i="5"/>
  <c r="A33" i="20" s="1"/>
  <c r="GY98" i="5"/>
  <c r="H119" i="5" s="1"/>
  <c r="HB109" i="5"/>
  <c r="Q130" i="5" s="1"/>
  <c r="S130" i="5" s="1"/>
  <c r="GY100" i="5"/>
  <c r="H121" i="5" s="1"/>
  <c r="J121" i="5" s="1"/>
  <c r="GX107" i="5"/>
  <c r="E128" i="5" s="1"/>
  <c r="G128" i="5" s="1"/>
  <c r="GZ100" i="5"/>
  <c r="K121" i="5" s="1"/>
  <c r="M121" i="5" s="1"/>
  <c r="GX106" i="5"/>
  <c r="E127" i="5" s="1"/>
  <c r="G127" i="5" s="1"/>
  <c r="HB100" i="5"/>
  <c r="Q121" i="5" s="1"/>
  <c r="S121" i="5" s="1"/>
  <c r="GZ106" i="5"/>
  <c r="K127" i="5" s="1"/>
  <c r="M127" i="5" s="1"/>
  <c r="HB99" i="5"/>
  <c r="Q120" i="5" s="1"/>
  <c r="S120" i="5" s="1"/>
  <c r="HA106" i="5"/>
  <c r="N127" i="5" s="1"/>
  <c r="P127" i="5" s="1"/>
  <c r="GW101" i="5"/>
  <c r="B122" i="5" s="1"/>
  <c r="D122" i="5" s="1"/>
  <c r="HB106" i="5"/>
  <c r="Q127" i="5" s="1"/>
  <c r="S127" i="5" s="1"/>
  <c r="GY102" i="5"/>
  <c r="H123" i="5" s="1"/>
  <c r="J123" i="5" s="1"/>
  <c r="GW108" i="5"/>
  <c r="B129" i="5" s="1"/>
  <c r="D129" i="5" s="1"/>
  <c r="GZ102" i="5"/>
  <c r="K123" i="5" s="1"/>
  <c r="M123" i="5" s="1"/>
  <c r="GY109" i="5"/>
  <c r="H130" i="5" s="1"/>
  <c r="J130" i="5" s="1"/>
  <c r="K87" i="5"/>
  <c r="K33" i="20" s="1"/>
  <c r="K35" i="20" s="1"/>
  <c r="F87" i="5"/>
  <c r="F89" i="5" s="1"/>
  <c r="F90" i="5" s="1"/>
  <c r="G87" i="5"/>
  <c r="E33" i="20" s="1"/>
  <c r="E35" i="20" s="1"/>
  <c r="GY106" i="5"/>
  <c r="H127" i="5" s="1"/>
  <c r="J127" i="5" s="1"/>
  <c r="HA108" i="5"/>
  <c r="N129" i="5" s="1"/>
  <c r="P129" i="5" s="1"/>
  <c r="HC102" i="5"/>
  <c r="T123" i="5" s="1"/>
  <c r="V123" i="5" s="1"/>
  <c r="GZ101" i="5"/>
  <c r="K122" i="5" s="1"/>
  <c r="M122" i="5" s="1"/>
  <c r="GW106" i="5"/>
  <c r="B127" i="5" s="1"/>
  <c r="D127" i="5" s="1"/>
  <c r="GX98" i="5"/>
  <c r="E119" i="5" s="1"/>
  <c r="HB102" i="5"/>
  <c r="Q123" i="5" s="1"/>
  <c r="S123" i="5" s="1"/>
  <c r="GY107" i="5"/>
  <c r="H128" i="5" s="1"/>
  <c r="J128" i="5" s="1"/>
  <c r="HA99" i="5"/>
  <c r="GX104" i="5"/>
  <c r="E125" i="5" s="1"/>
  <c r="G125" i="5" s="1"/>
  <c r="HB108" i="5"/>
  <c r="Q129" i="5" s="1"/>
  <c r="S129" i="5" s="1"/>
  <c r="HC100" i="5"/>
  <c r="GZ105" i="5"/>
  <c r="K126" i="5" s="1"/>
  <c r="M126" i="5" s="1"/>
  <c r="HB98" i="5"/>
  <c r="GY103" i="5"/>
  <c r="H124" i="5" s="1"/>
  <c r="J124" i="5" s="1"/>
  <c r="HC107" i="5"/>
  <c r="T128" i="5" s="1"/>
  <c r="V128" i="5" s="1"/>
  <c r="GX101" i="5"/>
  <c r="HB105" i="5"/>
  <c r="Q126" i="5" s="1"/>
  <c r="S126" i="5" s="1"/>
  <c r="GW99" i="5"/>
  <c r="B120" i="5" s="1"/>
  <c r="D120" i="5" s="1"/>
  <c r="HA103" i="5"/>
  <c r="N124" i="5" s="1"/>
  <c r="P124" i="5" s="1"/>
  <c r="GU111" i="5"/>
  <c r="GU112" i="5" s="1"/>
  <c r="GR111" i="5"/>
  <c r="GR112" i="5" s="1"/>
  <c r="GV111" i="5"/>
  <c r="GV112" i="5" s="1"/>
  <c r="C32" i="20"/>
  <c r="GT111" i="5"/>
  <c r="GT112" i="5" s="1"/>
  <c r="GP111" i="5"/>
  <c r="GP112" i="5" s="1"/>
  <c r="GS111" i="5"/>
  <c r="GS112" i="5" s="1"/>
  <c r="GQ111" i="5"/>
  <c r="GQ112" i="5" s="1"/>
  <c r="E129" i="5"/>
  <c r="G129" i="5" s="1"/>
  <c r="K120" i="5"/>
  <c r="M120" i="5" s="1"/>
  <c r="N119" i="5"/>
  <c r="J89" i="5"/>
  <c r="J90" i="5" s="1"/>
  <c r="GW95" i="5" l="1"/>
  <c r="E89" i="5"/>
  <c r="E90" i="5" s="1"/>
  <c r="G89" i="5"/>
  <c r="G90" i="5" s="1"/>
  <c r="I89" i="5"/>
  <c r="I90" i="5" s="1"/>
  <c r="H89" i="5"/>
  <c r="H90" i="5" s="1"/>
  <c r="GY96" i="5"/>
  <c r="HB111" i="5"/>
  <c r="HB112" i="5" s="1"/>
  <c r="Q119" i="5"/>
  <c r="Q132" i="5" s="1"/>
  <c r="K89" i="5"/>
  <c r="K90" i="5" s="1"/>
  <c r="HC111" i="5"/>
  <c r="HC112" i="5" s="1"/>
  <c r="GY111" i="5"/>
  <c r="GY112" i="5" s="1"/>
  <c r="T121" i="5"/>
  <c r="V121" i="5" s="1"/>
  <c r="GW96" i="5"/>
  <c r="G33" i="20"/>
  <c r="GX111" i="5"/>
  <c r="GX112" i="5" s="1"/>
  <c r="GZ111" i="5"/>
  <c r="GZ112" i="5" s="1"/>
  <c r="HA111" i="5"/>
  <c r="HA112" i="5" s="1"/>
  <c r="GW111" i="5"/>
  <c r="GW112" i="5" s="1"/>
  <c r="E122" i="5"/>
  <c r="G122" i="5" s="1"/>
  <c r="N120" i="5"/>
  <c r="P120" i="5" s="1"/>
  <c r="J36" i="20"/>
  <c r="G119" i="5"/>
  <c r="K132" i="5"/>
  <c r="M119" i="5"/>
  <c r="M132" i="5" s="1"/>
  <c r="B132" i="5"/>
  <c r="D119" i="5"/>
  <c r="D132" i="5" s="1"/>
  <c r="V119" i="5"/>
  <c r="P119" i="5"/>
  <c r="J119" i="5"/>
  <c r="J132" i="5" s="1"/>
  <c r="H132" i="5"/>
  <c r="D36" i="20" l="1"/>
  <c r="E36" i="20"/>
  <c r="I36" i="20"/>
  <c r="H36" i="20"/>
  <c r="S119" i="5"/>
  <c r="S132" i="5" s="1"/>
  <c r="K36" i="20"/>
  <c r="V132" i="5"/>
  <c r="T132" i="5"/>
  <c r="P132" i="5"/>
  <c r="G132" i="5"/>
  <c r="E132" i="5"/>
  <c r="N132" i="5"/>
</calcChain>
</file>

<file path=xl/sharedStrings.xml><?xml version="1.0" encoding="utf-8"?>
<sst xmlns="http://schemas.openxmlformats.org/spreadsheetml/2006/main" count="1743" uniqueCount="564">
  <si>
    <t>NAME OF THE CLIENT</t>
  </si>
  <si>
    <t>CONSTITUTION</t>
  </si>
  <si>
    <t>DATE OF INCORPORATION</t>
  </si>
  <si>
    <t>PAN</t>
  </si>
  <si>
    <t>TAN</t>
  </si>
  <si>
    <t>PRINCIPAL ADDRESS OF THE CLIENT</t>
  </si>
  <si>
    <t>ADDITIONAL PLACE OF BUSINESS</t>
  </si>
  <si>
    <t>GSTIN IN KARNATAKA</t>
  </si>
  <si>
    <t>GSTIN OUTSIDE KARNATAKA</t>
  </si>
  <si>
    <t>PERIOD OF AUDIT</t>
  </si>
  <si>
    <t>NATURE OF BUSINESS</t>
  </si>
  <si>
    <t>PRINCIPAL ITEMS OF GOODS TRADED</t>
  </si>
  <si>
    <t>TAXABLE TURNOVER DURING THE YEAR</t>
  </si>
  <si>
    <t>EXEMPT TURNOVER DURING THE YEAR</t>
  </si>
  <si>
    <t>TURNOVER TAXABLE UNDER RCM</t>
  </si>
  <si>
    <t>PERIODICITY OF GSTR 1</t>
  </si>
  <si>
    <t>WHETHER GSTR 9A APPLICABLE</t>
  </si>
  <si>
    <t>CONTACT PERSON</t>
  </si>
  <si>
    <t>CONTACT NUMBER</t>
  </si>
  <si>
    <t>DATE OF FILING GSTR 9</t>
  </si>
  <si>
    <t>DATE OF FILING GSTR 9A</t>
  </si>
  <si>
    <t>NAME OF THE STATUTORY AUDITOR</t>
  </si>
  <si>
    <t>RESPONSIBLE PERSON</t>
  </si>
  <si>
    <t>INDIVIDUAL</t>
  </si>
  <si>
    <t>HUF</t>
  </si>
  <si>
    <t>PARTNERSHIP FIRM</t>
  </si>
  <si>
    <t>LLP</t>
  </si>
  <si>
    <t>PRIVATE LIMITED COMPANY</t>
  </si>
  <si>
    <t>PUBLIC LIMITED COMPANY</t>
  </si>
  <si>
    <t>AOP/BOI</t>
  </si>
  <si>
    <t>ANDAMAN AND NICOBAR ISLANDS</t>
  </si>
  <si>
    <t>ANDHRA PRADESH</t>
  </si>
  <si>
    <t>ARUNACHAL PRADESH</t>
  </si>
  <si>
    <t>ASSAM</t>
  </si>
  <si>
    <t>BIHAR</t>
  </si>
  <si>
    <t>CHANDIGARH</t>
  </si>
  <si>
    <t>CHATTISGARH</t>
  </si>
  <si>
    <t>DADRA AND NAGAR HAVELI</t>
  </si>
  <si>
    <t>DAMAN AND DIU</t>
  </si>
  <si>
    <t>DELHI</t>
  </si>
  <si>
    <t>GOA</t>
  </si>
  <si>
    <t>GUJARAT</t>
  </si>
  <si>
    <t>HARYANA</t>
  </si>
  <si>
    <t>HIMACHAL PRADESH</t>
  </si>
  <si>
    <t>JAMMU AND KASHMIR</t>
  </si>
  <si>
    <t>JHARKHAND</t>
  </si>
  <si>
    <t>KARNATAKA</t>
  </si>
  <si>
    <t>KERALA</t>
  </si>
  <si>
    <t>LAKSHADWEEP ISLANDS</t>
  </si>
  <si>
    <t>MADHYA PRADESH</t>
  </si>
  <si>
    <t>MAHARASHTRA</t>
  </si>
  <si>
    <t>MANIPUR</t>
  </si>
  <si>
    <t>MEGHALAYA</t>
  </si>
  <si>
    <t>MIZORAM</t>
  </si>
  <si>
    <t>NAGALAND</t>
  </si>
  <si>
    <t>ODISHA</t>
  </si>
  <si>
    <t>PONDICHERRY</t>
  </si>
  <si>
    <t>PUNJAB</t>
  </si>
  <si>
    <t>RAJASTHAN</t>
  </si>
  <si>
    <t>SIKKIM</t>
  </si>
  <si>
    <t>TAMIL NADU</t>
  </si>
  <si>
    <t>TELANGANA</t>
  </si>
  <si>
    <t>TRIPURA</t>
  </si>
  <si>
    <t>UTTAR PRADESH</t>
  </si>
  <si>
    <t>UTTARAKHAND</t>
  </si>
  <si>
    <t>WEST BENGAL</t>
  </si>
  <si>
    <t>2018-19</t>
  </si>
  <si>
    <t>MANUFACTURING</t>
  </si>
  <si>
    <t>MANUFACTURING CUM TRADING</t>
  </si>
  <si>
    <t>WHOLESALE TRADING</t>
  </si>
  <si>
    <t>WHOLESALE TRADING CUM SERVICES</t>
  </si>
  <si>
    <t>RETAIL TRADING</t>
  </si>
  <si>
    <t>WHOLESALE CUM RETAIL TRADING</t>
  </si>
  <si>
    <t>SERVICES</t>
  </si>
  <si>
    <t>MONTHLY</t>
  </si>
  <si>
    <t>QUARTERLY</t>
  </si>
  <si>
    <t>YES</t>
  </si>
  <si>
    <t>NO</t>
  </si>
  <si>
    <t>SHEET DETAILS</t>
  </si>
  <si>
    <t>OUTWARD AND REVERSE CHARGE SUPPLIES</t>
  </si>
  <si>
    <t>5.1 INTEREST AND LATE FEES</t>
  </si>
  <si>
    <t>FILLED BY</t>
  </si>
  <si>
    <t>MONTH</t>
  </si>
  <si>
    <t>DATE OF FILING GSTR 3B</t>
  </si>
  <si>
    <t>DUE DATE OF FILING GSTR 3B</t>
  </si>
  <si>
    <t>DELAY IN FILING</t>
  </si>
  <si>
    <t>3.1 (a) OUTWARD TAXABLE SUPPLIES (OTHER THAN ZERO RATED, NIL RATED AND EXEMPTED)</t>
  </si>
  <si>
    <t>INTEGRATED TAX</t>
  </si>
  <si>
    <t>CENTRAL TAX</t>
  </si>
  <si>
    <t>STATE/ UT TAX</t>
  </si>
  <si>
    <t>CESS</t>
  </si>
  <si>
    <t>TOTAL</t>
  </si>
  <si>
    <t>Sub Total</t>
  </si>
  <si>
    <t>3.1 (b) (c) (d) (e)</t>
  </si>
  <si>
    <t>3.1 (b)
ZERO RATED OUTWARD SUPPLIES</t>
  </si>
  <si>
    <t>3.1 (e)
NON GST OUTWARD SUPPLIES</t>
  </si>
  <si>
    <t>TAXABLE VALUE</t>
  </si>
  <si>
    <t>3.2 OF THE SUPPLIES SHOWN IN 3.1 (A), DETAILS OF INTER-STATE SUPPLIES MADE TO UNREGISTERED PERSONS, COMPOSITION TAXABLE PERSON AND UIN HOLDERS</t>
  </si>
  <si>
    <t>INTER STATE SUPPLIES TO URD</t>
  </si>
  <si>
    <t>INTER STATE SUPPLIES TO COMPOSITE TAXABLE PERSONS</t>
  </si>
  <si>
    <t>SUPPLIES MADE TO UIN HOLDERS</t>
  </si>
  <si>
    <t>IGST</t>
  </si>
  <si>
    <t>INWARD SUPPLIES - ELIGIBLE INPUT TAX CREDIT</t>
  </si>
  <si>
    <t>4 (A)   ITC AVAILABLE</t>
  </si>
  <si>
    <t>ITC AVAILED</t>
  </si>
  <si>
    <t>CGST</t>
  </si>
  <si>
    <t>SGST</t>
  </si>
  <si>
    <t>4 (B)   ITC REVERSED</t>
  </si>
  <si>
    <t>ITC REVERSED</t>
  </si>
  <si>
    <t>4 (C)   NET ITC AVAILABLE</t>
  </si>
  <si>
    <t>NET ITC AVAILED</t>
  </si>
  <si>
    <t>4 (D)   INELIGIBLE ITC</t>
  </si>
  <si>
    <t>INELIGIBLE ITC</t>
  </si>
  <si>
    <t>5. VALUES OF EXEMPT, NIL-RATED AND NON-GST INWARD SUPPLIES</t>
  </si>
  <si>
    <t>EXEMPT SUPPLIES</t>
  </si>
  <si>
    <t>INTER STATE SUPPLIES</t>
  </si>
  <si>
    <t>INTRA STATE SUPPLIES</t>
  </si>
  <si>
    <t>EXEMPT, NIL RATED</t>
  </si>
  <si>
    <t>NON GST SUPPLIES</t>
  </si>
  <si>
    <t>OUTWARD SUPPLIES - GSTR1</t>
  </si>
  <si>
    <t>GSTR1 FILING DETAILS</t>
  </si>
  <si>
    <t>DATE OF FILING GSTR 1</t>
  </si>
  <si>
    <t>DUE DATE OF FILING GSTR 1</t>
  </si>
  <si>
    <t>4A, 4B, 4C, 6B, 6C - B2B INVOICES</t>
  </si>
  <si>
    <t>9B - CREDIT / DEBIT NOTES</t>
  </si>
  <si>
    <t>6A - EXPORTS INVOICES INCLUDING SUPPLIES TO SEZ</t>
  </si>
  <si>
    <t>7 - B2C (OTHERS)</t>
  </si>
  <si>
    <t>8 - NIL-RATED, EXEMPT AND NON-GST OUTWARD SUPPLIES</t>
  </si>
  <si>
    <t>NIL RATED SUPPLIES</t>
  </si>
  <si>
    <t>11A(1), 11A(2) - ADVANCES RECEIVED</t>
  </si>
  <si>
    <t>11B(1), 11B(2) - ADVANCES ADJUSTED</t>
  </si>
  <si>
    <t>POSITIVE AMENDMENTS</t>
  </si>
  <si>
    <t>EXEMPT</t>
  </si>
  <si>
    <t>NEGETIVE AMENDMENTS</t>
  </si>
  <si>
    <t>12 - HSN SUMMARY OF OUTWARD SUPPLY</t>
  </si>
  <si>
    <t>HSQC</t>
  </si>
  <si>
    <t>HSN/SAC</t>
  </si>
  <si>
    <t>DESCRIPTION</t>
  </si>
  <si>
    <t>UQC</t>
  </si>
  <si>
    <t>TOTAL QUANTITY</t>
  </si>
  <si>
    <t>TOTAL VALUE</t>
  </si>
  <si>
    <t>Check</t>
  </si>
  <si>
    <t>Anciliary</t>
  </si>
  <si>
    <t>SUMMARIES</t>
  </si>
  <si>
    <t>SUMMARY OF INWARD 3B</t>
  </si>
  <si>
    <t>DETAILS</t>
  </si>
  <si>
    <t>(A) ITC Available</t>
  </si>
  <si>
    <t>Current Year</t>
  </si>
  <si>
    <t>Next Year</t>
  </si>
  <si>
    <t>Total</t>
  </si>
  <si>
    <t>(B) ITC Reversed</t>
  </si>
  <si>
    <t>(D) Ineligible ITC</t>
  </si>
  <si>
    <t>IMPORTS &amp; REVERSE CHARGE</t>
  </si>
  <si>
    <t>Details</t>
  </si>
  <si>
    <t>Integrated Tax</t>
  </si>
  <si>
    <t>Central Tax</t>
  </si>
  <si>
    <t>State/ UT Tax</t>
  </si>
  <si>
    <t>Cess</t>
  </si>
  <si>
    <t>ITC FROM IMPORTS</t>
  </si>
  <si>
    <t>(B) ITC from RC</t>
  </si>
  <si>
    <t>HSN</t>
  </si>
  <si>
    <t>(C) Net ITC Available</t>
  </si>
  <si>
    <t>ITEM NAME</t>
  </si>
  <si>
    <t>HSN SUMMARY - YEARLY</t>
  </si>
  <si>
    <t>HSN SUMMARY - MONTHLY BREAKUP</t>
  </si>
  <si>
    <t>HSN SUMMARY - RECO</t>
  </si>
  <si>
    <t>GSTR1</t>
  </si>
  <si>
    <t>Monthly</t>
  </si>
  <si>
    <t>Diff</t>
  </si>
  <si>
    <t>BOA (AUDITED) OUTWARD</t>
  </si>
  <si>
    <t>TAXABLE OUTWARD SUPPLIES</t>
  </si>
  <si>
    <t>TAXABLE OUTWARD SUPPLIES  @ 5%</t>
  </si>
  <si>
    <t>TAXABLE OUTWARD SUPPLIES  @ 12%</t>
  </si>
  <si>
    <t>TAXABLE OUTWARD SUPPLIES  @ 18%</t>
  </si>
  <si>
    <t>TAXABLE OUTWARD SUPPLIES  @ 28%</t>
  </si>
  <si>
    <t>CREDIT NOTES</t>
  </si>
  <si>
    <t>CREDIT NOTE  @ 5%</t>
  </si>
  <si>
    <t>CREDIT NOTE  @ 12%</t>
  </si>
  <si>
    <t>CREDIT NOTE  @ 18%</t>
  </si>
  <si>
    <t>CREDIT NOTE  @ 28%</t>
  </si>
  <si>
    <t xml:space="preserve">EXEMPT &amp; RCM OUTWARD SUPPLIES </t>
  </si>
  <si>
    <t>INTEREST RECEIVED</t>
  </si>
  <si>
    <t>OTHER EXEMPT SUPPLIES</t>
  </si>
  <si>
    <t>CREDIT NOTES (EXEMPT)</t>
  </si>
  <si>
    <t>NET EXEMPT SUPPLIES</t>
  </si>
  <si>
    <t>SUPPLIES ON WHICH RECIPIENT IS LIABLE TO PAY TAX ON RCM</t>
  </si>
  <si>
    <t>ZERO RATED OUTWARD SUPPLIES</t>
  </si>
  <si>
    <t>DIRECT EXPORTS</t>
  </si>
  <si>
    <t>SUPPLIES TO SEZ</t>
  </si>
  <si>
    <t>NET ZERO RATES SUPPLIES</t>
  </si>
  <si>
    <t>Term used in BOA</t>
  </si>
  <si>
    <t>NET NILL RATES SUPPLIES</t>
  </si>
  <si>
    <t>NON GST OUTWARD SUPPLIES</t>
  </si>
  <si>
    <t>OTHER NON GST SUPPLIES</t>
  </si>
  <si>
    <t>NET NON GST SUPPLIES</t>
  </si>
  <si>
    <t>ADVANCES RECEIVED - LOCAL</t>
  </si>
  <si>
    <t>ADVANCES ADJUSTED</t>
  </si>
  <si>
    <t>ADVANCES RECEIVED</t>
  </si>
  <si>
    <t>ADVANCES RECEIVED - INTERSTATE</t>
  </si>
  <si>
    <t>REVERSE CHARGES</t>
  </si>
  <si>
    <t>SECURITY CHARGES UNDER RCM</t>
  </si>
  <si>
    <t>PURCHASES UNDER RCM</t>
  </si>
  <si>
    <t>REVERSE CHARGES - SEC 9(3)</t>
  </si>
  <si>
    <t>REVERSE CHARGES - INWARD SUPPLIES FROM UNREGISTERED DEALERS - SEC 9(4)</t>
  </si>
  <si>
    <t>OTHER TAXABLE OUTWARD SUPPLIES</t>
  </si>
  <si>
    <t>QUALITY AND RATE DIFFERENCE</t>
  </si>
  <si>
    <t>RENT RECEIVED</t>
  </si>
  <si>
    <t>FREIGHT RECEIPTS WITH GST</t>
  </si>
  <si>
    <t>COMMISSION RECEIPTS</t>
  </si>
  <si>
    <t>C &amp; F RECEIPTS</t>
  </si>
  <si>
    <t>OTHERS</t>
  </si>
  <si>
    <t>BOA (AUDITED) GST OUTWARD</t>
  </si>
  <si>
    <t>TAX ON OUTWARD SUPPLIES</t>
  </si>
  <si>
    <t>TAX ON CREDIT NOTES</t>
  </si>
  <si>
    <t>REVERSE CHARGE</t>
  </si>
  <si>
    <t>TAX ON REVERSE CHARGE</t>
  </si>
  <si>
    <t>RECO</t>
  </si>
  <si>
    <t>PARTICULARS</t>
  </si>
  <si>
    <t>AS PER GSTR 1</t>
  </si>
  <si>
    <t>AS PER GSTR 3B</t>
  </si>
  <si>
    <t>DIFFERENCE</t>
  </si>
  <si>
    <t>AS PER BOOKS OF ACCOUNTS</t>
  </si>
  <si>
    <t>Taxable Outward Supplies</t>
  </si>
  <si>
    <t>Advances Received</t>
  </si>
  <si>
    <t>Advances Adjusted</t>
  </si>
  <si>
    <t>Credit Notes For B2B</t>
  </si>
  <si>
    <t>Positive Amendments</t>
  </si>
  <si>
    <t>Negative Amendment</t>
  </si>
  <si>
    <t>TO BE DECLARED</t>
  </si>
  <si>
    <t>NIL-RATED, EXEMPT AND NON-GST OUTWARD SUPPLIES</t>
  </si>
  <si>
    <t>Zero Rated Supplies</t>
  </si>
  <si>
    <t>Nil Rated Supplies</t>
  </si>
  <si>
    <t>Exempt Supplies</t>
  </si>
  <si>
    <t>Urd Purchases</t>
  </si>
  <si>
    <t>Freight</t>
  </si>
  <si>
    <t>Security Services</t>
  </si>
  <si>
    <t>BOA AUDIT EXPENDITURE</t>
  </si>
  <si>
    <t>SL.NO</t>
  </si>
  <si>
    <t>HEAD OF ACCOUNT</t>
  </si>
  <si>
    <t>TYPE</t>
  </si>
  <si>
    <t>TOTAL ITC CLAIMED DURING THE YEAR</t>
  </si>
  <si>
    <t>INELIGIBLE ITC DECLARED DURING THE YEAR</t>
  </si>
  <si>
    <t>ELIGIBLE ITC DECLARED DURING NEXT YEAR</t>
  </si>
  <si>
    <t>Purchases @ 5%</t>
  </si>
  <si>
    <t>Input (Goods)</t>
  </si>
  <si>
    <t>Purchases @ 12%</t>
  </si>
  <si>
    <t>Purchases @ 18%</t>
  </si>
  <si>
    <t>Purchases @ 28%</t>
  </si>
  <si>
    <t>Capital Goods @ 5%</t>
  </si>
  <si>
    <t>Capital Goods</t>
  </si>
  <si>
    <t>Capital Goods @ 12%</t>
  </si>
  <si>
    <t>Capital Goods @ 18%</t>
  </si>
  <si>
    <t>Capital Goods @ 28%</t>
  </si>
  <si>
    <t>Input (Services)</t>
  </si>
  <si>
    <t>Commission</t>
  </si>
  <si>
    <t>Audit Fees</t>
  </si>
  <si>
    <t>Printing &amp; Stationery</t>
  </si>
  <si>
    <t>Insurance</t>
  </si>
  <si>
    <t>Royalty</t>
  </si>
  <si>
    <t>Loading &amp; Unloading Fees</t>
  </si>
  <si>
    <t>Repairs &amp; Maintenance</t>
  </si>
  <si>
    <t>Vehicle Maintenance</t>
  </si>
  <si>
    <t>Manpower Supply/Labour</t>
  </si>
  <si>
    <t>Job Work Charges</t>
  </si>
  <si>
    <t>Rent</t>
  </si>
  <si>
    <t>URD Purchases @ 5%</t>
  </si>
  <si>
    <t>URD Purchase</t>
  </si>
  <si>
    <t>URD Purchases @ 12%</t>
  </si>
  <si>
    <t>URD Purchases @ 18%</t>
  </si>
  <si>
    <t>URD Purchases @ 28%</t>
  </si>
  <si>
    <t>Imports @ 5%</t>
  </si>
  <si>
    <t>Imports (Goods) - Inputs</t>
  </si>
  <si>
    <t>Imports @ 12%</t>
  </si>
  <si>
    <t>Imports @ 18%</t>
  </si>
  <si>
    <t>Imports @ 28%</t>
  </si>
  <si>
    <t>Imports (Goods) - Capital Goods</t>
  </si>
  <si>
    <t>FROM UNREGISTERED DEALER</t>
  </si>
  <si>
    <t>FROM REGISTERED DEALER</t>
  </si>
  <si>
    <t>FROM COMPOSITION DEALER</t>
  </si>
  <si>
    <t>SUMMARY</t>
  </si>
  <si>
    <t>Goods and Services Tax - GST GSTR-9 Offline Tool (v1.1)</t>
  </si>
  <si>
    <r>
      <rPr>
        <b/>
        <sz val="12"/>
        <color indexed="8"/>
        <rFont val="Times New Roman"/>
        <family val="1"/>
      </rPr>
      <t>Pt II. Details of  outward  and inward supplies  made during the financial year</t>
    </r>
    <r>
      <rPr>
        <b/>
        <sz val="11"/>
        <color indexed="8"/>
        <rFont val="Arial"/>
        <family val="2"/>
      </rPr>
      <t xml:space="preserve">
</t>
    </r>
    <r>
      <rPr>
        <i/>
        <u/>
        <sz val="11"/>
        <color theme="1"/>
        <rFont val="Calibri"/>
        <family val="2"/>
        <scheme val="minor"/>
      </rPr>
      <t/>
    </r>
  </si>
  <si>
    <t>Nature of Supplies</t>
  </si>
  <si>
    <t>Taxable Value (₹)</t>
  </si>
  <si>
    <t>(Amount in ₹ in all tables)</t>
  </si>
  <si>
    <t>Sheet Validation Errors</t>
  </si>
  <si>
    <t>State Tax / UT Tax</t>
  </si>
  <si>
    <t>Details of advances, inwards and outward supplies made during the financial year on which tax is payable</t>
  </si>
  <si>
    <t>A</t>
  </si>
  <si>
    <t xml:space="preserve">Supplies made to un-registered persons (B2C) </t>
  </si>
  <si>
    <t>B</t>
  </si>
  <si>
    <t>Supplies made to registered persons (B2B)</t>
  </si>
  <si>
    <t>C</t>
  </si>
  <si>
    <t>Zero rated supply (Export) on payment of tax (except supplies to SEZs)</t>
  </si>
  <si>
    <t>D</t>
  </si>
  <si>
    <t>Supply to SEZs on payment of tax</t>
  </si>
  <si>
    <t>E</t>
  </si>
  <si>
    <t>Deemed Exports</t>
  </si>
  <si>
    <t>F</t>
  </si>
  <si>
    <t>Advances on which tax has been paid but invoice has not been issued (not covered under (A) to (E) above)</t>
  </si>
  <si>
    <t>G</t>
  </si>
  <si>
    <t>Inward supplies on which tax is to be paid on reverse charge basis</t>
  </si>
  <si>
    <t>H</t>
  </si>
  <si>
    <t>Sub-total (A to G above)</t>
  </si>
  <si>
    <t>I</t>
  </si>
  <si>
    <t>Credit Notes issued in respect of transactions specified in (B) to (E) above (-)</t>
  </si>
  <si>
    <t>J</t>
  </si>
  <si>
    <t>Debit Notes issued in respect of transactions specified in (B) to (E) above (+)</t>
  </si>
  <si>
    <t>K</t>
  </si>
  <si>
    <t>Supplies / tax declared through Amendments (+)</t>
  </si>
  <si>
    <t>L</t>
  </si>
  <si>
    <t>Supplies / tax reduced through Amendments (-)</t>
  </si>
  <si>
    <t>M</t>
  </si>
  <si>
    <t>Sub-total (I to L above)</t>
  </si>
  <si>
    <t>N</t>
  </si>
  <si>
    <t>Supplies and advances on which tax is to be paid (H + M) above</t>
  </si>
  <si>
    <t xml:space="preserve">Pt II. Details of  outward  and inward supplies  made during the financial year
</t>
  </si>
  <si>
    <t>Details of Outward supplies made during the financial year on which tax is not payable</t>
  </si>
  <si>
    <t>Zero rated supply (Export) without payment of tax</t>
  </si>
  <si>
    <t>Supply to SEZs without payment of tax</t>
  </si>
  <si>
    <t>Supplies on which tax is to be paid by recipient on reverse charge basis</t>
  </si>
  <si>
    <t xml:space="preserve">Exempted </t>
  </si>
  <si>
    <t xml:space="preserve">Nil Rated </t>
  </si>
  <si>
    <t xml:space="preserve">Non-GST supply (includes 'no supply' ) </t>
  </si>
  <si>
    <t>Sub-total (A to F above)</t>
  </si>
  <si>
    <t>Credit Notes issued in respect of transactions specified in A to F above (-)</t>
  </si>
  <si>
    <t>Debit Notes issued in respect of transactions specified in A to F above (+)</t>
  </si>
  <si>
    <t>Supplies declared through Amendments (+)</t>
  </si>
  <si>
    <t>Supplies reduced through Amendments (-)</t>
  </si>
  <si>
    <t>Sub-Total (H to K above)</t>
  </si>
  <si>
    <t>Turnover on which tax is not to be paid  (G + L) above</t>
  </si>
  <si>
    <t>Total Turnover (including advances) (4N + 5M - 4G) above</t>
  </si>
  <si>
    <t>Description</t>
  </si>
  <si>
    <t>Type</t>
  </si>
  <si>
    <t>Details of ITC availed during the financial year</t>
  </si>
  <si>
    <r>
      <rPr>
        <b/>
        <sz val="12"/>
        <color indexed="8"/>
        <rFont val="Times New Roman"/>
        <family val="1"/>
      </rPr>
      <t>Pt III. Details of ITC for the financial year</t>
    </r>
    <r>
      <rPr>
        <b/>
        <sz val="11"/>
        <color indexed="8"/>
        <rFont val="Arial"/>
        <family val="2"/>
      </rPr>
      <t xml:space="preserve">
</t>
    </r>
  </si>
  <si>
    <t>Total amount of input tax credit availed through FORM GSTR-3B (Sum total of table 4A of FORM GSTR-3B)</t>
  </si>
  <si>
    <t>Inward supplies (other than imports and inward supplies liable to reverse charge but includes services received from SEZs)</t>
  </si>
  <si>
    <t>Inputs</t>
  </si>
  <si>
    <t>Input Services</t>
  </si>
  <si>
    <t>Inward supplies received from unregistered persons liable to reverse charge  (other than B above) on which tax is paid &amp; ITC availed</t>
  </si>
  <si>
    <t>Inward supplies received from registered persons liable to reverse charge (other than B above) on which tax is paid and ITC availed</t>
  </si>
  <si>
    <t>Import of goods (including supplies from SEZ)</t>
  </si>
  <si>
    <t>Import of services (excluding inward supplies from SEZs)</t>
  </si>
  <si>
    <t>Input Tax  credit received from ISD</t>
  </si>
  <si>
    <t>Amount of ITC reclaimed (other than B above) under the provisions of the Act</t>
  </si>
  <si>
    <t>Sub-total (B to H above)</t>
  </si>
  <si>
    <t>Difference (I - A) above</t>
  </si>
  <si>
    <t>Transition Credit through TRAN-1 (including revisions if any)</t>
  </si>
  <si>
    <t>Transition Credit through TRAN-2</t>
  </si>
  <si>
    <t>Any other ITC availed but not specified above</t>
  </si>
  <si>
    <t>Sub-total (K to M above)</t>
  </si>
  <si>
    <t>O</t>
  </si>
  <si>
    <t>Total ITC availed (I + N) above</t>
  </si>
  <si>
    <t>Details of ITC Reversed and  Ineligible ITC for the financial year</t>
  </si>
  <si>
    <t>As per Rule 37</t>
  </si>
  <si>
    <t>As per Rule 39</t>
  </si>
  <si>
    <t>As per Rule 42</t>
  </si>
  <si>
    <t>As per Rule 43</t>
  </si>
  <si>
    <t>As per section 17(5)</t>
  </si>
  <si>
    <t>Reversal of TRAN-I credit</t>
  </si>
  <si>
    <t>Reversal of TRAN-II credit</t>
  </si>
  <si>
    <t>H1</t>
  </si>
  <si>
    <t>Other reversals(specify)</t>
  </si>
  <si>
    <t>Total ITC Reversed (Sum of A to H above)</t>
  </si>
  <si>
    <t>Net ITC Available for Utilization (6O - 7I)</t>
  </si>
  <si>
    <t>Pt III. Details of ITC for the financial year</t>
  </si>
  <si>
    <t>Details of ITC for Financial Year</t>
  </si>
  <si>
    <t>Other ITC related information</t>
  </si>
  <si>
    <t>ITC as per GSTR-2A (Table 3 &amp; 5 thereof)</t>
  </si>
  <si>
    <t>ITC as per sum total 6(B) and 6(H)  above</t>
  </si>
  <si>
    <t>ITC on inward supplies (other than imports and inward supplies liable to reverse charge but includes services received from SEZs) received during 2017-18 but availed during April, 2018 to March, 2019</t>
  </si>
  <si>
    <t>Difference [A-(B+C)]</t>
  </si>
  <si>
    <t>ITC available but not availed</t>
  </si>
  <si>
    <t>ITC available but ineligible</t>
  </si>
  <si>
    <t>IGST paid  on import of goods (including supplies from SEZ)</t>
  </si>
  <si>
    <t>IGST credit availed on import of goods (as per 6(E) above)</t>
  </si>
  <si>
    <t>Difference (G-H)</t>
  </si>
  <si>
    <t>ITC available but not availed on import of goods (Equal to I)</t>
  </si>
  <si>
    <t>Total ITC to be lapsed in current financial year (E + F + J)</t>
  </si>
  <si>
    <t>Details of tax paid as declared in returns filed during the financial year</t>
  </si>
  <si>
    <t>Tax Payable (₹)</t>
  </si>
  <si>
    <t>Paid through cash (₹)</t>
  </si>
  <si>
    <t>Paid through ITC (₹)</t>
  </si>
  <si>
    <r>
      <rPr>
        <b/>
        <sz val="12"/>
        <color indexed="8"/>
        <rFont val="Times New Roman"/>
        <family val="1"/>
      </rPr>
      <t>Pt IV. Details of tax paid as declared in returns filed during the financial year</t>
    </r>
    <r>
      <rPr>
        <b/>
        <sz val="11"/>
        <color indexed="8"/>
        <rFont val="Arial"/>
        <family val="2"/>
      </rPr>
      <t xml:space="preserve">
</t>
    </r>
    <r>
      <rPr>
        <i/>
        <u/>
        <sz val="11"/>
        <color theme="1"/>
        <rFont val="Calibri"/>
        <family val="2"/>
        <scheme val="minor"/>
      </rPr>
      <t/>
    </r>
  </si>
  <si>
    <t>State/UT Tax</t>
  </si>
  <si>
    <t>Interest</t>
  </si>
  <si>
    <t>Late fee</t>
  </si>
  <si>
    <t>Penalty</t>
  </si>
  <si>
    <t>Other</t>
  </si>
  <si>
    <t>THIS TABLE CONTAINS DETAILS OF TAX PAYABLE AND PAID AS PER RETURNS FILED DURING THE FINANCIAL YEAR</t>
  </si>
  <si>
    <t>THIS TABLE TO BE FILLED AS PER TABLE 6.1 OF GSTR 3B</t>
  </si>
  <si>
    <t>ACTUAL TAX PAYABLE AS PER GSTR 3B [ITC PAID BY CASH+ITC] TO BE DECLARED AS TAX PAYABLE</t>
  </si>
  <si>
    <t>INSERT CORRECT VALUES IN TAX PAYABLE COLUMN THOUGH WRONGLY REPORTED OR INTER CHANGED IN GSTR 3B</t>
  </si>
  <si>
    <r>
      <t xml:space="preserve">Pt V. Particulars of the transactions for the FY 2017-18 declared in returns between April, 2018 till March, 2019.
</t>
    </r>
    <r>
      <rPr>
        <i/>
        <u/>
        <sz val="12"/>
        <color theme="1"/>
        <rFont val="Times New Roman"/>
        <family val="1"/>
      </rPr>
      <t/>
    </r>
  </si>
  <si>
    <t>PY TRANSACTIONS IN CURRENT FY</t>
  </si>
  <si>
    <t xml:space="preserve"> Supplies / tax declared through Amendments (+) (net of debit notes)</t>
  </si>
  <si>
    <t>Supplies / tax reduced through Amendments (-) (net of credit notes)</t>
  </si>
  <si>
    <t>Reversal of ITC availed during previous financial year</t>
  </si>
  <si>
    <t>ITC availed for the previous financial year</t>
  </si>
  <si>
    <t>Total turnover (5N +10-11)</t>
  </si>
  <si>
    <r>
      <t xml:space="preserve">Pt V. Particulars of the transactions for the FY 2017-18 declared in returns between April, 2018 till March, 2019.
</t>
    </r>
    <r>
      <rPr>
        <i/>
        <u/>
        <sz val="11"/>
        <color theme="1"/>
        <rFont val="Calibri"/>
        <family val="2"/>
        <scheme val="minor"/>
      </rPr>
      <t/>
    </r>
  </si>
  <si>
    <t>Differential tax paid on account of declaration in 10 &amp; 11 above</t>
  </si>
  <si>
    <t>Payable (₹)</t>
  </si>
  <si>
    <t>Paid (₹)</t>
  </si>
  <si>
    <t>DETAILS OF DIFFERENTIAL TAX PAID ON ACCOUNT OF CLAUSE 10 AND 11 ABOVE</t>
  </si>
  <si>
    <t>PART VI - OTHER INFORMATION</t>
  </si>
  <si>
    <t>Particulars of Demands and Refunds</t>
  </si>
  <si>
    <t>(Amount in ₹)</t>
  </si>
  <si>
    <t>GST portal Validation Errors</t>
  </si>
  <si>
    <t>Late Fee /  Others</t>
  </si>
  <si>
    <t xml:space="preserve">Total Refund claimed </t>
  </si>
  <si>
    <t>Total Refund sanctioned</t>
  </si>
  <si>
    <t>Total Refund Rejected</t>
  </si>
  <si>
    <t>Total Refund Pending</t>
  </si>
  <si>
    <t xml:space="preserve">Total demand of taxes </t>
  </si>
  <si>
    <t>Total taxes paid in respect of E above</t>
  </si>
  <si>
    <t>Total demands pending out of E above</t>
  </si>
  <si>
    <t>Information on supplies received from composition taxpayers, deemed supply under section 143 and goods sent on approval basis</t>
  </si>
  <si>
    <t xml:space="preserve">Taxable Value (₹) </t>
  </si>
  <si>
    <t>Supplies received from Composition taxpayers</t>
  </si>
  <si>
    <t>Deemed supply under section 143</t>
  </si>
  <si>
    <t>Goods sent on approval basis but not returned</t>
  </si>
  <si>
    <t>HSN WISE SUMMARY OF OUTWARD SUPPLIES</t>
  </si>
  <si>
    <r>
      <t>HSN Code</t>
    </r>
    <r>
      <rPr>
        <b/>
        <sz val="9"/>
        <color rgb="FFFF0000"/>
        <rFont val="Arial"/>
        <family val="2"/>
      </rPr>
      <t>*</t>
    </r>
  </si>
  <si>
    <r>
      <t xml:space="preserve">UQC </t>
    </r>
    <r>
      <rPr>
        <b/>
        <sz val="9"/>
        <color rgb="FFFF0000"/>
        <rFont val="Arial"/>
        <family val="2"/>
      </rPr>
      <t>*</t>
    </r>
  </si>
  <si>
    <r>
      <t>Total quantity</t>
    </r>
    <r>
      <rPr>
        <b/>
        <sz val="9"/>
        <color rgb="FFFF0000"/>
        <rFont val="Arial"/>
        <family val="2"/>
      </rPr>
      <t>*</t>
    </r>
  </si>
  <si>
    <r>
      <t>Total Taxable value (₹)</t>
    </r>
    <r>
      <rPr>
        <b/>
        <sz val="9"/>
        <color rgb="FFFF0000"/>
        <rFont val="Arial"/>
        <family val="2"/>
      </rPr>
      <t>*</t>
    </r>
  </si>
  <si>
    <r>
      <t>Is supply applicable for concessional rate of tax</t>
    </r>
    <r>
      <rPr>
        <b/>
        <sz val="9"/>
        <color rgb="FFFF0000"/>
        <rFont val="Arial"/>
        <family val="2"/>
      </rPr>
      <t>*</t>
    </r>
  </si>
  <si>
    <r>
      <t>Rate of Tax (%)</t>
    </r>
    <r>
      <rPr>
        <b/>
        <sz val="9"/>
        <color rgb="FFFF0000"/>
        <rFont val="Arial"/>
        <family val="2"/>
      </rPr>
      <t>*</t>
    </r>
  </si>
  <si>
    <t>Integrated Tax (₹)</t>
  </si>
  <si>
    <t>Central Tax (₹)</t>
  </si>
  <si>
    <t>State/UT Tax (₹)</t>
  </si>
  <si>
    <r>
      <t>Action</t>
    </r>
    <r>
      <rPr>
        <b/>
        <sz val="9"/>
        <color rgb="FFFF0000"/>
        <rFont val="Arial"/>
        <family val="2"/>
      </rPr>
      <t>*</t>
    </r>
  </si>
  <si>
    <t>Sheet Validation errors</t>
  </si>
  <si>
    <t>HSN wise summary of inward supplies</t>
  </si>
  <si>
    <t>1. Summary details required to be declared only for those inward supplies which in value independently account for 10% or more of total value of inward supplies</t>
  </si>
  <si>
    <t>TAX ON ADVANCES</t>
  </si>
  <si>
    <t>LOCAL</t>
  </si>
  <si>
    <t>INTERSTATE</t>
  </si>
  <si>
    <t>COTTON</t>
  </si>
  <si>
    <t>NOT APPLICABLE</t>
  </si>
  <si>
    <t>LATE FEE (CGST)</t>
  </si>
  <si>
    <t>LATE FEE (SGST)</t>
  </si>
  <si>
    <t>BOA (AUDITED) GST INWARD</t>
  </si>
  <si>
    <t>INWARD SUPPLIES @ 5%</t>
  </si>
  <si>
    <t>ASSESSABLE VALUE</t>
  </si>
  <si>
    <t>DIRECT EXPENSES</t>
  </si>
  <si>
    <t>INDIRECT EXPENSES</t>
  </si>
  <si>
    <t>INWARD SUPPLIES @ 12%</t>
  </si>
  <si>
    <t>INWARD SUPPLIES @ 18%</t>
  </si>
  <si>
    <t>INWARD SUPPLIES @ 28%</t>
  </si>
  <si>
    <t>As Per 3B</t>
  </si>
  <si>
    <t>RECO - INWARD TAXABLE SUPPLIES</t>
  </si>
  <si>
    <t>AS PER TALLY</t>
  </si>
  <si>
    <t>AS PER 3B</t>
  </si>
  <si>
    <t>DIFF</t>
  </si>
  <si>
    <t>AS PER GSTR1</t>
  </si>
  <si>
    <t xml:space="preserve">B/F CREDIT </t>
  </si>
  <si>
    <t>INPUT</t>
  </si>
  <si>
    <t>OUTPUT</t>
  </si>
  <si>
    <t>INELIGIBLE INPUT 
TAX CREDIT</t>
  </si>
  <si>
    <t>CROSS CREDIT ADJUSTMENT</t>
  </si>
  <si>
    <t>TAX PAID</t>
  </si>
  <si>
    <t>NET RECEIVABLE/
PAYABLE</t>
  </si>
  <si>
    <t>SET OFF</t>
  </si>
  <si>
    <t>AS PER 3B FILED</t>
  </si>
  <si>
    <t>6.1 PAYMENT OF TAX</t>
  </si>
  <si>
    <t>TAX PAID IN CASH</t>
  </si>
  <si>
    <t>TAX PAID THROUGH ITC</t>
  </si>
  <si>
    <t>FREIGHT</t>
  </si>
  <si>
    <t>REMARKS</t>
  </si>
  <si>
    <t>B2B</t>
  </si>
  <si>
    <t>B2C</t>
  </si>
  <si>
    <t>Non GST</t>
  </si>
  <si>
    <t>Freight - RCM</t>
  </si>
  <si>
    <t>Rent - RCM</t>
  </si>
  <si>
    <t>RCM (Input Servie)</t>
  </si>
  <si>
    <t>Interest on Statutory Delay</t>
  </si>
  <si>
    <t>Non GST Supplies</t>
  </si>
  <si>
    <t>Salaries</t>
  </si>
  <si>
    <t>Bank Charges</t>
  </si>
  <si>
    <t>Courier Expenses</t>
  </si>
  <si>
    <t>Electricity</t>
  </si>
  <si>
    <t>Gifts &amp; Compliments</t>
  </si>
  <si>
    <t>Telephone Charges</t>
  </si>
  <si>
    <t>Food Expenses</t>
  </si>
  <si>
    <t>Office Expenses</t>
  </si>
  <si>
    <t>Exempt Purchases</t>
  </si>
  <si>
    <t>Exempt Inward</t>
  </si>
  <si>
    <t>Cotton</t>
  </si>
  <si>
    <t>RCM (Input Goods)</t>
  </si>
  <si>
    <t>DEBIT NOTES</t>
  </si>
  <si>
    <t>NIL RATED OUTWARD SUPPLIES</t>
  </si>
  <si>
    <t>COMMISSION</t>
  </si>
  <si>
    <t>COAL HANDLING CHARGES</t>
  </si>
  <si>
    <t>PRINTING &amp; STATIONERY</t>
  </si>
  <si>
    <t>PROFFESSIONAL CHARGES</t>
  </si>
  <si>
    <t>ASSETS</t>
  </si>
  <si>
    <t>REPAIRS</t>
  </si>
  <si>
    <t>Local Purchases @5%</t>
  </si>
  <si>
    <t>Local Purchases @18%</t>
  </si>
  <si>
    <t>Interstate Purchase @ 5%</t>
  </si>
  <si>
    <t>Interstate Purchase @ 18%</t>
  </si>
  <si>
    <t>Input (goods)</t>
  </si>
  <si>
    <t>Input(services)</t>
  </si>
  <si>
    <t>General Insurance</t>
  </si>
  <si>
    <t>Coal Handling charges</t>
  </si>
  <si>
    <t>Electricity charges</t>
  </si>
  <si>
    <t>Packing &amp; Forwarding</t>
  </si>
  <si>
    <t>Professional charges</t>
  </si>
  <si>
    <t>Travelling charges</t>
  </si>
  <si>
    <t>Telephone charges</t>
  </si>
  <si>
    <t>Sales Expenses</t>
  </si>
  <si>
    <t>Discount</t>
  </si>
  <si>
    <t>Interest Charges</t>
  </si>
  <si>
    <t>2019-20</t>
  </si>
  <si>
    <t>CONTACT DETAILS</t>
  </si>
  <si>
    <t>Email</t>
  </si>
  <si>
    <t>Phone</t>
  </si>
  <si>
    <t>Username</t>
  </si>
  <si>
    <t>Password</t>
  </si>
  <si>
    <t>January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</si>
  <si>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</si>
  <si>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</si>
  <si>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</si>
  <si>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</si>
  <si>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</si>
  <si>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</si>
  <si>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</si>
  <si>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</si>
  <si>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</si>
  <si>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February</t>
  </si>
  <si>
    <t>March</t>
  </si>
  <si>
    <t>PERIODICITY OF GSTR 3B</t>
  </si>
  <si>
    <t>HSN1</t>
  </si>
  <si>
    <t>OTHER STATES WHERE REGISTERED</t>
  </si>
  <si>
    <t>WHETHER BOA AUDITED</t>
  </si>
  <si>
    <t>TOTAL TAXABLE
VALUE</t>
  </si>
  <si>
    <t>3.1 (d)    INWARD SUPPLIES TAXABLE UNDER RCM</t>
  </si>
  <si>
    <t>3.1 (c)
EXEMPT OR NIL RATED OUTWARD SUPPLIES</t>
  </si>
  <si>
    <t>Supplies On Which Recipient Is Liable On RCM</t>
  </si>
  <si>
    <t>RECO - OUTWARD TAXABLE SUPPLIES - GSTR3B vs BOA</t>
  </si>
  <si>
    <t>RECO - OUTWARD TAXABLE SUPPLIES - GSTR1 vs BOA</t>
  </si>
  <si>
    <t>HSN2</t>
  </si>
  <si>
    <t>HSN3</t>
  </si>
  <si>
    <t>HSN4</t>
  </si>
  <si>
    <t>HSN5</t>
  </si>
  <si>
    <t>HSN6</t>
  </si>
  <si>
    <t>HSN7</t>
  </si>
  <si>
    <t>HSN8</t>
  </si>
  <si>
    <t>HSN9</t>
  </si>
  <si>
    <t>HSN10</t>
  </si>
  <si>
    <t>HSN11</t>
  </si>
  <si>
    <t>HSN12</t>
  </si>
  <si>
    <t>RECO - OUTWARD TAXABLE SUPPLIES - GSTR3B vs GSTR1</t>
  </si>
  <si>
    <t>GSTR3B</t>
  </si>
  <si>
    <t>2020-21</t>
  </si>
  <si>
    <t>Deferred</t>
  </si>
  <si>
    <t>Reco 20-21</t>
  </si>
  <si>
    <t>In GSTR 1 Client didn't disclose the details of Exempted Income</t>
  </si>
  <si>
    <t>PROPRIETORSHIP</t>
  </si>
  <si>
    <t>2025-26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</si>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</sst>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_(* #,##0.00_);_(* \(#,##0.00\);_(* &quot;-&quot;??_);_(@_)"/>
    <numFmt numFmtId="165" formatCode="_-* #,##0.00_-;\-* #,##0.00_-;_-* &quot;-&quot;??_-;_-@_-"/>
    <numFmt numFmtId="166" formatCode="&quot;₹&quot;\ #,##0.00"/>
    <numFmt numFmtId="167" formatCode="dd\/mm\/yyyy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name val="Cambria"/>
      <family val="1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b/>
      <i/>
      <sz val="14"/>
      <color theme="1"/>
      <name val="Cambria"/>
      <family val="1"/>
    </font>
    <font>
      <b/>
      <sz val="13"/>
      <color theme="0"/>
      <name val="Cambria"/>
      <family val="1"/>
    </font>
    <font>
      <b/>
      <sz val="13"/>
      <name val="Cambria"/>
      <family val="1"/>
    </font>
    <font>
      <b/>
      <sz val="13"/>
      <color theme="1"/>
      <name val="Calibri"/>
      <family val="2"/>
      <scheme val="minor"/>
    </font>
    <font>
      <sz val="22"/>
      <color theme="0"/>
      <name val="Arial"/>
      <family val="2"/>
    </font>
    <font>
      <b/>
      <sz val="11"/>
      <color indexed="8"/>
      <name val="Arial"/>
      <family val="2"/>
    </font>
    <font>
      <b/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indexed="8"/>
      <name val="Times New Roman"/>
      <family val="1"/>
    </font>
    <font>
      <i/>
      <u/>
      <sz val="11"/>
      <color theme="1"/>
      <name val="Calibri"/>
      <family val="2"/>
      <scheme val="minor"/>
    </font>
    <font>
      <b/>
      <u/>
      <sz val="12"/>
      <color indexed="8"/>
      <name val="Times New Roman"/>
      <family val="1"/>
    </font>
    <font>
      <sz val="10"/>
      <color theme="0" tint="-0.499984740745262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Calibri"/>
      <family val="2"/>
      <scheme val="minor"/>
    </font>
    <font>
      <b/>
      <sz val="11"/>
      <color rgb="FFFFFFFF"/>
      <name val="Times New Roman"/>
      <family val="1"/>
    </font>
    <font>
      <sz val="10"/>
      <color theme="1"/>
      <name val="Times New Roman"/>
      <family val="1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i/>
      <u/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b/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3"/>
      <color rgb="FFC00000"/>
      <name val="Calibri"/>
      <family val="2"/>
      <scheme val="minor"/>
    </font>
    <font>
      <b/>
      <sz val="12"/>
      <color rgb="FF0A3C10"/>
      <name val="Calibri Light"/>
      <family val="1"/>
      <scheme val="major"/>
    </font>
    <font>
      <sz val="8"/>
      <name val="Calibri"/>
      <family val="2"/>
      <scheme val="minor"/>
    </font>
    <font>
      <b/>
      <sz val="11"/>
      <color theme="0"/>
      <name val="Cambria"/>
      <family val="1"/>
    </font>
    <font>
      <b/>
      <sz val="13"/>
      <color theme="1"/>
      <name val="Cambria"/>
      <family val="1"/>
    </font>
    <font>
      <b/>
      <sz val="12"/>
      <color theme="1"/>
      <name val="Cambria"/>
      <family val="1"/>
    </font>
    <font>
      <b/>
      <sz val="13"/>
      <color rgb="FF0B1E59"/>
      <name val="Calibri"/>
      <family val="2"/>
      <scheme val="minor"/>
    </font>
    <font>
      <sz val="11"/>
      <color theme="1"/>
      <name val="Cambria"/>
      <family val="1"/>
    </font>
    <font>
      <sz val="12"/>
      <color theme="1"/>
      <name val="Cambria"/>
      <family val="1"/>
    </font>
    <font>
      <b/>
      <sz val="12"/>
      <color theme="4" tint="0.7999816888943144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4" tint="-0.499984740745262"/>
      <name val="Cambria"/>
      <family val="1"/>
    </font>
    <font>
      <b/>
      <sz val="11"/>
      <color theme="4" tint="-0.249977111117893"/>
      <name val="Cambria"/>
      <family val="1"/>
    </font>
    <font>
      <b/>
      <sz val="11"/>
      <color rgb="FF212121"/>
      <name val="Cambria"/>
      <family val="1"/>
    </font>
  </fonts>
  <fills count="23">
    <fill>
      <patternFill patternType="none"/>
    </fill>
    <fill>
      <patternFill patternType="gray125"/>
    </fill>
    <fill>
      <patternFill patternType="solid">
        <fgColor rgb="FF36609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002060"/>
        <bgColor indexed="3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B1E59"/>
        <bgColor indexed="64"/>
      </patternFill>
    </fill>
    <fill>
      <patternFill patternType="solid">
        <fgColor rgb="FF2C4E86"/>
        <bgColor indexed="64"/>
      </patternFill>
    </fill>
    <fill>
      <patternFill patternType="solid">
        <fgColor theme="3" tint="0.39997558519241921"/>
        <bgColor indexed="64"/>
      </patternFill>
    </fill>
  </fills>
  <borders count="126">
    <border>
      <left/>
      <right/>
      <top/>
      <bottom/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/>
      <right style="thin">
        <color theme="3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/>
      <right/>
      <top/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0"/>
      </bottom>
      <diagonal/>
    </border>
    <border>
      <left style="thin">
        <color theme="0"/>
      </left>
      <right/>
      <top style="thin">
        <color theme="3"/>
      </top>
      <bottom style="thin">
        <color theme="0"/>
      </bottom>
      <diagonal/>
    </border>
    <border>
      <left/>
      <right/>
      <top style="thin">
        <color theme="3"/>
      </top>
      <bottom style="thin">
        <color theme="0"/>
      </bottom>
      <diagonal/>
    </border>
    <border>
      <left/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3"/>
      </right>
      <top style="thin">
        <color theme="0"/>
      </top>
      <bottom style="thin">
        <color theme="0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rgb="FF366092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double">
        <color theme="3"/>
      </bottom>
      <diagonal/>
    </border>
    <border>
      <left style="thin">
        <color theme="3"/>
      </left>
      <right style="thin">
        <color theme="3"/>
      </right>
      <top/>
      <bottom style="thin">
        <color rgb="FF366092"/>
      </bottom>
      <diagonal/>
    </border>
    <border>
      <left style="thin">
        <color rgb="FF366092"/>
      </left>
      <right style="thin">
        <color theme="3"/>
      </right>
      <top/>
      <bottom style="thin">
        <color rgb="FF366092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3"/>
      </right>
      <top style="thin">
        <color theme="0"/>
      </top>
      <bottom/>
      <diagonal/>
    </border>
    <border>
      <left style="thin">
        <color theme="3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3"/>
      </right>
      <top style="thin">
        <color theme="0"/>
      </top>
      <bottom style="thin">
        <color theme="0"/>
      </bottom>
      <diagonal/>
    </border>
    <border>
      <left style="thin">
        <color theme="3"/>
      </left>
      <right style="thin">
        <color theme="0"/>
      </right>
      <top/>
      <bottom style="thin">
        <color theme="0"/>
      </bottom>
      <diagonal/>
    </border>
    <border>
      <left style="thin">
        <color theme="3"/>
      </left>
      <right style="thin">
        <color theme="3"/>
      </right>
      <top/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/>
      <right style="thin">
        <color theme="0"/>
      </right>
      <top style="thin">
        <color theme="3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3"/>
      </left>
      <right style="thin">
        <color theme="3"/>
      </right>
      <top/>
      <bottom style="double">
        <color theme="3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theme="3"/>
      </right>
      <top/>
      <bottom style="thin">
        <color auto="1"/>
      </bottom>
      <diagonal/>
    </border>
    <border>
      <left style="thin">
        <color theme="3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3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auto="1"/>
      </right>
      <top style="thin">
        <color auto="1"/>
      </top>
      <bottom style="double">
        <color theme="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theme="3"/>
      </bottom>
      <diagonal/>
    </border>
    <border>
      <left style="thin">
        <color auto="1"/>
      </left>
      <right style="thin">
        <color theme="3"/>
      </right>
      <top style="thin">
        <color auto="1"/>
      </top>
      <bottom style="double">
        <color theme="3"/>
      </bottom>
      <diagonal/>
    </border>
    <border>
      <left style="thin">
        <color theme="3"/>
      </left>
      <right style="thin">
        <color auto="1"/>
      </right>
      <top/>
      <bottom style="thin">
        <color theme="3"/>
      </bottom>
      <diagonal/>
    </border>
    <border>
      <left style="thin">
        <color auto="1"/>
      </left>
      <right style="thin">
        <color auto="1"/>
      </right>
      <top/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theme="3"/>
      </top>
      <bottom style="double">
        <color theme="3"/>
      </bottom>
      <diagonal/>
    </border>
    <border>
      <left style="thin">
        <color theme="3"/>
      </left>
      <right style="thin">
        <color theme="3"/>
      </right>
      <top/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auto="1"/>
      </top>
      <bottom style="double">
        <color theme="3"/>
      </bottom>
      <diagonal/>
    </border>
    <border>
      <left style="thin">
        <color theme="0"/>
      </left>
      <right/>
      <top style="thin">
        <color theme="3"/>
      </top>
      <bottom/>
      <diagonal/>
    </border>
    <border>
      <left style="thin">
        <color theme="3"/>
      </left>
      <right style="thin">
        <color auto="1"/>
      </right>
      <top style="thin">
        <color auto="1"/>
      </top>
      <bottom style="thin">
        <color theme="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3"/>
      </bottom>
      <diagonal/>
    </border>
    <border>
      <left style="thin">
        <color auto="1"/>
      </left>
      <right style="thin">
        <color theme="3"/>
      </right>
      <top style="thin">
        <color auto="1"/>
      </top>
      <bottom style="thin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3"/>
      </left>
      <right/>
      <top/>
      <bottom style="thin">
        <color indexed="64"/>
      </bottom>
      <diagonal/>
    </border>
    <border>
      <left/>
      <right style="thin">
        <color theme="3"/>
      </right>
      <top/>
      <bottom style="thin">
        <color indexed="64"/>
      </bottom>
      <diagonal/>
    </border>
    <border>
      <left style="thin">
        <color indexed="64"/>
      </left>
      <right style="thin">
        <color theme="3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3"/>
      </left>
      <right style="thin">
        <color auto="1"/>
      </right>
      <top style="thin">
        <color theme="3"/>
      </top>
      <bottom style="double">
        <color theme="3"/>
      </bottom>
      <diagonal/>
    </border>
    <border>
      <left style="thin">
        <color auto="1"/>
      </left>
      <right style="thin">
        <color theme="3"/>
      </right>
      <top style="thin">
        <color theme="3"/>
      </top>
      <bottom style="double">
        <color theme="3"/>
      </bottom>
      <diagonal/>
    </border>
    <border>
      <left style="thin">
        <color auto="1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/>
      <top style="thin">
        <color theme="0"/>
      </top>
      <bottom style="thin">
        <color auto="1"/>
      </bottom>
      <diagonal/>
    </border>
    <border>
      <left/>
      <right/>
      <top style="thin">
        <color theme="0"/>
      </top>
      <bottom style="thin">
        <color auto="1"/>
      </bottom>
      <diagonal/>
    </border>
    <border>
      <left/>
      <right style="thin">
        <color theme="3"/>
      </right>
      <top style="thin">
        <color theme="0"/>
      </top>
      <bottom style="thin">
        <color auto="1"/>
      </bottom>
      <diagonal/>
    </border>
    <border>
      <left style="thin">
        <color theme="3"/>
      </left>
      <right/>
      <top style="thin">
        <color auto="1"/>
      </top>
      <bottom style="thin">
        <color auto="1"/>
      </bottom>
      <diagonal/>
    </border>
    <border>
      <left/>
      <right style="thin">
        <color theme="3"/>
      </right>
      <top style="thin">
        <color auto="1"/>
      </top>
      <bottom style="thin">
        <color auto="1"/>
      </bottom>
      <diagonal/>
    </border>
    <border>
      <left style="thin">
        <color theme="3"/>
      </left>
      <right/>
      <top style="thin">
        <color auto="1"/>
      </top>
      <bottom style="double">
        <color theme="3"/>
      </bottom>
      <diagonal/>
    </border>
    <border>
      <left/>
      <right/>
      <top style="thin">
        <color auto="1"/>
      </top>
      <bottom style="double">
        <color theme="3"/>
      </bottom>
      <diagonal/>
    </border>
    <border>
      <left/>
      <right style="thin">
        <color theme="3"/>
      </right>
      <top style="thin">
        <color auto="1"/>
      </top>
      <bottom style="double">
        <color theme="3"/>
      </bottom>
      <diagonal/>
    </border>
    <border>
      <left style="thin">
        <color theme="3"/>
      </left>
      <right/>
      <top style="double">
        <color theme="3"/>
      </top>
      <bottom style="thin">
        <color theme="3"/>
      </bottom>
      <diagonal/>
    </border>
    <border>
      <left/>
      <right/>
      <top style="double">
        <color theme="3"/>
      </top>
      <bottom style="thin">
        <color theme="3"/>
      </bottom>
      <diagonal/>
    </border>
    <border>
      <left/>
      <right style="thin">
        <color theme="3"/>
      </right>
      <top style="double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 style="thin">
        <color theme="0"/>
      </bottom>
      <diagonal/>
    </border>
    <border>
      <left style="thin">
        <color theme="3"/>
      </left>
      <right/>
      <top style="thin">
        <color theme="0"/>
      </top>
      <bottom style="thin">
        <color theme="3"/>
      </bottom>
      <diagonal/>
    </border>
    <border>
      <left/>
      <right/>
      <top style="thin">
        <color theme="0"/>
      </top>
      <bottom style="thin">
        <color theme="3"/>
      </bottom>
      <diagonal/>
    </border>
    <border>
      <left/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indexed="64"/>
      </right>
      <top style="thin">
        <color indexed="64"/>
      </top>
      <bottom/>
      <diagonal/>
    </border>
    <border>
      <left style="thin">
        <color rgb="FF366092"/>
      </left>
      <right/>
      <top/>
      <bottom style="thin">
        <color theme="3"/>
      </bottom>
      <diagonal/>
    </border>
    <border>
      <left style="thin">
        <color rgb="FF0B1E59"/>
      </left>
      <right style="thin">
        <color theme="0"/>
      </right>
      <top style="thin">
        <color rgb="FF0B1E59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0B1E59"/>
      </top>
      <bottom style="thin">
        <color theme="0"/>
      </bottom>
      <diagonal/>
    </border>
    <border>
      <left style="thin">
        <color theme="0"/>
      </left>
      <right style="thin">
        <color rgb="FF0B1E59"/>
      </right>
      <top style="thin">
        <color rgb="FF0B1E59"/>
      </top>
      <bottom style="thin">
        <color theme="0"/>
      </bottom>
      <diagonal/>
    </border>
    <border>
      <left style="thin">
        <color rgb="FF0B1E59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0B1E59"/>
      </right>
      <top style="thin">
        <color theme="0"/>
      </top>
      <bottom style="thin">
        <color theme="0"/>
      </bottom>
      <diagonal/>
    </border>
    <border>
      <left style="thin">
        <color rgb="FF0B1E59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thin">
        <color rgb="FF0B1E59"/>
      </right>
      <top/>
      <bottom style="thin">
        <color theme="3"/>
      </bottom>
      <diagonal/>
    </border>
    <border>
      <left style="thin">
        <color rgb="FF0B1E59"/>
      </left>
      <right/>
      <top/>
      <bottom/>
      <diagonal/>
    </border>
    <border>
      <left/>
      <right style="thin">
        <color rgb="FF0B1E59"/>
      </right>
      <top/>
      <bottom/>
      <diagonal/>
    </border>
    <border>
      <left style="thin">
        <color rgb="FF0B1E59"/>
      </left>
      <right/>
      <top/>
      <bottom style="thin">
        <color rgb="FF0B1E59"/>
      </bottom>
      <diagonal/>
    </border>
    <border>
      <left/>
      <right/>
      <top/>
      <bottom style="thin">
        <color rgb="FF0B1E59"/>
      </bottom>
      <diagonal/>
    </border>
    <border>
      <left/>
      <right style="thin">
        <color rgb="FF0B1E59"/>
      </right>
      <top/>
      <bottom style="thin">
        <color rgb="FF0B1E59"/>
      </bottom>
      <diagonal/>
    </border>
    <border>
      <left style="thin">
        <color auto="1"/>
      </left>
      <right/>
      <top style="thin">
        <color auto="1"/>
      </top>
      <bottom style="double">
        <color theme="3"/>
      </bottom>
      <diagonal/>
    </border>
    <border>
      <left style="thin">
        <color auto="1"/>
      </left>
      <right/>
      <top/>
      <bottom style="thin">
        <color theme="3"/>
      </bottom>
      <diagonal/>
    </border>
    <border>
      <left style="thin">
        <color auto="1"/>
      </left>
      <right/>
      <top style="thin">
        <color theme="3"/>
      </top>
      <bottom style="double">
        <color theme="3"/>
      </bottom>
      <diagonal/>
    </border>
    <border>
      <left/>
      <right/>
      <top/>
      <bottom style="thin">
        <color theme="0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0">
    <xf numFmtId="0" fontId="0" fillId="0" borderId="0" xfId="0"/>
    <xf numFmtId="0" fontId="0" fillId="0" borderId="0" xfId="0" applyAlignment="1">
      <alignment horizontal="right"/>
    </xf>
    <xf numFmtId="0" fontId="4" fillId="0" borderId="0" xfId="0" applyFont="1"/>
    <xf numFmtId="0" fontId="0" fillId="0" borderId="5" xfId="0" applyBorder="1"/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right" vertical="center"/>
    </xf>
    <xf numFmtId="0" fontId="1" fillId="0" borderId="0" xfId="0" applyFont="1"/>
    <xf numFmtId="0" fontId="1" fillId="0" borderId="2" xfId="0" applyFont="1" applyBorder="1"/>
    <xf numFmtId="165" fontId="2" fillId="0" borderId="0" xfId="1" applyFont="1" applyBorder="1"/>
    <xf numFmtId="0" fontId="1" fillId="0" borderId="4" xfId="0" applyFont="1" applyBorder="1"/>
    <xf numFmtId="0" fontId="1" fillId="0" borderId="7" xfId="0" applyFont="1" applyBorder="1"/>
    <xf numFmtId="0" fontId="8" fillId="0" borderId="0" xfId="0" applyFont="1"/>
    <xf numFmtId="0" fontId="6" fillId="0" borderId="0" xfId="0" applyFont="1"/>
    <xf numFmtId="0" fontId="9" fillId="0" borderId="13" xfId="0" applyFont="1" applyBorder="1"/>
    <xf numFmtId="0" fontId="9" fillId="0" borderId="14" xfId="0" applyFont="1" applyBorder="1"/>
    <xf numFmtId="0" fontId="9" fillId="0" borderId="15" xfId="0" applyFont="1" applyBorder="1"/>
    <xf numFmtId="0" fontId="3" fillId="0" borderId="0" xfId="0" applyFont="1"/>
    <xf numFmtId="0" fontId="10" fillId="0" borderId="0" xfId="0" applyFont="1" applyAlignment="1">
      <alignment horizontal="center" vertical="center" wrapText="1"/>
    </xf>
    <xf numFmtId="17" fontId="1" fillId="0" borderId="19" xfId="0" applyNumberFormat="1" applyFont="1" applyBorder="1" applyAlignment="1">
      <alignment horizontal="right" vertical="center"/>
    </xf>
    <xf numFmtId="165" fontId="1" fillId="0" borderId="19" xfId="1" applyFont="1" applyBorder="1"/>
    <xf numFmtId="17" fontId="1" fillId="0" borderId="0" xfId="0" applyNumberFormat="1" applyFont="1"/>
    <xf numFmtId="14" fontId="1" fillId="0" borderId="0" xfId="0" applyNumberFormat="1" applyFont="1"/>
    <xf numFmtId="165" fontId="1" fillId="0" borderId="20" xfId="1" applyFont="1" applyBorder="1"/>
    <xf numFmtId="165" fontId="1" fillId="0" borderId="21" xfId="1" applyFont="1" applyBorder="1"/>
    <xf numFmtId="165" fontId="6" fillId="4" borderId="22" xfId="1" applyFont="1" applyFill="1" applyBorder="1"/>
    <xf numFmtId="165" fontId="3" fillId="2" borderId="17" xfId="1" applyFont="1" applyFill="1" applyBorder="1" applyAlignment="1">
      <alignment horizontal="center" vertical="center" wrapText="1"/>
    </xf>
    <xf numFmtId="165" fontId="3" fillId="2" borderId="18" xfId="1" applyFont="1" applyFill="1" applyBorder="1" applyAlignment="1">
      <alignment horizontal="center" vertical="center" wrapText="1"/>
    </xf>
    <xf numFmtId="17" fontId="1" fillId="0" borderId="23" xfId="0" applyNumberFormat="1" applyFont="1" applyBorder="1" applyAlignment="1">
      <alignment horizontal="right" vertical="center"/>
    </xf>
    <xf numFmtId="165" fontId="1" fillId="0" borderId="23" xfId="1" applyFont="1" applyBorder="1"/>
    <xf numFmtId="17" fontId="6" fillId="4" borderId="24" xfId="0" applyNumberFormat="1" applyFont="1" applyFill="1" applyBorder="1" applyAlignment="1">
      <alignment horizontal="right" vertical="center"/>
    </xf>
    <xf numFmtId="0" fontId="11" fillId="0" borderId="0" xfId="0" applyFont="1"/>
    <xf numFmtId="17" fontId="11" fillId="0" borderId="21" xfId="0" applyNumberFormat="1" applyFont="1" applyBorder="1" applyAlignment="1">
      <alignment horizontal="right" vertical="center"/>
    </xf>
    <xf numFmtId="165" fontId="11" fillId="0" borderId="21" xfId="1" applyFont="1" applyFill="1" applyBorder="1"/>
    <xf numFmtId="165" fontId="5" fillId="0" borderId="26" xfId="1" applyFont="1" applyFill="1" applyBorder="1"/>
    <xf numFmtId="17" fontId="1" fillId="0" borderId="27" xfId="0" applyNumberFormat="1" applyFont="1" applyBorder="1" applyAlignment="1">
      <alignment horizontal="right" vertical="center"/>
    </xf>
    <xf numFmtId="165" fontId="1" fillId="0" borderId="27" xfId="1" applyFont="1" applyBorder="1"/>
    <xf numFmtId="17" fontId="12" fillId="0" borderId="19" xfId="0" applyNumberFormat="1" applyFont="1" applyBorder="1" applyAlignment="1">
      <alignment horizontal="right" vertical="center"/>
    </xf>
    <xf numFmtId="0" fontId="1" fillId="0" borderId="10" xfId="0" applyFont="1" applyBorder="1"/>
    <xf numFmtId="0" fontId="9" fillId="0" borderId="29" xfId="0" applyFont="1" applyBorder="1"/>
    <xf numFmtId="17" fontId="6" fillId="4" borderId="19" xfId="0" applyNumberFormat="1" applyFont="1" applyFill="1" applyBorder="1" applyAlignment="1">
      <alignment horizontal="right" vertical="center"/>
    </xf>
    <xf numFmtId="0" fontId="4" fillId="0" borderId="26" xfId="0" applyFont="1" applyBorder="1" applyAlignment="1">
      <alignment horizontal="left" vertical="center" wrapText="1"/>
    </xf>
    <xf numFmtId="0" fontId="1" fillId="0" borderId="11" xfId="0" applyFont="1" applyBorder="1"/>
    <xf numFmtId="17" fontId="4" fillId="0" borderId="33" xfId="0" applyNumberFormat="1" applyFont="1" applyBorder="1" applyAlignment="1">
      <alignment wrapText="1"/>
    </xf>
    <xf numFmtId="17" fontId="0" fillId="0" borderId="0" xfId="0" applyNumberFormat="1"/>
    <xf numFmtId="0" fontId="0" fillId="0" borderId="2" xfId="0" applyBorder="1"/>
    <xf numFmtId="0" fontId="0" fillId="0" borderId="4" xfId="0" applyBorder="1"/>
    <xf numFmtId="0" fontId="0" fillId="0" borderId="7" xfId="0" applyBorder="1"/>
    <xf numFmtId="17" fontId="0" fillId="0" borderId="19" xfId="0" applyNumberFormat="1" applyBorder="1" applyAlignment="1">
      <alignment horizontal="right" vertical="center"/>
    </xf>
    <xf numFmtId="165" fontId="0" fillId="0" borderId="19" xfId="1" applyFont="1" applyBorder="1"/>
    <xf numFmtId="165" fontId="0" fillId="0" borderId="20" xfId="1" applyFont="1" applyBorder="1"/>
    <xf numFmtId="165" fontId="0" fillId="0" borderId="21" xfId="1" applyFont="1" applyBorder="1"/>
    <xf numFmtId="14" fontId="0" fillId="0" borderId="0" xfId="0" applyNumberFormat="1"/>
    <xf numFmtId="165" fontId="0" fillId="0" borderId="23" xfId="1" applyFont="1" applyBorder="1"/>
    <xf numFmtId="165" fontId="0" fillId="0" borderId="27" xfId="1" applyFont="1" applyBorder="1"/>
    <xf numFmtId="17" fontId="12" fillId="0" borderId="0" xfId="0" applyNumberFormat="1" applyFont="1" applyAlignment="1">
      <alignment horizontal="right" vertical="center"/>
    </xf>
    <xf numFmtId="165" fontId="12" fillId="0" borderId="0" xfId="1" applyFont="1" applyFill="1" applyBorder="1"/>
    <xf numFmtId="165" fontId="0" fillId="0" borderId="19" xfId="1" applyFont="1" applyBorder="1" applyAlignment="1">
      <alignment horizontal="right" vertical="center"/>
    </xf>
    <xf numFmtId="165" fontId="0" fillId="0" borderId="23" xfId="1" applyFont="1" applyBorder="1" applyAlignment="1">
      <alignment horizontal="right" vertical="center"/>
    </xf>
    <xf numFmtId="165" fontId="11" fillId="0" borderId="21" xfId="1" applyFont="1" applyFill="1" applyBorder="1" applyAlignment="1">
      <alignment horizontal="right" vertical="center"/>
    </xf>
    <xf numFmtId="165" fontId="0" fillId="0" borderId="21" xfId="1" applyFont="1" applyBorder="1" applyAlignment="1">
      <alignment horizontal="right" vertical="center"/>
    </xf>
    <xf numFmtId="165" fontId="0" fillId="0" borderId="0" xfId="1" applyFont="1"/>
    <xf numFmtId="165" fontId="9" fillId="0" borderId="13" xfId="1" applyFont="1" applyBorder="1" applyAlignment="1"/>
    <xf numFmtId="0" fontId="0" fillId="0" borderId="10" xfId="0" applyBorder="1"/>
    <xf numFmtId="164" fontId="0" fillId="0" borderId="0" xfId="0" applyNumberFormat="1"/>
    <xf numFmtId="17" fontId="13" fillId="0" borderId="38" xfId="0" applyNumberFormat="1" applyFont="1" applyBorder="1" applyAlignment="1">
      <alignment horizontal="center" vertical="center"/>
    </xf>
    <xf numFmtId="165" fontId="11" fillId="0" borderId="38" xfId="1" applyFont="1" applyFill="1" applyBorder="1"/>
    <xf numFmtId="165" fontId="11" fillId="0" borderId="38" xfId="1" applyFont="1" applyFill="1" applyBorder="1" applyAlignment="1">
      <alignment horizontal="right" vertical="center"/>
    </xf>
    <xf numFmtId="17" fontId="11" fillId="0" borderId="3" xfId="0" applyNumberFormat="1" applyFont="1" applyBorder="1" applyAlignment="1">
      <alignment horizontal="right" vertical="center"/>
    </xf>
    <xf numFmtId="165" fontId="5" fillId="0" borderId="19" xfId="1" applyFont="1" applyFill="1" applyBorder="1"/>
    <xf numFmtId="17" fontId="6" fillId="4" borderId="7" xfId="0" applyNumberFormat="1" applyFont="1" applyFill="1" applyBorder="1" applyAlignment="1">
      <alignment horizontal="right" vertical="center"/>
    </xf>
    <xf numFmtId="165" fontId="2" fillId="0" borderId="0" xfId="1" applyFont="1" applyBorder="1" applyAlignment="1">
      <alignment horizontal="left"/>
    </xf>
    <xf numFmtId="0" fontId="0" fillId="0" borderId="21" xfId="0" applyBorder="1" applyAlignment="1">
      <alignment horizontal="right" wrapText="1"/>
    </xf>
    <xf numFmtId="0" fontId="4" fillId="0" borderId="38" xfId="0" applyFont="1" applyBorder="1" applyAlignment="1">
      <alignment vertical="center" wrapText="1"/>
    </xf>
    <xf numFmtId="165" fontId="1" fillId="0" borderId="38" xfId="1" applyFont="1" applyBorder="1"/>
    <xf numFmtId="0" fontId="3" fillId="2" borderId="12" xfId="1" applyNumberFormat="1" applyFont="1" applyFill="1" applyBorder="1" applyAlignment="1">
      <alignment horizontal="center" vertical="center" wrapText="1"/>
    </xf>
    <xf numFmtId="17" fontId="0" fillId="7" borderId="19" xfId="0" applyNumberFormat="1" applyFill="1" applyBorder="1" applyAlignment="1">
      <alignment horizontal="right" vertical="center"/>
    </xf>
    <xf numFmtId="165" fontId="0" fillId="5" borderId="19" xfId="1" applyFont="1" applyFill="1" applyBorder="1"/>
    <xf numFmtId="165" fontId="0" fillId="6" borderId="19" xfId="1" applyFont="1" applyFill="1" applyBorder="1"/>
    <xf numFmtId="17" fontId="0" fillId="7" borderId="23" xfId="0" applyNumberFormat="1" applyFill="1" applyBorder="1" applyAlignment="1">
      <alignment horizontal="right" vertical="center"/>
    </xf>
    <xf numFmtId="165" fontId="0" fillId="5" borderId="23" xfId="1" applyFont="1" applyFill="1" applyBorder="1"/>
    <xf numFmtId="165" fontId="0" fillId="6" borderId="23" xfId="1" applyFont="1" applyFill="1" applyBorder="1"/>
    <xf numFmtId="0" fontId="0" fillId="0" borderId="19" xfId="0" applyBorder="1" applyAlignment="1">
      <alignment horizontal="center" vertical="center"/>
    </xf>
    <xf numFmtId="165" fontId="0" fillId="0" borderId="19" xfId="1" applyFont="1" applyFill="1" applyBorder="1" applyAlignment="1">
      <alignment horizontal="center" vertical="center"/>
    </xf>
    <xf numFmtId="165" fontId="0" fillId="0" borderId="19" xfId="1" applyFont="1" applyFill="1" applyBorder="1"/>
    <xf numFmtId="17" fontId="0" fillId="0" borderId="23" xfId="0" applyNumberFormat="1" applyBorder="1" applyAlignment="1">
      <alignment horizontal="right" vertical="center"/>
    </xf>
    <xf numFmtId="165" fontId="0" fillId="0" borderId="23" xfId="1" applyFont="1" applyFill="1" applyBorder="1"/>
    <xf numFmtId="1" fontId="0" fillId="0" borderId="23" xfId="0" applyNumberFormat="1" applyBorder="1" applyAlignment="1">
      <alignment horizontal="center" vertical="center"/>
    </xf>
    <xf numFmtId="1" fontId="6" fillId="4" borderId="7" xfId="0" applyNumberFormat="1" applyFont="1" applyFill="1" applyBorder="1" applyAlignment="1">
      <alignment horizontal="center" vertical="center"/>
    </xf>
    <xf numFmtId="1" fontId="11" fillId="0" borderId="21" xfId="1" applyNumberFormat="1" applyFont="1" applyFill="1" applyBorder="1" applyAlignment="1">
      <alignment horizontal="center"/>
    </xf>
    <xf numFmtId="1" fontId="11" fillId="0" borderId="38" xfId="1" applyNumberFormat="1" applyFont="1" applyFill="1" applyBorder="1" applyAlignment="1">
      <alignment horizontal="center"/>
    </xf>
    <xf numFmtId="1" fontId="5" fillId="0" borderId="26" xfId="1" applyNumberFormat="1" applyFont="1" applyFill="1" applyBorder="1" applyAlignment="1">
      <alignment horizontal="center"/>
    </xf>
    <xf numFmtId="17" fontId="0" fillId="0" borderId="23" xfId="0" applyNumberFormat="1" applyBorder="1" applyAlignment="1">
      <alignment horizontal="center" vertical="center"/>
    </xf>
    <xf numFmtId="17" fontId="6" fillId="4" borderId="7" xfId="0" applyNumberFormat="1" applyFont="1" applyFill="1" applyBorder="1" applyAlignment="1">
      <alignment horizontal="center" vertical="center"/>
    </xf>
    <xf numFmtId="165" fontId="11" fillId="0" borderId="21" xfId="1" applyFont="1" applyFill="1" applyBorder="1" applyAlignment="1">
      <alignment horizontal="center" vertical="center"/>
    </xf>
    <xf numFmtId="165" fontId="11" fillId="0" borderId="21" xfId="1" applyFont="1" applyFill="1" applyBorder="1" applyAlignment="1">
      <alignment horizontal="center"/>
    </xf>
    <xf numFmtId="165" fontId="11" fillId="0" borderId="38" xfId="1" applyFont="1" applyFill="1" applyBorder="1" applyAlignment="1">
      <alignment horizontal="center"/>
    </xf>
    <xf numFmtId="165" fontId="5" fillId="0" borderId="26" xfId="1" applyFont="1" applyFill="1" applyBorder="1" applyAlignment="1">
      <alignment horizontal="center"/>
    </xf>
    <xf numFmtId="165" fontId="0" fillId="0" borderId="0" xfId="0" applyNumberFormat="1"/>
    <xf numFmtId="0" fontId="15" fillId="5" borderId="17" xfId="1" applyNumberFormat="1" applyFont="1" applyFill="1" applyBorder="1" applyAlignment="1">
      <alignment horizontal="center" vertical="center"/>
    </xf>
    <xf numFmtId="0" fontId="3" fillId="2" borderId="17" xfId="1" applyNumberFormat="1" applyFont="1" applyFill="1" applyBorder="1" applyAlignment="1">
      <alignment horizontal="center" vertical="center"/>
    </xf>
    <xf numFmtId="0" fontId="15" fillId="5" borderId="34" xfId="1" applyNumberFormat="1" applyFont="1" applyFill="1" applyBorder="1" applyAlignment="1">
      <alignment vertical="center"/>
    </xf>
    <xf numFmtId="0" fontId="15" fillId="5" borderId="42" xfId="1" applyNumberFormat="1" applyFont="1" applyFill="1" applyBorder="1" applyAlignment="1">
      <alignment vertical="center"/>
    </xf>
    <xf numFmtId="0" fontId="15" fillId="5" borderId="35" xfId="1" applyNumberFormat="1" applyFont="1" applyFill="1" applyBorder="1" applyAlignment="1">
      <alignment vertical="center"/>
    </xf>
    <xf numFmtId="0" fontId="15" fillId="6" borderId="17" xfId="1" applyNumberFormat="1" applyFont="1" applyFill="1" applyBorder="1" applyAlignment="1">
      <alignment horizontal="center" vertical="center"/>
    </xf>
    <xf numFmtId="0" fontId="15" fillId="6" borderId="34" xfId="1" applyNumberFormat="1" applyFont="1" applyFill="1" applyBorder="1" applyAlignment="1">
      <alignment vertical="center"/>
    </xf>
    <xf numFmtId="0" fontId="15" fillId="6" borderId="42" xfId="1" applyNumberFormat="1" applyFont="1" applyFill="1" applyBorder="1" applyAlignment="1">
      <alignment vertical="center"/>
    </xf>
    <xf numFmtId="0" fontId="15" fillId="6" borderId="35" xfId="1" applyNumberFormat="1" applyFont="1" applyFill="1" applyBorder="1" applyAlignment="1">
      <alignment vertical="center"/>
    </xf>
    <xf numFmtId="164" fontId="15" fillId="6" borderId="17" xfId="1" applyNumberFormat="1" applyFont="1" applyFill="1" applyBorder="1" applyAlignment="1">
      <alignment horizontal="center" vertical="center"/>
    </xf>
    <xf numFmtId="165" fontId="15" fillId="6" borderId="34" xfId="1" applyFont="1" applyFill="1" applyBorder="1" applyAlignment="1">
      <alignment vertical="center"/>
    </xf>
    <xf numFmtId="0" fontId="15" fillId="6" borderId="36" xfId="1" applyNumberFormat="1" applyFont="1" applyFill="1" applyBorder="1" applyAlignment="1">
      <alignment vertical="center"/>
    </xf>
    <xf numFmtId="165" fontId="1" fillId="5" borderId="19" xfId="1" applyFont="1" applyFill="1" applyBorder="1"/>
    <xf numFmtId="0" fontId="0" fillId="5" borderId="20" xfId="0" applyFill="1" applyBorder="1" applyAlignment="1">
      <alignment horizontal="right" wrapText="1"/>
    </xf>
    <xf numFmtId="165" fontId="1" fillId="5" borderId="20" xfId="1" applyFont="1" applyFill="1" applyBorder="1"/>
    <xf numFmtId="165" fontId="1" fillId="5" borderId="23" xfId="1" applyFont="1" applyFill="1" applyBorder="1"/>
    <xf numFmtId="0" fontId="0" fillId="5" borderId="21" xfId="0" applyFill="1" applyBorder="1" applyAlignment="1">
      <alignment horizontal="right" wrapText="1"/>
    </xf>
    <xf numFmtId="165" fontId="1" fillId="5" borderId="21" xfId="1" applyFont="1" applyFill="1" applyBorder="1"/>
    <xf numFmtId="0" fontId="4" fillId="5" borderId="19" xfId="0" applyFont="1" applyFill="1" applyBorder="1" applyAlignment="1">
      <alignment vertical="center" wrapText="1"/>
    </xf>
    <xf numFmtId="0" fontId="0" fillId="6" borderId="21" xfId="0" applyFill="1" applyBorder="1" applyAlignment="1">
      <alignment horizontal="right" wrapText="1"/>
    </xf>
    <xf numFmtId="165" fontId="1" fillId="6" borderId="21" xfId="1" applyFont="1" applyFill="1" applyBorder="1"/>
    <xf numFmtId="0" fontId="4" fillId="6" borderId="19" xfId="0" applyFont="1" applyFill="1" applyBorder="1" applyAlignment="1">
      <alignment vertical="center" wrapText="1"/>
    </xf>
    <xf numFmtId="165" fontId="1" fillId="6" borderId="19" xfId="1" applyFont="1" applyFill="1" applyBorder="1"/>
    <xf numFmtId="0" fontId="0" fillId="6" borderId="20" xfId="0" applyFill="1" applyBorder="1" applyAlignment="1">
      <alignment horizontal="right" wrapText="1"/>
    </xf>
    <xf numFmtId="165" fontId="1" fillId="6" borderId="20" xfId="1" applyFont="1" applyFill="1" applyBorder="1"/>
    <xf numFmtId="165" fontId="1" fillId="6" borderId="23" xfId="1" applyFont="1" applyFill="1" applyBorder="1"/>
    <xf numFmtId="165" fontId="3" fillId="6" borderId="21" xfId="1" applyFont="1" applyFill="1" applyBorder="1" applyAlignment="1">
      <alignment horizontal="center" vertical="center"/>
    </xf>
    <xf numFmtId="0" fontId="4" fillId="6" borderId="19" xfId="0" applyFont="1" applyFill="1" applyBorder="1" applyAlignment="1">
      <alignment wrapText="1"/>
    </xf>
    <xf numFmtId="17" fontId="0" fillId="0" borderId="43" xfId="0" applyNumberFormat="1" applyBorder="1" applyAlignment="1">
      <alignment horizontal="right" vertical="center"/>
    </xf>
    <xf numFmtId="0" fontId="16" fillId="0" borderId="0" xfId="0" applyFont="1"/>
    <xf numFmtId="0" fontId="9" fillId="0" borderId="13" xfId="0" applyFont="1" applyBorder="1" applyAlignment="1">
      <alignment horizontal="center"/>
    </xf>
    <xf numFmtId="0" fontId="9" fillId="0" borderId="45" xfId="0" applyFont="1" applyBorder="1"/>
    <xf numFmtId="17" fontId="1" fillId="0" borderId="20" xfId="0" applyNumberFormat="1" applyFont="1" applyBorder="1" applyAlignment="1">
      <alignment horizontal="right" vertical="center"/>
    </xf>
    <xf numFmtId="0" fontId="0" fillId="0" borderId="45" xfId="0" applyBorder="1"/>
    <xf numFmtId="0" fontId="0" fillId="0" borderId="29" xfId="0" applyBorder="1"/>
    <xf numFmtId="0" fontId="0" fillId="0" borderId="33" xfId="0" applyBorder="1"/>
    <xf numFmtId="0" fontId="0" fillId="0" borderId="48" xfId="0" applyBorder="1"/>
    <xf numFmtId="164" fontId="0" fillId="0" borderId="5" xfId="0" applyNumberFormat="1" applyBorder="1"/>
    <xf numFmtId="0" fontId="0" fillId="0" borderId="50" xfId="0" applyBorder="1"/>
    <xf numFmtId="164" fontId="0" fillId="0" borderId="51" xfId="0" applyNumberFormat="1" applyBorder="1"/>
    <xf numFmtId="40" fontId="0" fillId="0" borderId="51" xfId="0" applyNumberFormat="1" applyBorder="1"/>
    <xf numFmtId="40" fontId="0" fillId="0" borderId="52" xfId="0" applyNumberFormat="1" applyBorder="1"/>
    <xf numFmtId="164" fontId="0" fillId="0" borderId="56" xfId="0" applyNumberFormat="1" applyBorder="1"/>
    <xf numFmtId="0" fontId="0" fillId="0" borderId="56" xfId="0" applyBorder="1"/>
    <xf numFmtId="40" fontId="0" fillId="0" borderId="56" xfId="0" applyNumberFormat="1" applyBorder="1"/>
    <xf numFmtId="165" fontId="0" fillId="0" borderId="46" xfId="1" applyFont="1" applyBorder="1"/>
    <xf numFmtId="165" fontId="0" fillId="0" borderId="47" xfId="1" applyFont="1" applyBorder="1"/>
    <xf numFmtId="165" fontId="0" fillId="0" borderId="5" xfId="1" applyFont="1" applyBorder="1"/>
    <xf numFmtId="165" fontId="0" fillId="0" borderId="57" xfId="1" applyFont="1" applyFill="1" applyBorder="1"/>
    <xf numFmtId="40" fontId="0" fillId="0" borderId="58" xfId="0" applyNumberFormat="1" applyBorder="1"/>
    <xf numFmtId="0" fontId="0" fillId="0" borderId="0" xfId="0" applyAlignment="1">
      <alignment horizontal="center" vertical="center"/>
    </xf>
    <xf numFmtId="165" fontId="2" fillId="0" borderId="0" xfId="1" applyFont="1" applyBorder="1" applyAlignment="1"/>
    <xf numFmtId="0" fontId="9" fillId="0" borderId="59" xfId="0" applyFont="1" applyBorder="1"/>
    <xf numFmtId="0" fontId="9" fillId="0" borderId="40" xfId="0" applyFont="1" applyBorder="1"/>
    <xf numFmtId="0" fontId="11" fillId="0" borderId="19" xfId="0" applyFont="1" applyBorder="1" applyAlignment="1">
      <alignment horizontal="center" vertical="center"/>
    </xf>
    <xf numFmtId="0" fontId="11" fillId="0" borderId="19" xfId="0" applyFont="1" applyBorder="1"/>
    <xf numFmtId="165" fontId="11" fillId="0" borderId="19" xfId="1" applyFont="1" applyBorder="1"/>
    <xf numFmtId="0" fontId="11" fillId="0" borderId="20" xfId="0" applyFont="1" applyBorder="1" applyAlignment="1">
      <alignment horizontal="center" vertical="center"/>
    </xf>
    <xf numFmtId="0" fontId="11" fillId="0" borderId="20" xfId="0" applyFont="1" applyBorder="1"/>
    <xf numFmtId="165" fontId="11" fillId="0" borderId="20" xfId="1" applyFont="1" applyBorder="1"/>
    <xf numFmtId="165" fontId="11" fillId="0" borderId="19" xfId="1" applyFont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 wrapText="1"/>
    </xf>
    <xf numFmtId="0" fontId="19" fillId="3" borderId="48" xfId="0" applyFont="1" applyFill="1" applyBorder="1" applyAlignment="1">
      <alignment horizontal="center" vertical="center"/>
    </xf>
    <xf numFmtId="0" fontId="21" fillId="9" borderId="48" xfId="0" applyFont="1" applyFill="1" applyBorder="1" applyAlignment="1">
      <alignment horizontal="center" vertical="center"/>
    </xf>
    <xf numFmtId="2" fontId="22" fillId="0" borderId="5" xfId="0" applyNumberFormat="1" applyFont="1" applyBorder="1" applyAlignment="1">
      <alignment vertical="center"/>
    </xf>
    <xf numFmtId="0" fontId="0" fillId="0" borderId="49" xfId="0" applyBorder="1"/>
    <xf numFmtId="2" fontId="22" fillId="10" borderId="5" xfId="0" applyNumberFormat="1" applyFont="1" applyFill="1" applyBorder="1" applyAlignment="1" applyProtection="1">
      <alignment vertical="center"/>
      <protection locked="0"/>
    </xf>
    <xf numFmtId="2" fontId="21" fillId="10" borderId="5" xfId="0" applyNumberFormat="1" applyFont="1" applyFill="1" applyBorder="1" applyAlignment="1">
      <alignment vertical="center" wrapText="1"/>
    </xf>
    <xf numFmtId="2" fontId="22" fillId="0" borderId="55" xfId="0" applyNumberFormat="1" applyFont="1" applyBorder="1" applyAlignment="1">
      <alignment vertical="center"/>
    </xf>
    <xf numFmtId="2" fontId="22" fillId="0" borderId="56" xfId="0" applyNumberFormat="1" applyFont="1" applyBorder="1" applyAlignment="1">
      <alignment vertical="center"/>
    </xf>
    <xf numFmtId="2" fontId="22" fillId="10" borderId="56" xfId="0" applyNumberFormat="1" applyFont="1" applyFill="1" applyBorder="1" applyAlignment="1" applyProtection="1">
      <alignment vertical="center"/>
      <protection locked="0"/>
    </xf>
    <xf numFmtId="2" fontId="22" fillId="5" borderId="46" xfId="0" applyNumberFormat="1" applyFont="1" applyFill="1" applyBorder="1" applyAlignment="1">
      <alignment vertical="center" wrapText="1"/>
    </xf>
    <xf numFmtId="2" fontId="22" fillId="5" borderId="46" xfId="0" applyNumberFormat="1" applyFont="1" applyFill="1" applyBorder="1" applyAlignment="1">
      <alignment vertical="center"/>
    </xf>
    <xf numFmtId="0" fontId="21" fillId="9" borderId="60" xfId="0" applyFont="1" applyFill="1" applyBorder="1" applyAlignment="1">
      <alignment horizontal="center" vertical="center"/>
    </xf>
    <xf numFmtId="2" fontId="23" fillId="5" borderId="61" xfId="0" applyNumberFormat="1" applyFont="1" applyFill="1" applyBorder="1" applyAlignment="1">
      <alignment vertical="center"/>
    </xf>
    <xf numFmtId="0" fontId="0" fillId="0" borderId="62" xfId="0" applyBorder="1"/>
    <xf numFmtId="0" fontId="21" fillId="9" borderId="5" xfId="0" applyFont="1" applyFill="1" applyBorder="1" applyAlignment="1">
      <alignment horizontal="left" vertical="center" wrapText="1"/>
    </xf>
    <xf numFmtId="0" fontId="19" fillId="3" borderId="5" xfId="0" applyFont="1" applyFill="1" applyBorder="1" applyAlignment="1">
      <alignment horizontal="center" vertical="center"/>
    </xf>
    <xf numFmtId="0" fontId="21" fillId="11" borderId="5" xfId="0" applyFont="1" applyFill="1" applyBorder="1" applyAlignment="1">
      <alignment horizontal="center" vertical="center"/>
    </xf>
    <xf numFmtId="166" fontId="21" fillId="10" borderId="5" xfId="0" applyNumberFormat="1" applyFont="1" applyFill="1" applyBorder="1" applyAlignment="1">
      <alignment vertical="center" wrapText="1"/>
    </xf>
    <xf numFmtId="2" fontId="22" fillId="0" borderId="5" xfId="0" applyNumberFormat="1" applyFont="1" applyBorder="1" applyAlignment="1" applyProtection="1">
      <alignment vertical="center"/>
      <protection locked="0"/>
    </xf>
    <xf numFmtId="0" fontId="21" fillId="9" borderId="5" xfId="0" applyFont="1" applyFill="1" applyBorder="1" applyAlignment="1">
      <alignment horizontal="center" vertical="center"/>
    </xf>
    <xf numFmtId="4" fontId="22" fillId="5" borderId="5" xfId="0" applyNumberFormat="1" applyFont="1" applyFill="1" applyBorder="1" applyAlignment="1">
      <alignment vertical="center"/>
    </xf>
    <xf numFmtId="166" fontId="22" fillId="5" borderId="5" xfId="0" applyNumberFormat="1" applyFont="1" applyFill="1" applyBorder="1" applyAlignment="1">
      <alignment vertical="center"/>
    </xf>
    <xf numFmtId="0" fontId="19" fillId="4" borderId="5" xfId="0" applyFont="1" applyFill="1" applyBorder="1" applyAlignment="1">
      <alignment horizontal="center" vertical="center"/>
    </xf>
    <xf numFmtId="4" fontId="22" fillId="10" borderId="5" xfId="0" applyNumberFormat="1" applyFont="1" applyFill="1" applyBorder="1" applyAlignment="1">
      <alignment vertical="center"/>
    </xf>
    <xf numFmtId="4" fontId="22" fillId="10" borderId="5" xfId="0" applyNumberFormat="1" applyFont="1" applyFill="1" applyBorder="1" applyAlignment="1">
      <alignment vertical="center" wrapText="1"/>
    </xf>
    <xf numFmtId="2" fontId="22" fillId="14" borderId="5" xfId="0" applyNumberFormat="1" applyFont="1" applyFill="1" applyBorder="1" applyAlignment="1" applyProtection="1">
      <alignment vertical="center"/>
      <protection locked="0"/>
    </xf>
    <xf numFmtId="0" fontId="21" fillId="9" borderId="5" xfId="0" applyFont="1" applyFill="1" applyBorder="1" applyAlignment="1">
      <alignment horizontal="center" vertical="center" wrapText="1"/>
    </xf>
    <xf numFmtId="0" fontId="21" fillId="9" borderId="5" xfId="0" applyFont="1" applyFill="1" applyBorder="1" applyAlignment="1">
      <alignment vertical="center" wrapText="1"/>
    </xf>
    <xf numFmtId="0" fontId="19" fillId="0" borderId="5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left" vertical="center" wrapText="1"/>
    </xf>
    <xf numFmtId="49" fontId="27" fillId="0" borderId="5" xfId="0" applyNumberFormat="1" applyFont="1" applyBorder="1" applyAlignment="1" applyProtection="1">
      <alignment horizontal="left" vertical="center" wrapText="1"/>
      <protection locked="0"/>
    </xf>
    <xf numFmtId="0" fontId="21" fillId="0" borderId="5" xfId="0" applyFont="1" applyBorder="1" applyAlignment="1">
      <alignment vertical="center" wrapText="1"/>
    </xf>
    <xf numFmtId="4" fontId="22" fillId="5" borderId="5" xfId="0" applyNumberFormat="1" applyFont="1" applyFill="1" applyBorder="1" applyAlignment="1">
      <alignment vertical="center" wrapText="1"/>
    </xf>
    <xf numFmtId="0" fontId="28" fillId="0" borderId="5" xfId="0" applyFont="1" applyBorder="1" applyAlignment="1">
      <alignment horizontal="center" vertical="center" wrapText="1"/>
    </xf>
    <xf numFmtId="4" fontId="22" fillId="0" borderId="5" xfId="0" applyNumberFormat="1" applyFont="1" applyBorder="1" applyAlignment="1">
      <alignment vertical="center"/>
    </xf>
    <xf numFmtId="4" fontId="22" fillId="5" borderId="5" xfId="0" applyNumberFormat="1" applyFont="1" applyFill="1" applyBorder="1" applyAlignment="1">
      <alignment horizontal="right" vertical="center"/>
    </xf>
    <xf numFmtId="0" fontId="28" fillId="0" borderId="5" xfId="0" applyFont="1" applyBorder="1" applyAlignment="1">
      <alignment horizontal="center" vertical="center"/>
    </xf>
    <xf numFmtId="0" fontId="28" fillId="4" borderId="48" xfId="0" applyFont="1" applyFill="1" applyBorder="1" applyAlignment="1">
      <alignment horizontal="center" vertical="center"/>
    </xf>
    <xf numFmtId="0" fontId="29" fillId="15" borderId="55" xfId="0" applyFont="1" applyFill="1" applyBorder="1" applyAlignment="1">
      <alignment horizontal="center" vertical="center"/>
    </xf>
    <xf numFmtId="0" fontId="22" fillId="9" borderId="5" xfId="0" applyFont="1" applyFill="1" applyBorder="1" applyAlignment="1">
      <alignment horizontal="center" vertical="center"/>
    </xf>
    <xf numFmtId="4" fontId="22" fillId="17" borderId="5" xfId="0" applyNumberFormat="1" applyFont="1" applyFill="1" applyBorder="1" applyAlignment="1">
      <alignment vertical="center" wrapText="1"/>
    </xf>
    <xf numFmtId="0" fontId="22" fillId="9" borderId="5" xfId="0" applyFont="1" applyFill="1" applyBorder="1" applyAlignment="1">
      <alignment horizontal="center" vertical="center" wrapText="1"/>
    </xf>
    <xf numFmtId="0" fontId="28" fillId="9" borderId="5" xfId="0" applyFont="1" applyFill="1" applyBorder="1" applyAlignment="1">
      <alignment horizontal="center" vertical="center"/>
    </xf>
    <xf numFmtId="0" fontId="32" fillId="9" borderId="5" xfId="0" applyFont="1" applyFill="1" applyBorder="1" applyAlignment="1">
      <alignment horizontal="left" vertical="center" wrapText="1"/>
    </xf>
    <xf numFmtId="0" fontId="4" fillId="0" borderId="5" xfId="0" applyFont="1" applyBorder="1" applyAlignment="1">
      <alignment horizontal="left"/>
    </xf>
    <xf numFmtId="4" fontId="22" fillId="10" borderId="55" xfId="0" applyNumberFormat="1" applyFont="1" applyFill="1" applyBorder="1" applyAlignment="1">
      <alignment vertical="center" wrapText="1"/>
    </xf>
    <xf numFmtId="4" fontId="33" fillId="5" borderId="46" xfId="0" applyNumberFormat="1" applyFont="1" applyFill="1" applyBorder="1"/>
    <xf numFmtId="4" fontId="34" fillId="5" borderId="46" xfId="0" applyNumberFormat="1" applyFont="1" applyFill="1" applyBorder="1"/>
    <xf numFmtId="4" fontId="22" fillId="10" borderId="56" xfId="0" applyNumberFormat="1" applyFont="1" applyFill="1" applyBorder="1" applyAlignment="1">
      <alignment vertical="center" wrapText="1"/>
    </xf>
    <xf numFmtId="2" fontId="22" fillId="0" borderId="56" xfId="0" applyNumberFormat="1" applyFont="1" applyBorder="1" applyAlignment="1" applyProtection="1">
      <alignment vertical="center"/>
      <protection locked="0"/>
    </xf>
    <xf numFmtId="0" fontId="36" fillId="0" borderId="5" xfId="0" applyFont="1" applyBorder="1"/>
    <xf numFmtId="0" fontId="28" fillId="9" borderId="0" xfId="0" applyFont="1" applyFill="1" applyAlignment="1">
      <alignment horizontal="left" vertical="center"/>
    </xf>
    <xf numFmtId="4" fontId="21" fillId="10" borderId="5" xfId="0" applyNumberFormat="1" applyFont="1" applyFill="1" applyBorder="1" applyAlignment="1">
      <alignment vertical="center" wrapText="1"/>
    </xf>
    <xf numFmtId="0" fontId="0" fillId="0" borderId="5" xfId="0" applyBorder="1" applyAlignment="1">
      <alignment wrapText="1"/>
    </xf>
    <xf numFmtId="4" fontId="22" fillId="0" borderId="5" xfId="0" applyNumberFormat="1" applyFont="1" applyBorder="1" applyAlignment="1" applyProtection="1">
      <alignment horizontal="right" vertical="center" wrapText="1"/>
      <protection locked="0"/>
    </xf>
    <xf numFmtId="4" fontId="21" fillId="17" borderId="5" xfId="0" applyNumberFormat="1" applyFont="1" applyFill="1" applyBorder="1" applyAlignment="1">
      <alignment vertical="center" wrapText="1"/>
    </xf>
    <xf numFmtId="49" fontId="31" fillId="15" borderId="5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165" fontId="0" fillId="0" borderId="0" xfId="1" applyFont="1" applyFill="1" applyProtection="1"/>
    <xf numFmtId="9" fontId="0" fillId="0" borderId="0" xfId="2" applyFont="1" applyFill="1" applyAlignment="1" applyProtection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left"/>
    </xf>
    <xf numFmtId="165" fontId="0" fillId="0" borderId="20" xfId="1" applyFont="1" applyFill="1" applyBorder="1" applyProtection="1"/>
    <xf numFmtId="0" fontId="0" fillId="0" borderId="20" xfId="0" applyBorder="1"/>
    <xf numFmtId="9" fontId="0" fillId="0" borderId="20" xfId="2" applyFont="1" applyFill="1" applyBorder="1" applyAlignment="1" applyProtection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3" xfId="0" applyBorder="1" applyAlignment="1">
      <alignment horizontal="left"/>
    </xf>
    <xf numFmtId="165" fontId="0" fillId="0" borderId="23" xfId="1" applyFont="1" applyFill="1" applyBorder="1" applyProtection="1"/>
    <xf numFmtId="0" fontId="0" fillId="0" borderId="23" xfId="0" applyBorder="1"/>
    <xf numFmtId="9" fontId="0" fillId="0" borderId="23" xfId="2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0" fillId="19" borderId="19" xfId="0" applyFill="1" applyBorder="1" applyAlignment="1">
      <alignment horizontal="center" vertical="center"/>
    </xf>
    <xf numFmtId="0" fontId="0" fillId="19" borderId="19" xfId="0" applyFill="1" applyBorder="1" applyAlignment="1">
      <alignment horizontal="left"/>
    </xf>
    <xf numFmtId="0" fontId="0" fillId="19" borderId="19" xfId="0" applyFill="1" applyBorder="1"/>
    <xf numFmtId="9" fontId="0" fillId="19" borderId="19" xfId="2" applyFont="1" applyFill="1" applyBorder="1" applyAlignment="1" applyProtection="1">
      <alignment horizontal="center" vertical="center"/>
    </xf>
    <xf numFmtId="165" fontId="0" fillId="0" borderId="0" xfId="1" applyFont="1" applyProtection="1"/>
    <xf numFmtId="9" fontId="0" fillId="0" borderId="0" xfId="2" applyFont="1" applyAlignment="1" applyProtection="1">
      <alignment horizontal="center" vertical="center"/>
    </xf>
    <xf numFmtId="165" fontId="6" fillId="19" borderId="19" xfId="1" applyFont="1" applyFill="1" applyBorder="1" applyProtection="1"/>
    <xf numFmtId="49" fontId="31" fillId="15" borderId="55" xfId="0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left"/>
    </xf>
    <xf numFmtId="165" fontId="0" fillId="0" borderId="19" xfId="1" applyFont="1" applyFill="1" applyBorder="1" applyProtection="1"/>
    <xf numFmtId="0" fontId="0" fillId="0" borderId="19" xfId="0" applyBorder="1"/>
    <xf numFmtId="9" fontId="0" fillId="0" borderId="19" xfId="2" applyFont="1" applyFill="1" applyBorder="1" applyAlignment="1" applyProtection="1">
      <alignment horizontal="center" vertical="center"/>
    </xf>
    <xf numFmtId="0" fontId="0" fillId="0" borderId="19" xfId="0" applyBorder="1" applyAlignment="1">
      <alignment wrapText="1"/>
    </xf>
    <xf numFmtId="49" fontId="39" fillId="18" borderId="17" xfId="0" applyNumberFormat="1" applyFont="1" applyFill="1" applyBorder="1" applyAlignment="1">
      <alignment horizontal="center" vertical="center" wrapText="1"/>
    </xf>
    <xf numFmtId="0" fontId="39" fillId="18" borderId="17" xfId="0" applyFont="1" applyFill="1" applyBorder="1" applyAlignment="1">
      <alignment horizontal="center" vertical="center" wrapText="1"/>
    </xf>
    <xf numFmtId="165" fontId="39" fillId="18" borderId="17" xfId="1" applyFont="1" applyFill="1" applyBorder="1" applyAlignment="1" applyProtection="1">
      <alignment horizontal="center" vertical="center" wrapText="1"/>
    </xf>
    <xf numFmtId="9" fontId="39" fillId="18" borderId="17" xfId="2" applyFont="1" applyFill="1" applyBorder="1" applyAlignment="1" applyProtection="1">
      <alignment horizontal="center" vertical="center" wrapText="1"/>
    </xf>
    <xf numFmtId="0" fontId="0" fillId="0" borderId="77" xfId="0" applyBorder="1" applyAlignment="1">
      <alignment wrapText="1"/>
    </xf>
    <xf numFmtId="164" fontId="0" fillId="0" borderId="78" xfId="0" applyNumberFormat="1" applyBorder="1"/>
    <xf numFmtId="17" fontId="1" fillId="6" borderId="19" xfId="0" applyNumberFormat="1" applyFont="1" applyFill="1" applyBorder="1" applyAlignment="1">
      <alignment horizontal="right" vertical="center"/>
    </xf>
    <xf numFmtId="17" fontId="1" fillId="5" borderId="19" xfId="0" applyNumberFormat="1" applyFont="1" applyFill="1" applyBorder="1" applyAlignment="1">
      <alignment horizontal="right" vertical="center"/>
    </xf>
    <xf numFmtId="165" fontId="1" fillId="6" borderId="19" xfId="0" applyNumberFormat="1" applyFont="1" applyFill="1" applyBorder="1" applyAlignment="1">
      <alignment horizontal="right" vertical="center"/>
    </xf>
    <xf numFmtId="165" fontId="1" fillId="5" borderId="19" xfId="0" applyNumberFormat="1" applyFont="1" applyFill="1" applyBorder="1" applyAlignment="1">
      <alignment horizontal="right" vertical="center"/>
    </xf>
    <xf numFmtId="165" fontId="0" fillId="0" borderId="83" xfId="1" applyFont="1" applyFill="1" applyBorder="1" applyAlignment="1">
      <alignment horizontal="center"/>
    </xf>
    <xf numFmtId="165" fontId="0" fillId="0" borderId="70" xfId="1" applyFont="1" applyFill="1" applyBorder="1" applyAlignment="1">
      <alignment horizontal="center"/>
    </xf>
    <xf numFmtId="165" fontId="0" fillId="0" borderId="84" xfId="1" applyFont="1" applyFill="1" applyBorder="1" applyAlignment="1">
      <alignment horizontal="center"/>
    </xf>
    <xf numFmtId="40" fontId="0" fillId="0" borderId="85" xfId="0" applyNumberFormat="1" applyBorder="1" applyAlignment="1">
      <alignment horizontal="center"/>
    </xf>
    <xf numFmtId="40" fontId="0" fillId="0" borderId="86" xfId="0" applyNumberFormat="1" applyBorder="1" applyAlignment="1">
      <alignment horizontal="center"/>
    </xf>
    <xf numFmtId="40" fontId="0" fillId="0" borderId="87" xfId="0" applyNumberFormat="1" applyBorder="1" applyAlignment="1">
      <alignment horizontal="center"/>
    </xf>
    <xf numFmtId="165" fontId="6" fillId="4" borderId="19" xfId="1" applyFont="1" applyFill="1" applyBorder="1"/>
    <xf numFmtId="0" fontId="0" fillId="0" borderId="3" xfId="0" applyBorder="1"/>
    <xf numFmtId="17" fontId="12" fillId="0" borderId="3" xfId="0" applyNumberFormat="1" applyFont="1" applyBorder="1" applyAlignment="1">
      <alignment horizontal="right" vertical="center"/>
    </xf>
    <xf numFmtId="17" fontId="12" fillId="0" borderId="6" xfId="0" applyNumberFormat="1" applyFont="1" applyBorder="1" applyAlignment="1">
      <alignment horizontal="right" vertical="center"/>
    </xf>
    <xf numFmtId="165" fontId="12" fillId="0" borderId="11" xfId="1" applyFont="1" applyFill="1" applyBorder="1"/>
    <xf numFmtId="165" fontId="12" fillId="0" borderId="4" xfId="1" applyFont="1" applyFill="1" applyBorder="1"/>
    <xf numFmtId="165" fontId="12" fillId="0" borderId="7" xfId="1" applyFont="1" applyFill="1" applyBorder="1"/>
    <xf numFmtId="164" fontId="0" fillId="0" borderId="55" xfId="0" applyNumberFormat="1" applyBorder="1"/>
    <xf numFmtId="165" fontId="41" fillId="0" borderId="10" xfId="1" applyFont="1" applyFill="1" applyBorder="1"/>
    <xf numFmtId="165" fontId="0" fillId="0" borderId="19" xfId="1" applyFont="1" applyBorder="1" applyAlignment="1">
      <alignment horizontal="right"/>
    </xf>
    <xf numFmtId="0" fontId="11" fillId="0" borderId="21" xfId="0" applyFont="1" applyBorder="1"/>
    <xf numFmtId="0" fontId="11" fillId="0" borderId="21" xfId="0" applyFont="1" applyBorder="1" applyAlignment="1">
      <alignment horizontal="center" vertical="center"/>
    </xf>
    <xf numFmtId="165" fontId="11" fillId="0" borderId="21" xfId="1" applyFont="1" applyBorder="1"/>
    <xf numFmtId="165" fontId="0" fillId="9" borderId="19" xfId="1" applyFont="1" applyFill="1" applyBorder="1"/>
    <xf numFmtId="165" fontId="1" fillId="9" borderId="19" xfId="1" applyFont="1" applyFill="1" applyBorder="1"/>
    <xf numFmtId="165" fontId="0" fillId="9" borderId="19" xfId="1" applyFont="1" applyFill="1" applyBorder="1" applyAlignment="1">
      <alignment horizontal="right" vertical="center"/>
    </xf>
    <xf numFmtId="1" fontId="0" fillId="9" borderId="19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165" fontId="1" fillId="9" borderId="19" xfId="1" applyFont="1" applyFill="1" applyBorder="1" applyAlignment="1">
      <alignment horizontal="right" vertical="center"/>
    </xf>
    <xf numFmtId="165" fontId="0" fillId="9" borderId="20" xfId="1" applyFont="1" applyFill="1" applyBorder="1"/>
    <xf numFmtId="165" fontId="1" fillId="9" borderId="38" xfId="1" applyFont="1" applyFill="1" applyBorder="1"/>
    <xf numFmtId="17" fontId="1" fillId="0" borderId="71" xfId="0" applyNumberFormat="1" applyFont="1" applyBorder="1" applyAlignment="1">
      <alignment horizontal="center" vertical="center"/>
    </xf>
    <xf numFmtId="165" fontId="1" fillId="9" borderId="71" xfId="1" applyFont="1" applyFill="1" applyBorder="1"/>
    <xf numFmtId="165" fontId="1" fillId="9" borderId="76" xfId="1" applyFont="1" applyFill="1" applyBorder="1"/>
    <xf numFmtId="17" fontId="1" fillId="0" borderId="64" xfId="0" applyNumberFormat="1" applyFont="1" applyBorder="1" applyAlignment="1">
      <alignment horizontal="center" vertical="center"/>
    </xf>
    <xf numFmtId="165" fontId="1" fillId="9" borderId="64" xfId="1" applyFont="1" applyFill="1" applyBorder="1"/>
    <xf numFmtId="165" fontId="1" fillId="9" borderId="65" xfId="1" applyFont="1" applyFill="1" applyBorder="1"/>
    <xf numFmtId="0" fontId="42" fillId="0" borderId="95" xfId="0" applyFont="1" applyBorder="1" applyAlignment="1" applyProtection="1">
      <alignment horizontal="left" vertical="center"/>
      <protection locked="0"/>
    </xf>
    <xf numFmtId="0" fontId="0" fillId="0" borderId="96" xfId="0" applyBorder="1"/>
    <xf numFmtId="0" fontId="0" fillId="0" borderId="97" xfId="0" applyBorder="1"/>
    <xf numFmtId="0" fontId="0" fillId="0" borderId="98" xfId="0" applyBorder="1"/>
    <xf numFmtId="0" fontId="0" fillId="0" borderId="99" xfId="0" applyBorder="1"/>
    <xf numFmtId="0" fontId="4" fillId="0" borderId="98" xfId="0" applyFont="1" applyBorder="1" applyAlignment="1">
      <alignment horizontal="right" vertical="center"/>
    </xf>
    <xf numFmtId="0" fontId="0" fillId="0" borderId="100" xfId="0" applyBorder="1"/>
    <xf numFmtId="0" fontId="0" fillId="0" borderId="101" xfId="0" applyBorder="1"/>
    <xf numFmtId="0" fontId="0" fillId="0" borderId="102" xfId="0" applyBorder="1"/>
    <xf numFmtId="4" fontId="1" fillId="0" borderId="0" xfId="0" applyNumberFormat="1" applyFont="1"/>
    <xf numFmtId="17" fontId="1" fillId="0" borderId="8" xfId="0" applyNumberFormat="1" applyFont="1" applyBorder="1"/>
    <xf numFmtId="17" fontId="1" fillId="0" borderId="103" xfId="0" applyNumberFormat="1" applyFont="1" applyBorder="1"/>
    <xf numFmtId="165" fontId="5" fillId="20" borderId="1" xfId="1" applyFont="1" applyFill="1" applyBorder="1" applyAlignment="1">
      <alignment horizontal="right" vertical="center"/>
    </xf>
    <xf numFmtId="165" fontId="5" fillId="20" borderId="3" xfId="1" applyFont="1" applyFill="1" applyBorder="1" applyAlignment="1">
      <alignment horizontal="right" vertical="center"/>
    </xf>
    <xf numFmtId="165" fontId="5" fillId="20" borderId="6" xfId="1" applyFont="1" applyFill="1" applyBorder="1" applyAlignment="1">
      <alignment horizontal="right" vertical="center"/>
    </xf>
    <xf numFmtId="165" fontId="3" fillId="21" borderId="30" xfId="1" applyFont="1" applyFill="1" applyBorder="1" applyAlignment="1">
      <alignment horizontal="center" vertical="center"/>
    </xf>
    <xf numFmtId="165" fontId="3" fillId="21" borderId="31" xfId="1" applyFont="1" applyFill="1" applyBorder="1" applyAlignment="1">
      <alignment horizontal="center" vertical="center"/>
    </xf>
    <xf numFmtId="165" fontId="3" fillId="21" borderId="32" xfId="1" applyFont="1" applyFill="1" applyBorder="1" applyAlignment="1">
      <alignment horizontal="center" vertical="center"/>
    </xf>
    <xf numFmtId="165" fontId="3" fillId="21" borderId="12" xfId="1" applyFont="1" applyFill="1" applyBorder="1" applyAlignment="1">
      <alignment horizontal="center" vertical="center"/>
    </xf>
    <xf numFmtId="165" fontId="5" fillId="20" borderId="8" xfId="1" applyFont="1" applyFill="1" applyBorder="1" applyAlignment="1">
      <alignment horizontal="right" vertical="center"/>
    </xf>
    <xf numFmtId="165" fontId="5" fillId="21" borderId="1" xfId="1" applyFont="1" applyFill="1" applyBorder="1" applyAlignment="1">
      <alignment horizontal="right" vertical="center"/>
    </xf>
    <xf numFmtId="165" fontId="5" fillId="21" borderId="3" xfId="1" applyFont="1" applyFill="1" applyBorder="1" applyAlignment="1">
      <alignment horizontal="right" vertical="center"/>
    </xf>
    <xf numFmtId="165" fontId="5" fillId="21" borderId="6" xfId="1" applyFont="1" applyFill="1" applyBorder="1" applyAlignment="1">
      <alignment horizontal="right" vertical="center"/>
    </xf>
    <xf numFmtId="165" fontId="44" fillId="21" borderId="12" xfId="1" applyFont="1" applyFill="1" applyBorder="1" applyAlignment="1">
      <alignment horizontal="center" vertical="center"/>
    </xf>
    <xf numFmtId="165" fontId="45" fillId="0" borderId="103" xfId="1" applyFont="1" applyFill="1" applyBorder="1"/>
    <xf numFmtId="165" fontId="45" fillId="0" borderId="9" xfId="1" applyFont="1" applyFill="1" applyBorder="1"/>
    <xf numFmtId="165" fontId="44" fillId="21" borderId="28" xfId="1" applyFont="1" applyFill="1" applyBorder="1" applyAlignment="1">
      <alignment horizontal="center" vertical="center"/>
    </xf>
    <xf numFmtId="165" fontId="46" fillId="4" borderId="25" xfId="1" applyFont="1" applyFill="1" applyBorder="1"/>
    <xf numFmtId="165" fontId="15" fillId="0" borderId="19" xfId="1" applyFont="1" applyFill="1" applyBorder="1"/>
    <xf numFmtId="165" fontId="1" fillId="9" borderId="20" xfId="1" applyFont="1" applyFill="1" applyBorder="1"/>
    <xf numFmtId="165" fontId="1" fillId="9" borderId="23" xfId="1" applyFont="1" applyFill="1" applyBorder="1"/>
    <xf numFmtId="165" fontId="3" fillId="21" borderId="17" xfId="1" applyFont="1" applyFill="1" applyBorder="1" applyAlignment="1">
      <alignment horizontal="center" vertical="center" wrapText="1"/>
    </xf>
    <xf numFmtId="165" fontId="3" fillId="21" borderId="31" xfId="1" applyFont="1" applyFill="1" applyBorder="1" applyAlignment="1">
      <alignment horizontal="center" vertical="center" wrapText="1"/>
    </xf>
    <xf numFmtId="165" fontId="3" fillId="21" borderId="28" xfId="1" applyFont="1" applyFill="1" applyBorder="1" applyAlignment="1">
      <alignment horizontal="center" vertical="center"/>
    </xf>
    <xf numFmtId="165" fontId="3" fillId="21" borderId="32" xfId="1" applyFont="1" applyFill="1" applyBorder="1" applyAlignment="1">
      <alignment horizontal="center" vertical="center" wrapText="1"/>
    </xf>
    <xf numFmtId="165" fontId="46" fillId="4" borderId="22" xfId="1" applyFont="1" applyFill="1" applyBorder="1"/>
    <xf numFmtId="165" fontId="3" fillId="21" borderId="16" xfId="1" applyFont="1" applyFill="1" applyBorder="1" applyAlignment="1">
      <alignment horizontal="center" vertical="center"/>
    </xf>
    <xf numFmtId="165" fontId="3" fillId="21" borderId="17" xfId="1" applyFont="1" applyFill="1" applyBorder="1" applyAlignment="1">
      <alignment horizontal="center" vertical="center"/>
    </xf>
    <xf numFmtId="165" fontId="3" fillId="21" borderId="18" xfId="1" applyFont="1" applyFill="1" applyBorder="1" applyAlignment="1">
      <alignment horizontal="center" vertical="center"/>
    </xf>
    <xf numFmtId="17" fontId="1" fillId="0" borderId="104" xfId="0" applyNumberFormat="1" applyFont="1" applyBorder="1" applyAlignment="1">
      <alignment horizontal="right" vertical="center"/>
    </xf>
    <xf numFmtId="165" fontId="1" fillId="0" borderId="14" xfId="1" applyFont="1" applyBorder="1"/>
    <xf numFmtId="165" fontId="1" fillId="0" borderId="15" xfId="1" applyFont="1" applyBorder="1"/>
    <xf numFmtId="165" fontId="15" fillId="0" borderId="11" xfId="1" applyFont="1" applyFill="1" applyBorder="1"/>
    <xf numFmtId="165" fontId="15" fillId="0" borderId="7" xfId="1" applyFont="1" applyFill="1" applyBorder="1"/>
    <xf numFmtId="165" fontId="46" fillId="0" borderId="103" xfId="1" applyFont="1" applyFill="1" applyBorder="1"/>
    <xf numFmtId="165" fontId="46" fillId="0" borderId="9" xfId="1" applyFont="1" applyFill="1" applyBorder="1"/>
    <xf numFmtId="17" fontId="6" fillId="0" borderId="8" xfId="0" applyNumberFormat="1" applyFont="1" applyBorder="1" applyAlignment="1">
      <alignment horizontal="right"/>
    </xf>
    <xf numFmtId="17" fontId="6" fillId="0" borderId="6" xfId="0" applyNumberFormat="1" applyFont="1" applyBorder="1" applyAlignment="1">
      <alignment horizontal="right"/>
    </xf>
    <xf numFmtId="165" fontId="46" fillId="0" borderId="11" xfId="1" applyFont="1" applyFill="1" applyBorder="1"/>
    <xf numFmtId="165" fontId="46" fillId="0" borderId="7" xfId="1" applyFont="1" applyFill="1" applyBorder="1"/>
    <xf numFmtId="17" fontId="45" fillId="0" borderId="6" xfId="0" applyNumberFormat="1" applyFont="1" applyBorder="1" applyAlignment="1">
      <alignment horizontal="right" vertical="center"/>
    </xf>
    <xf numFmtId="165" fontId="45" fillId="0" borderId="11" xfId="1" applyFont="1" applyFill="1" applyBorder="1"/>
    <xf numFmtId="165" fontId="45" fillId="0" borderId="7" xfId="1" applyFont="1" applyFill="1" applyBorder="1"/>
    <xf numFmtId="17" fontId="1" fillId="0" borderId="0" xfId="0" applyNumberFormat="1" applyFont="1" applyAlignment="1">
      <alignment horizontal="right" vertical="center"/>
    </xf>
    <xf numFmtId="165" fontId="1" fillId="0" borderId="0" xfId="1" applyFont="1" applyBorder="1"/>
    <xf numFmtId="165" fontId="1" fillId="0" borderId="67" xfId="1" applyFont="1" applyBorder="1"/>
    <xf numFmtId="165" fontId="3" fillId="0" borderId="105" xfId="1" applyFont="1" applyFill="1" applyBorder="1" applyAlignment="1">
      <alignment horizontal="center" vertical="center"/>
    </xf>
    <xf numFmtId="165" fontId="3" fillId="0" borderId="106" xfId="1" applyFont="1" applyFill="1" applyBorder="1" applyAlignment="1">
      <alignment horizontal="center" vertical="center"/>
    </xf>
    <xf numFmtId="165" fontId="3" fillId="0" borderId="107" xfId="1" applyFont="1" applyFill="1" applyBorder="1" applyAlignment="1">
      <alignment horizontal="center" vertical="center"/>
    </xf>
    <xf numFmtId="165" fontId="47" fillId="0" borderId="10" xfId="1" applyFont="1" applyBorder="1"/>
    <xf numFmtId="165" fontId="47" fillId="0" borderId="0" xfId="1" applyFont="1" applyBorder="1"/>
    <xf numFmtId="165" fontId="47" fillId="0" borderId="11" xfId="1" applyFont="1" applyBorder="1"/>
    <xf numFmtId="165" fontId="47" fillId="0" borderId="10" xfId="1" applyFont="1" applyBorder="1" applyAlignment="1"/>
    <xf numFmtId="165" fontId="47" fillId="0" borderId="2" xfId="1" applyFont="1" applyBorder="1" applyAlignment="1"/>
    <xf numFmtId="17" fontId="1" fillId="0" borderId="1" xfId="0" applyNumberFormat="1" applyFont="1" applyBorder="1" applyAlignment="1">
      <alignment horizontal="right" vertical="center"/>
    </xf>
    <xf numFmtId="165" fontId="1" fillId="0" borderId="10" xfId="1" applyFont="1" applyBorder="1"/>
    <xf numFmtId="165" fontId="1" fillId="0" borderId="2" xfId="1" applyFont="1" applyBorder="1"/>
    <xf numFmtId="17" fontId="6" fillId="0" borderId="6" xfId="0" applyNumberFormat="1" applyFont="1" applyBorder="1" applyAlignment="1">
      <alignment horizontal="right" vertical="center"/>
    </xf>
    <xf numFmtId="165" fontId="3" fillId="21" borderId="18" xfId="1" applyFont="1" applyFill="1" applyBorder="1" applyAlignment="1">
      <alignment horizontal="center" vertical="center" wrapText="1"/>
    </xf>
    <xf numFmtId="165" fontId="1" fillId="0" borderId="10" xfId="1" applyFont="1" applyFill="1" applyBorder="1"/>
    <xf numFmtId="165" fontId="1" fillId="0" borderId="2" xfId="1" applyFont="1" applyFill="1" applyBorder="1"/>
    <xf numFmtId="165" fontId="3" fillId="22" borderId="30" xfId="1" applyFont="1" applyFill="1" applyBorder="1" applyAlignment="1">
      <alignment horizontal="center" vertical="center" wrapText="1"/>
    </xf>
    <xf numFmtId="165" fontId="3" fillId="22" borderId="17" xfId="1" applyFont="1" applyFill="1" applyBorder="1" applyAlignment="1">
      <alignment horizontal="center" vertical="center" wrapText="1"/>
    </xf>
    <xf numFmtId="165" fontId="3" fillId="22" borderId="17" xfId="1" applyFont="1" applyFill="1" applyBorder="1" applyAlignment="1">
      <alignment vertical="center" wrapText="1"/>
    </xf>
    <xf numFmtId="165" fontId="1" fillId="0" borderId="10" xfId="1" applyFont="1" applyFill="1" applyBorder="1" applyAlignment="1">
      <alignment horizontal="right" vertical="center"/>
    </xf>
    <xf numFmtId="165" fontId="3" fillId="22" borderId="18" xfId="1" applyFont="1" applyFill="1" applyBorder="1" applyAlignment="1">
      <alignment horizontal="center" vertical="center" wrapText="1"/>
    </xf>
    <xf numFmtId="165" fontId="3" fillId="21" borderId="16" xfId="1" applyFont="1" applyFill="1" applyBorder="1" applyAlignment="1">
      <alignment horizontal="center" vertical="center" wrapText="1"/>
    </xf>
    <xf numFmtId="165" fontId="3" fillId="22" borderId="31" xfId="1" applyFont="1" applyFill="1" applyBorder="1" applyAlignment="1">
      <alignment horizontal="center" vertical="center" wrapText="1"/>
    </xf>
    <xf numFmtId="165" fontId="3" fillId="22" borderId="32" xfId="1" applyFont="1" applyFill="1" applyBorder="1" applyAlignment="1">
      <alignment horizontal="center" vertical="center" wrapText="1"/>
    </xf>
    <xf numFmtId="165" fontId="47" fillId="0" borderId="1" xfId="1" applyFont="1" applyBorder="1" applyAlignment="1"/>
    <xf numFmtId="165" fontId="0" fillId="0" borderId="10" xfId="1" applyFont="1" applyFill="1" applyBorder="1"/>
    <xf numFmtId="165" fontId="0" fillId="0" borderId="2" xfId="1" applyFont="1" applyFill="1" applyBorder="1"/>
    <xf numFmtId="165" fontId="45" fillId="0" borderId="11" xfId="1" applyFont="1" applyFill="1" applyBorder="1" applyAlignment="1">
      <alignment horizontal="right" vertical="center"/>
    </xf>
    <xf numFmtId="165" fontId="45" fillId="0" borderId="7" xfId="1" applyFont="1" applyFill="1" applyBorder="1" applyAlignment="1">
      <alignment horizontal="right" vertical="center"/>
    </xf>
    <xf numFmtId="165" fontId="0" fillId="0" borderId="10" xfId="1" applyFont="1" applyBorder="1"/>
    <xf numFmtId="165" fontId="0" fillId="0" borderId="2" xfId="1" applyFont="1" applyBorder="1"/>
    <xf numFmtId="165" fontId="3" fillId="21" borderId="39" xfId="1" applyFont="1" applyFill="1" applyBorder="1" applyAlignment="1">
      <alignment horizontal="center" vertical="center"/>
    </xf>
    <xf numFmtId="165" fontId="3" fillId="21" borderId="40" xfId="1" applyFont="1" applyFill="1" applyBorder="1" applyAlignment="1">
      <alignment horizontal="center" vertical="center"/>
    </xf>
    <xf numFmtId="17" fontId="3" fillId="21" borderId="35" xfId="1" applyNumberFormat="1" applyFont="1" applyFill="1" applyBorder="1" applyAlignment="1">
      <alignment horizontal="center" vertical="center"/>
    </xf>
    <xf numFmtId="49" fontId="3" fillId="21" borderId="35" xfId="1" applyNumberFormat="1" applyFont="1" applyFill="1" applyBorder="1" applyAlignment="1">
      <alignment horizontal="center" vertical="center"/>
    </xf>
    <xf numFmtId="165" fontId="3" fillId="21" borderId="35" xfId="1" applyFont="1" applyFill="1" applyBorder="1" applyAlignment="1">
      <alignment horizontal="center" vertical="center"/>
    </xf>
    <xf numFmtId="165" fontId="3" fillId="21" borderId="91" xfId="1" applyFont="1" applyFill="1" applyBorder="1" applyAlignment="1">
      <alignment horizontal="center" vertical="center" wrapText="1"/>
    </xf>
    <xf numFmtId="165" fontId="41" fillId="0" borderId="0" xfId="1" applyFont="1" applyFill="1" applyBorder="1"/>
    <xf numFmtId="17" fontId="4" fillId="0" borderId="19" xfId="0" applyNumberFormat="1" applyFont="1" applyBorder="1" applyAlignment="1">
      <alignment horizontal="right" vertical="center"/>
    </xf>
    <xf numFmtId="0" fontId="6" fillId="4" borderId="53" xfId="0" applyFont="1" applyFill="1" applyBorder="1" applyAlignment="1">
      <alignment horizontal="right"/>
    </xf>
    <xf numFmtId="0" fontId="6" fillId="4" borderId="53" xfId="0" applyFont="1" applyFill="1" applyBorder="1" applyAlignment="1">
      <alignment horizontal="right" vertical="center"/>
    </xf>
    <xf numFmtId="165" fontId="0" fillId="10" borderId="5" xfId="1" applyFont="1" applyFill="1" applyBorder="1"/>
    <xf numFmtId="165" fontId="0" fillId="10" borderId="49" xfId="1" applyFont="1" applyFill="1" applyBorder="1"/>
    <xf numFmtId="164" fontId="0" fillId="10" borderId="55" xfId="0" applyNumberFormat="1" applyFill="1" applyBorder="1"/>
    <xf numFmtId="165" fontId="3" fillId="21" borderId="45" xfId="1" applyFont="1" applyFill="1" applyBorder="1" applyAlignment="1">
      <alignment horizontal="center" vertical="center" wrapText="1"/>
    </xf>
    <xf numFmtId="165" fontId="3" fillId="21" borderId="29" xfId="1" applyFont="1" applyFill="1" applyBorder="1" applyAlignment="1">
      <alignment horizontal="center" vertical="center" wrapText="1"/>
    </xf>
    <xf numFmtId="0" fontId="0" fillId="0" borderId="108" xfId="0" applyBorder="1"/>
    <xf numFmtId="0" fontId="0" fillId="0" borderId="108" xfId="0" applyBorder="1" applyAlignment="1">
      <alignment vertical="center" wrapText="1"/>
    </xf>
    <xf numFmtId="40" fontId="0" fillId="0" borderId="78" xfId="0" applyNumberFormat="1" applyBorder="1"/>
    <xf numFmtId="0" fontId="6" fillId="4" borderId="33" xfId="0" applyFont="1" applyFill="1" applyBorder="1" applyAlignment="1">
      <alignment horizontal="right" vertical="center"/>
    </xf>
    <xf numFmtId="165" fontId="3" fillId="21" borderId="39" xfId="1" applyFont="1" applyFill="1" applyBorder="1" applyAlignment="1">
      <alignment horizontal="center" vertical="center" wrapText="1"/>
    </xf>
    <xf numFmtId="165" fontId="3" fillId="21" borderId="40" xfId="1" applyFont="1" applyFill="1" applyBorder="1" applyAlignment="1">
      <alignment horizontal="center" vertical="center" wrapText="1"/>
    </xf>
    <xf numFmtId="164" fontId="0" fillId="10" borderId="20" xfId="0" applyNumberFormat="1" applyFill="1" applyBorder="1"/>
    <xf numFmtId="0" fontId="0" fillId="10" borderId="20" xfId="0" applyFill="1" applyBorder="1"/>
    <xf numFmtId="164" fontId="46" fillId="4" borderId="54" xfId="0" applyNumberFormat="1" applyFont="1" applyFill="1" applyBorder="1"/>
    <xf numFmtId="164" fontId="46" fillId="4" borderId="79" xfId="0" applyNumberFormat="1" applyFont="1" applyFill="1" applyBorder="1"/>
    <xf numFmtId="0" fontId="48" fillId="0" borderId="0" xfId="0" applyFont="1"/>
    <xf numFmtId="164" fontId="46" fillId="4" borderId="19" xfId="0" applyNumberFormat="1" applyFont="1" applyFill="1" applyBorder="1"/>
    <xf numFmtId="165" fontId="48" fillId="0" borderId="19" xfId="1" applyFont="1" applyBorder="1"/>
    <xf numFmtId="165" fontId="49" fillId="0" borderId="19" xfId="1" applyFont="1" applyBorder="1"/>
    <xf numFmtId="164" fontId="46" fillId="4" borderId="46" xfId="0" applyNumberFormat="1" applyFont="1" applyFill="1" applyBorder="1"/>
    <xf numFmtId="164" fontId="46" fillId="4" borderId="47" xfId="0" applyNumberFormat="1" applyFont="1" applyFill="1" applyBorder="1"/>
    <xf numFmtId="165" fontId="6" fillId="0" borderId="109" xfId="1" applyFont="1" applyFill="1" applyBorder="1" applyAlignment="1">
      <alignment horizontal="right"/>
    </xf>
    <xf numFmtId="165" fontId="6" fillId="0" borderId="6" xfId="1" applyFont="1" applyFill="1" applyBorder="1" applyAlignment="1">
      <alignment horizontal="right"/>
    </xf>
    <xf numFmtId="165" fontId="3" fillId="21" borderId="35" xfId="1" applyFont="1" applyFill="1" applyBorder="1" applyAlignment="1">
      <alignment horizontal="center" vertical="center" wrapText="1"/>
    </xf>
    <xf numFmtId="17" fontId="1" fillId="0" borderId="10" xfId="0" applyNumberFormat="1" applyFont="1" applyBorder="1" applyAlignment="1">
      <alignment horizontal="right" vertical="center"/>
    </xf>
    <xf numFmtId="164" fontId="45" fillId="0" borderId="11" xfId="0" applyNumberFormat="1" applyFont="1" applyBorder="1"/>
    <xf numFmtId="164" fontId="45" fillId="0" borderId="7" xfId="0" applyNumberFormat="1" applyFont="1" applyBorder="1"/>
    <xf numFmtId="0" fontId="11" fillId="0" borderId="1" xfId="0" applyFont="1" applyBorder="1" applyAlignment="1">
      <alignment horizontal="center" vertical="center"/>
    </xf>
    <xf numFmtId="0" fontId="11" fillId="0" borderId="10" xfId="0" applyFont="1" applyBorder="1"/>
    <xf numFmtId="0" fontId="11" fillId="0" borderId="10" xfId="0" applyFont="1" applyBorder="1" applyAlignment="1">
      <alignment horizontal="center" vertical="center"/>
    </xf>
    <xf numFmtId="165" fontId="11" fillId="0" borderId="10" xfId="1" applyFont="1" applyFill="1" applyBorder="1"/>
    <xf numFmtId="165" fontId="11" fillId="0" borderId="2" xfId="1" applyFont="1" applyFill="1" applyBorder="1"/>
    <xf numFmtId="17" fontId="6" fillId="0" borderId="6" xfId="0" applyNumberFormat="1" applyFont="1" applyBorder="1" applyAlignment="1">
      <alignment horizontal="center" vertical="center"/>
    </xf>
    <xf numFmtId="17" fontId="6" fillId="0" borderId="11" xfId="0" applyNumberFormat="1" applyFont="1" applyBorder="1" applyAlignment="1">
      <alignment horizontal="right" vertical="center"/>
    </xf>
    <xf numFmtId="17" fontId="6" fillId="0" borderId="11" xfId="0" applyNumberFormat="1" applyFont="1" applyBorder="1" applyAlignment="1">
      <alignment horizontal="center" vertical="center"/>
    </xf>
    <xf numFmtId="165" fontId="3" fillId="21" borderId="92" xfId="1" applyFont="1" applyFill="1" applyBorder="1" applyAlignment="1">
      <alignment horizontal="center" vertical="center"/>
    </xf>
    <xf numFmtId="165" fontId="3" fillId="21" borderId="93" xfId="1" applyFont="1" applyFill="1" applyBorder="1" applyAlignment="1">
      <alignment horizontal="center" vertical="center"/>
    </xf>
    <xf numFmtId="165" fontId="45" fillId="0" borderId="11" xfId="0" applyNumberFormat="1" applyFont="1" applyBorder="1" applyAlignment="1">
      <alignment horizontal="center" vertical="center"/>
    </xf>
    <xf numFmtId="165" fontId="45" fillId="0" borderId="7" xfId="0" applyNumberFormat="1" applyFont="1" applyBorder="1" applyAlignment="1">
      <alignment horizontal="center" vertical="center"/>
    </xf>
    <xf numFmtId="17" fontId="0" fillId="0" borderId="38" xfId="0" applyNumberFormat="1" applyBorder="1" applyAlignment="1">
      <alignment horizontal="right" vertical="center"/>
    </xf>
    <xf numFmtId="17" fontId="0" fillId="0" borderId="1" xfId="0" applyNumberFormat="1" applyBorder="1"/>
    <xf numFmtId="14" fontId="0" fillId="0" borderId="10" xfId="0" applyNumberFormat="1" applyBorder="1"/>
    <xf numFmtId="17" fontId="0" fillId="0" borderId="6" xfId="0" applyNumberFormat="1" applyBorder="1"/>
    <xf numFmtId="17" fontId="0" fillId="0" borderId="11" xfId="0" applyNumberFormat="1" applyBorder="1"/>
    <xf numFmtId="165" fontId="0" fillId="0" borderId="7" xfId="1" applyFont="1" applyFill="1" applyBorder="1"/>
    <xf numFmtId="167" fontId="0" fillId="9" borderId="19" xfId="0" applyNumberFormat="1" applyFill="1" applyBorder="1" applyAlignment="1">
      <alignment horizontal="center" vertical="center"/>
    </xf>
    <xf numFmtId="167" fontId="0" fillId="0" borderId="19" xfId="0" applyNumberFormat="1" applyBorder="1" applyAlignment="1">
      <alignment horizontal="center" vertical="center"/>
    </xf>
    <xf numFmtId="167" fontId="0" fillId="0" borderId="20" xfId="0" applyNumberFormat="1" applyBorder="1" applyAlignment="1">
      <alignment horizontal="center" vertical="center"/>
    </xf>
    <xf numFmtId="167" fontId="0" fillId="0" borderId="38" xfId="0" applyNumberFormat="1" applyBorder="1" applyAlignment="1">
      <alignment horizontal="center" vertical="center"/>
    </xf>
    <xf numFmtId="167" fontId="0" fillId="0" borderId="21" xfId="0" applyNumberFormat="1" applyBorder="1" applyAlignment="1">
      <alignment horizontal="center" vertical="center"/>
    </xf>
    <xf numFmtId="165" fontId="3" fillId="21" borderId="12" xfId="1" applyFont="1" applyFill="1" applyBorder="1" applyAlignment="1">
      <alignment horizontal="center" vertical="center" wrapText="1"/>
    </xf>
    <xf numFmtId="165" fontId="44" fillId="21" borderId="12" xfId="1" applyFont="1" applyFill="1" applyBorder="1" applyAlignment="1">
      <alignment horizontal="center" vertical="center" wrapText="1"/>
    </xf>
    <xf numFmtId="17" fontId="50" fillId="4" borderId="19" xfId="0" applyNumberFormat="1" applyFont="1" applyFill="1" applyBorder="1" applyAlignment="1">
      <alignment horizontal="right" vertical="center"/>
    </xf>
    <xf numFmtId="165" fontId="5" fillId="0" borderId="38" xfId="1" applyFont="1" applyFill="1" applyBorder="1" applyAlignment="1">
      <alignment horizontal="right" vertical="center"/>
    </xf>
    <xf numFmtId="165" fontId="5" fillId="0" borderId="38" xfId="1" applyFont="1" applyFill="1" applyBorder="1" applyAlignment="1">
      <alignment horizontal="center" vertical="center"/>
    </xf>
    <xf numFmtId="165" fontId="0" fillId="0" borderId="10" xfId="1" applyFont="1" applyBorder="1" applyAlignment="1">
      <alignment horizontal="right" vertical="center"/>
    </xf>
    <xf numFmtId="165" fontId="0" fillId="0" borderId="2" xfId="1" applyFont="1" applyBorder="1" applyAlignment="1">
      <alignment horizontal="right" vertical="center"/>
    </xf>
    <xf numFmtId="165" fontId="0" fillId="0" borderId="49" xfId="1" applyFont="1" applyBorder="1"/>
    <xf numFmtId="165" fontId="0" fillId="0" borderId="55" xfId="1" applyFont="1" applyBorder="1"/>
    <xf numFmtId="167" fontId="1" fillId="0" borderId="20" xfId="0" applyNumberFormat="1" applyFont="1" applyBorder="1" applyAlignment="1">
      <alignment horizontal="center" vertical="center"/>
    </xf>
    <xf numFmtId="164" fontId="51" fillId="0" borderId="0" xfId="0" applyNumberFormat="1" applyFont="1"/>
    <xf numFmtId="165" fontId="3" fillId="21" borderId="114" xfId="1" applyFont="1" applyFill="1" applyBorder="1" applyAlignment="1">
      <alignment horizontal="center" vertical="center"/>
    </xf>
    <xf numFmtId="17" fontId="1" fillId="0" borderId="115" xfId="0" applyNumberFormat="1" applyFont="1" applyBorder="1" applyAlignment="1">
      <alignment horizontal="right" vertical="center"/>
    </xf>
    <xf numFmtId="165" fontId="0" fillId="0" borderId="116" xfId="1" applyFont="1" applyFill="1" applyBorder="1"/>
    <xf numFmtId="0" fontId="0" fillId="0" borderId="117" xfId="0" applyBorder="1"/>
    <xf numFmtId="0" fontId="0" fillId="0" borderId="118" xfId="0" applyBorder="1"/>
    <xf numFmtId="17" fontId="12" fillId="0" borderId="119" xfId="0" applyNumberFormat="1" applyFont="1" applyBorder="1" applyAlignment="1">
      <alignment horizontal="right" vertical="center"/>
    </xf>
    <xf numFmtId="165" fontId="15" fillId="0" borderId="120" xfId="1" applyFont="1" applyFill="1" applyBorder="1"/>
    <xf numFmtId="165" fontId="15" fillId="0" borderId="121" xfId="1" applyFont="1" applyFill="1" applyBorder="1"/>
    <xf numFmtId="165" fontId="3" fillId="21" borderId="34" xfId="1" applyFont="1" applyFill="1" applyBorder="1" applyAlignment="1">
      <alignment horizontal="center" vertical="center"/>
    </xf>
    <xf numFmtId="165" fontId="47" fillId="0" borderId="0" xfId="1" applyFont="1" applyBorder="1" applyAlignment="1">
      <alignment horizontal="left"/>
    </xf>
    <xf numFmtId="165" fontId="47" fillId="0" borderId="11" xfId="1" applyFont="1" applyBorder="1" applyAlignment="1">
      <alignment horizontal="left"/>
    </xf>
    <xf numFmtId="165" fontId="3" fillId="21" borderId="13" xfId="1" applyFont="1" applyFill="1" applyBorder="1" applyAlignment="1">
      <alignment horizontal="center" vertical="center" wrapText="1"/>
    </xf>
    <xf numFmtId="0" fontId="0" fillId="0" borderId="13" xfId="0" applyBorder="1"/>
    <xf numFmtId="165" fontId="3" fillId="21" borderId="34" xfId="1" applyFont="1" applyFill="1" applyBorder="1" applyAlignment="1">
      <alignment horizontal="center" vertical="center" wrapText="1"/>
    </xf>
    <xf numFmtId="165" fontId="0" fillId="0" borderId="75" xfId="1" applyFont="1" applyBorder="1"/>
    <xf numFmtId="165" fontId="0" fillId="10" borderId="68" xfId="1" applyFont="1" applyFill="1" applyBorder="1"/>
    <xf numFmtId="40" fontId="0" fillId="0" borderId="122" xfId="0" applyNumberFormat="1" applyBorder="1"/>
    <xf numFmtId="164" fontId="46" fillId="4" borderId="123" xfId="0" applyNumberFormat="1" applyFont="1" applyFill="1" applyBorder="1"/>
    <xf numFmtId="165" fontId="0" fillId="0" borderId="68" xfId="1" applyFont="1" applyBorder="1"/>
    <xf numFmtId="165" fontId="0" fillId="0" borderId="63" xfId="1" applyFont="1" applyBorder="1"/>
    <xf numFmtId="40" fontId="0" fillId="0" borderId="124" xfId="0" applyNumberFormat="1" applyBorder="1"/>
    <xf numFmtId="164" fontId="46" fillId="4" borderId="75" xfId="0" applyNumberFormat="1" applyFont="1" applyFill="1" applyBorder="1"/>
    <xf numFmtId="165" fontId="3" fillId="21" borderId="59" xfId="1" applyFont="1" applyFill="1" applyBorder="1" applyAlignment="1">
      <alignment horizontal="center" vertical="center" wrapText="1"/>
    </xf>
    <xf numFmtId="0" fontId="0" fillId="0" borderId="124" xfId="0" applyBorder="1"/>
    <xf numFmtId="165" fontId="3" fillId="21" borderId="10" xfId="1" applyFont="1" applyFill="1" applyBorder="1" applyAlignment="1">
      <alignment horizontal="center" vertical="center"/>
    </xf>
    <xf numFmtId="165" fontId="3" fillId="21" borderId="125" xfId="1" applyFont="1" applyFill="1" applyBorder="1" applyAlignment="1">
      <alignment horizontal="center" vertical="center" wrapText="1"/>
    </xf>
    <xf numFmtId="165" fontId="0" fillId="0" borderId="72" xfId="1" applyFont="1" applyFill="1" applyBorder="1"/>
    <xf numFmtId="40" fontId="0" fillId="0" borderId="85" xfId="0" applyNumberFormat="1" applyBorder="1"/>
    <xf numFmtId="164" fontId="46" fillId="4" borderId="6" xfId="0" applyNumberFormat="1" applyFont="1" applyFill="1" applyBorder="1"/>
    <xf numFmtId="2" fontId="0" fillId="9" borderId="19" xfId="1" applyNumberFormat="1" applyFont="1" applyFill="1" applyBorder="1"/>
    <xf numFmtId="2" fontId="0" fillId="0" borderId="19" xfId="1" applyNumberFormat="1" applyFont="1" applyBorder="1"/>
    <xf numFmtId="165" fontId="1" fillId="0" borderId="0" xfId="0" applyNumberFormat="1" applyFont="1"/>
    <xf numFmtId="0" fontId="48" fillId="0" borderId="0" xfId="0" applyFont="1" applyAlignment="1">
      <alignment wrapText="1"/>
    </xf>
    <xf numFmtId="0" fontId="52" fillId="3" borderId="2" xfId="0" applyFont="1" applyFill="1" applyBorder="1" applyAlignment="1">
      <alignment horizontal="left" vertical="center"/>
    </xf>
    <xf numFmtId="0" fontId="52" fillId="3" borderId="4" xfId="0" applyFont="1" applyFill="1" applyBorder="1" applyAlignment="1">
      <alignment horizontal="left" vertical="center"/>
    </xf>
    <xf numFmtId="14" fontId="52" fillId="3" borderId="4" xfId="0" applyNumberFormat="1" applyFont="1" applyFill="1" applyBorder="1" applyAlignment="1">
      <alignment horizontal="left" vertical="center"/>
    </xf>
    <xf numFmtId="0" fontId="52" fillId="3" borderId="7" xfId="0" applyFont="1" applyFill="1" applyBorder="1" applyAlignment="1">
      <alignment horizontal="left" vertical="center"/>
    </xf>
    <xf numFmtId="0" fontId="52" fillId="3" borderId="2" xfId="0" applyFont="1" applyFill="1" applyBorder="1" applyAlignment="1">
      <alignment horizontal="left" vertical="center" wrapText="1"/>
    </xf>
    <xf numFmtId="0" fontId="52" fillId="3" borderId="7" xfId="0" applyFont="1" applyFill="1" applyBorder="1" applyAlignment="1">
      <alignment horizontal="left" vertical="center" wrapText="1"/>
    </xf>
    <xf numFmtId="4" fontId="52" fillId="3" borderId="2" xfId="1" applyNumberFormat="1" applyFont="1" applyFill="1" applyBorder="1" applyAlignment="1">
      <alignment horizontal="left" vertical="center"/>
    </xf>
    <xf numFmtId="4" fontId="52" fillId="3" borderId="4" xfId="1" applyNumberFormat="1" applyFont="1" applyFill="1" applyBorder="1" applyAlignment="1">
      <alignment horizontal="left" vertical="center"/>
    </xf>
    <xf numFmtId="4" fontId="52" fillId="3" borderId="7" xfId="1" applyNumberFormat="1" applyFont="1" applyFill="1" applyBorder="1" applyAlignment="1">
      <alignment horizontal="left" vertical="center"/>
    </xf>
    <xf numFmtId="0" fontId="53" fillId="3" borderId="20" xfId="0" applyFont="1" applyFill="1" applyBorder="1" applyAlignment="1" applyProtection="1">
      <alignment horizontal="left" vertical="center"/>
      <protection locked="0"/>
    </xf>
    <xf numFmtId="14" fontId="52" fillId="3" borderId="2" xfId="0" applyNumberFormat="1" applyFont="1" applyFill="1" applyBorder="1" applyAlignment="1">
      <alignment horizontal="left" vertical="center"/>
    </xf>
    <xf numFmtId="14" fontId="52" fillId="3" borderId="7" xfId="0" applyNumberFormat="1" applyFont="1" applyFill="1" applyBorder="1" applyAlignment="1">
      <alignment horizontal="left" vertical="center"/>
    </xf>
    <xf numFmtId="0" fontId="52" fillId="3" borderId="9" xfId="0" applyFont="1" applyFill="1" applyBorder="1" applyAlignment="1">
      <alignment horizontal="left" vertical="center"/>
    </xf>
    <xf numFmtId="0" fontId="54" fillId="0" borderId="0" xfId="0" applyFont="1"/>
    <xf numFmtId="17" fontId="13" fillId="0" borderId="94" xfId="0" applyNumberFormat="1" applyFont="1" applyBorder="1" applyAlignment="1">
      <alignment horizontal="center" vertical="center"/>
    </xf>
    <xf numFmtId="17" fontId="13" fillId="0" borderId="38" xfId="0" applyNumberFormat="1" applyFont="1" applyBorder="1" applyAlignment="1">
      <alignment horizontal="center" vertical="center"/>
    </xf>
    <xf numFmtId="17" fontId="13" fillId="0" borderId="57" xfId="0" applyNumberFormat="1" applyFont="1" applyBorder="1" applyAlignment="1">
      <alignment horizontal="center" vertical="center"/>
    </xf>
    <xf numFmtId="165" fontId="1" fillId="9" borderId="94" xfId="1" applyFont="1" applyFill="1" applyBorder="1" applyAlignment="1">
      <alignment horizontal="center" vertical="center"/>
    </xf>
    <xf numFmtId="165" fontId="1" fillId="9" borderId="38" xfId="1" applyFont="1" applyFill="1" applyBorder="1" applyAlignment="1">
      <alignment horizontal="center" vertical="center"/>
    </xf>
    <xf numFmtId="165" fontId="1" fillId="9" borderId="57" xfId="1" applyFont="1" applyFill="1" applyBorder="1" applyAlignment="1">
      <alignment horizontal="center" vertical="center"/>
    </xf>
    <xf numFmtId="165" fontId="3" fillId="21" borderId="30" xfId="1" applyFont="1" applyFill="1" applyBorder="1" applyAlignment="1">
      <alignment horizontal="center" vertical="center"/>
    </xf>
    <xf numFmtId="165" fontId="3" fillId="21" borderId="37" xfId="1" applyFont="1" applyFill="1" applyBorder="1" applyAlignment="1">
      <alignment horizontal="center" vertical="center"/>
    </xf>
    <xf numFmtId="165" fontId="3" fillId="21" borderId="34" xfId="1" applyFont="1" applyFill="1" applyBorder="1" applyAlignment="1">
      <alignment horizontal="center" vertical="center"/>
    </xf>
    <xf numFmtId="165" fontId="3" fillId="21" borderId="35" xfId="1" applyFont="1" applyFill="1" applyBorder="1" applyAlignment="1">
      <alignment horizontal="center" vertical="center"/>
    </xf>
    <xf numFmtId="165" fontId="3" fillId="21" borderId="36" xfId="1" applyFont="1" applyFill="1" applyBorder="1" applyAlignment="1">
      <alignment horizontal="center" vertical="center"/>
    </xf>
    <xf numFmtId="165" fontId="3" fillId="21" borderId="42" xfId="1" applyFont="1" applyFill="1" applyBorder="1" applyAlignment="1">
      <alignment horizontal="center" vertical="center"/>
    </xf>
    <xf numFmtId="0" fontId="9" fillId="0" borderId="13" xfId="0" applyFont="1" applyBorder="1" applyAlignment="1">
      <alignment horizontal="left"/>
    </xf>
    <xf numFmtId="0" fontId="9" fillId="0" borderId="14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165" fontId="3" fillId="21" borderId="30" xfId="1" applyFont="1" applyFill="1" applyBorder="1" applyAlignment="1">
      <alignment horizontal="center" vertical="center" wrapText="1"/>
    </xf>
    <xf numFmtId="165" fontId="3" fillId="21" borderId="37" xfId="1" applyFont="1" applyFill="1" applyBorder="1" applyAlignment="1">
      <alignment horizontal="center" vertical="center" wrapText="1"/>
    </xf>
    <xf numFmtId="165" fontId="3" fillId="21" borderId="31" xfId="1" applyFont="1" applyFill="1" applyBorder="1" applyAlignment="1">
      <alignment horizontal="center" vertical="center" wrapText="1"/>
    </xf>
    <xf numFmtId="165" fontId="3" fillId="21" borderId="44" xfId="1" applyFont="1" applyFill="1" applyBorder="1" applyAlignment="1">
      <alignment horizontal="center" vertical="center" wrapText="1"/>
    </xf>
    <xf numFmtId="165" fontId="3" fillId="21" borderId="17" xfId="1" applyFont="1" applyFill="1" applyBorder="1" applyAlignment="1">
      <alignment horizontal="center" vertical="center" wrapText="1"/>
    </xf>
    <xf numFmtId="165" fontId="3" fillId="21" borderId="18" xfId="1" applyFont="1" applyFill="1" applyBorder="1" applyAlignment="1">
      <alignment horizontal="center" vertical="center" wrapText="1"/>
    </xf>
    <xf numFmtId="165" fontId="3" fillId="21" borderId="16" xfId="1" applyFont="1" applyFill="1" applyBorder="1" applyAlignment="1">
      <alignment horizontal="center" vertical="center" wrapText="1"/>
    </xf>
    <xf numFmtId="9" fontId="3" fillId="21" borderId="17" xfId="1" applyNumberFormat="1" applyFont="1" applyFill="1" applyBorder="1" applyAlignment="1">
      <alignment horizontal="center" vertical="center" wrapText="1"/>
    </xf>
    <xf numFmtId="9" fontId="3" fillId="21" borderId="17" xfId="2" applyFont="1" applyFill="1" applyBorder="1" applyAlignment="1">
      <alignment horizontal="center" vertical="center" wrapText="1"/>
    </xf>
    <xf numFmtId="165" fontId="47" fillId="0" borderId="0" xfId="1" applyFont="1" applyBorder="1" applyAlignment="1">
      <alignment horizontal="left"/>
    </xf>
    <xf numFmtId="165" fontId="47" fillId="0" borderId="4" xfId="1" applyFont="1" applyBorder="1" applyAlignment="1">
      <alignment horizontal="left"/>
    </xf>
    <xf numFmtId="165" fontId="47" fillId="0" borderId="11" xfId="1" applyFont="1" applyBorder="1" applyAlignment="1">
      <alignment horizontal="left"/>
    </xf>
    <xf numFmtId="165" fontId="47" fillId="0" borderId="7" xfId="1" applyFont="1" applyBorder="1" applyAlignment="1">
      <alignment horizontal="left"/>
    </xf>
    <xf numFmtId="9" fontId="3" fillId="21" borderId="34" xfId="1" applyNumberFormat="1" applyFont="1" applyFill="1" applyBorder="1" applyAlignment="1">
      <alignment horizontal="center" vertical="center" wrapText="1"/>
    </xf>
    <xf numFmtId="165" fontId="3" fillId="21" borderId="35" xfId="1" applyFont="1" applyFill="1" applyBorder="1" applyAlignment="1">
      <alignment horizontal="center" vertical="center" wrapText="1"/>
    </xf>
    <xf numFmtId="165" fontId="3" fillId="21" borderId="36" xfId="1" applyFont="1" applyFill="1" applyBorder="1" applyAlignment="1">
      <alignment horizontal="center" vertical="center" wrapText="1"/>
    </xf>
    <xf numFmtId="165" fontId="3" fillId="21" borderId="18" xfId="1" applyFont="1" applyFill="1" applyBorder="1" applyAlignment="1">
      <alignment horizontal="center" vertical="center"/>
    </xf>
    <xf numFmtId="165" fontId="3" fillId="21" borderId="16" xfId="1" applyFont="1" applyFill="1" applyBorder="1" applyAlignment="1">
      <alignment horizontal="center" vertical="center"/>
    </xf>
    <xf numFmtId="165" fontId="47" fillId="0" borderId="3" xfId="1" applyFont="1" applyBorder="1" applyAlignment="1">
      <alignment horizontal="left"/>
    </xf>
    <xf numFmtId="165" fontId="47" fillId="0" borderId="6" xfId="1" applyFont="1" applyBorder="1" applyAlignment="1">
      <alignment horizontal="left"/>
    </xf>
    <xf numFmtId="9" fontId="3" fillId="21" borderId="18" xfId="1" applyNumberFormat="1" applyFont="1" applyFill="1" applyBorder="1" applyAlignment="1">
      <alignment horizontal="center" vertical="center" wrapText="1"/>
    </xf>
    <xf numFmtId="9" fontId="3" fillId="21" borderId="31" xfId="1" applyNumberFormat="1" applyFont="1" applyFill="1" applyBorder="1" applyAlignment="1">
      <alignment horizontal="center" vertical="center" wrapText="1"/>
    </xf>
    <xf numFmtId="9" fontId="3" fillId="21" borderId="44" xfId="1" applyNumberFormat="1" applyFont="1" applyFill="1" applyBorder="1" applyAlignment="1">
      <alignment horizontal="center" vertical="center" wrapText="1"/>
    </xf>
    <xf numFmtId="165" fontId="3" fillId="2" borderId="17" xfId="1" applyFont="1" applyFill="1" applyBorder="1" applyAlignment="1">
      <alignment horizontal="center" vertical="center" wrapText="1"/>
    </xf>
    <xf numFmtId="0" fontId="14" fillId="2" borderId="13" xfId="1" applyNumberFormat="1" applyFont="1" applyFill="1" applyBorder="1" applyAlignment="1">
      <alignment horizontal="center" vertical="center" wrapText="1"/>
    </xf>
    <xf numFmtId="0" fontId="14" fillId="2" borderId="14" xfId="1" applyNumberFormat="1" applyFont="1" applyFill="1" applyBorder="1" applyAlignment="1">
      <alignment horizontal="center" vertical="center" wrapText="1"/>
    </xf>
    <xf numFmtId="0" fontId="14" fillId="2" borderId="41" xfId="1" applyNumberFormat="1" applyFont="1" applyFill="1" applyBorder="1" applyAlignment="1">
      <alignment horizontal="center" vertical="center" wrapText="1"/>
    </xf>
    <xf numFmtId="0" fontId="14" fillId="2" borderId="15" xfId="1" applyNumberFormat="1" applyFont="1" applyFill="1" applyBorder="1" applyAlignment="1">
      <alignment horizontal="center" vertical="center" wrapText="1"/>
    </xf>
    <xf numFmtId="49" fontId="3" fillId="2" borderId="16" xfId="1" applyNumberFormat="1" applyFont="1" applyFill="1" applyBorder="1" applyAlignment="1">
      <alignment horizontal="center" vertical="center"/>
    </xf>
    <xf numFmtId="165" fontId="3" fillId="21" borderId="13" xfId="1" applyFont="1" applyFill="1" applyBorder="1" applyAlignment="1">
      <alignment horizontal="center" vertical="center" wrapText="1"/>
    </xf>
    <xf numFmtId="165" fontId="3" fillId="21" borderId="14" xfId="1" applyFont="1" applyFill="1" applyBorder="1" applyAlignment="1">
      <alignment horizontal="center" vertical="center" wrapText="1"/>
    </xf>
    <xf numFmtId="165" fontId="3" fillId="21" borderId="15" xfId="1" applyFont="1" applyFill="1" applyBorder="1" applyAlignment="1">
      <alignment horizontal="center" vertical="center" wrapText="1"/>
    </xf>
    <xf numFmtId="165" fontId="0" fillId="0" borderId="80" xfId="1" applyFont="1" applyFill="1" applyBorder="1" applyAlignment="1">
      <alignment horizontal="center"/>
    </xf>
    <xf numFmtId="165" fontId="0" fillId="0" borderId="81" xfId="1" applyFont="1" applyFill="1" applyBorder="1" applyAlignment="1">
      <alignment horizontal="center"/>
    </xf>
    <xf numFmtId="165" fontId="0" fillId="0" borderId="82" xfId="1" applyFont="1" applyFill="1" applyBorder="1" applyAlignment="1">
      <alignment horizontal="center"/>
    </xf>
    <xf numFmtId="165" fontId="3" fillId="21" borderId="45" xfId="1" applyFont="1" applyFill="1" applyBorder="1" applyAlignment="1">
      <alignment horizontal="center" vertical="center" wrapText="1"/>
    </xf>
    <xf numFmtId="164" fontId="6" fillId="4" borderId="88" xfId="0" applyNumberFormat="1" applyFont="1" applyFill="1" applyBorder="1" applyAlignment="1">
      <alignment horizontal="center"/>
    </xf>
    <xf numFmtId="164" fontId="6" fillId="4" borderId="89" xfId="0" applyNumberFormat="1" applyFont="1" applyFill="1" applyBorder="1" applyAlignment="1">
      <alignment horizontal="center"/>
    </xf>
    <xf numFmtId="164" fontId="6" fillId="4" borderId="90" xfId="0" applyNumberFormat="1" applyFont="1" applyFill="1" applyBorder="1" applyAlignment="1">
      <alignment horizontal="center"/>
    </xf>
    <xf numFmtId="165" fontId="3" fillId="21" borderId="12" xfId="1" applyFont="1" applyFill="1" applyBorder="1" applyAlignment="1">
      <alignment horizontal="center" vertical="center"/>
    </xf>
    <xf numFmtId="165" fontId="0" fillId="0" borderId="83" xfId="1" applyFont="1" applyFill="1" applyBorder="1" applyAlignment="1">
      <alignment horizontal="center"/>
    </xf>
    <xf numFmtId="165" fontId="0" fillId="0" borderId="70" xfId="1" applyFont="1" applyFill="1" applyBorder="1" applyAlignment="1">
      <alignment horizontal="center"/>
    </xf>
    <xf numFmtId="165" fontId="0" fillId="0" borderId="84" xfId="1" applyFont="1" applyFill="1" applyBorder="1" applyAlignment="1">
      <alignment horizontal="center"/>
    </xf>
    <xf numFmtId="40" fontId="0" fillId="0" borderId="85" xfId="0" applyNumberFormat="1" applyBorder="1" applyAlignment="1">
      <alignment horizontal="center"/>
    </xf>
    <xf numFmtId="40" fontId="0" fillId="0" borderId="86" xfId="0" applyNumberFormat="1" applyBorder="1" applyAlignment="1">
      <alignment horizontal="center"/>
    </xf>
    <xf numFmtId="40" fontId="0" fillId="0" borderId="87" xfId="0" applyNumberFormat="1" applyBorder="1" applyAlignment="1">
      <alignment horizontal="center"/>
    </xf>
    <xf numFmtId="165" fontId="3" fillId="21" borderId="29" xfId="1" applyFont="1" applyFill="1" applyBorder="1" applyAlignment="1">
      <alignment horizontal="center" vertical="center" wrapText="1"/>
    </xf>
    <xf numFmtId="165" fontId="3" fillId="21" borderId="41" xfId="1" applyFont="1" applyFill="1" applyBorder="1" applyAlignment="1">
      <alignment horizontal="center" vertical="center" wrapText="1"/>
    </xf>
    <xf numFmtId="165" fontId="3" fillId="21" borderId="111" xfId="1" applyFont="1" applyFill="1" applyBorder="1" applyAlignment="1">
      <alignment horizontal="center" vertical="center" wrapText="1"/>
    </xf>
    <xf numFmtId="165" fontId="3" fillId="21" borderId="112" xfId="1" applyFont="1" applyFill="1" applyBorder="1" applyAlignment="1">
      <alignment horizontal="center" vertical="center" wrapText="1"/>
    </xf>
    <xf numFmtId="165" fontId="3" fillId="21" borderId="110" xfId="1" applyFont="1" applyFill="1" applyBorder="1" applyAlignment="1">
      <alignment horizontal="center" vertical="center"/>
    </xf>
    <xf numFmtId="165" fontId="3" fillId="21" borderId="113" xfId="1" applyFont="1" applyFill="1" applyBorder="1" applyAlignment="1">
      <alignment horizontal="center" vertical="center"/>
    </xf>
    <xf numFmtId="165" fontId="3" fillId="21" borderId="12" xfId="1" applyFont="1" applyFill="1" applyBorder="1" applyAlignment="1">
      <alignment horizontal="center" vertical="center" wrapText="1"/>
    </xf>
    <xf numFmtId="165" fontId="3" fillId="21" borderId="17" xfId="1" applyFont="1" applyFill="1" applyBorder="1" applyAlignment="1">
      <alignment horizontal="center" vertical="center"/>
    </xf>
    <xf numFmtId="165" fontId="3" fillId="21" borderId="31" xfId="1" applyFont="1" applyFill="1" applyBorder="1" applyAlignment="1">
      <alignment horizontal="center" vertical="center"/>
    </xf>
    <xf numFmtId="165" fontId="3" fillId="21" borderId="44" xfId="1" applyFont="1" applyFill="1" applyBorder="1" applyAlignment="1">
      <alignment horizontal="center" vertical="center"/>
    </xf>
    <xf numFmtId="0" fontId="21" fillId="9" borderId="5" xfId="0" applyFont="1" applyFill="1" applyBorder="1" applyAlignment="1">
      <alignment horizontal="left" vertical="center" wrapText="1"/>
    </xf>
    <xf numFmtId="49" fontId="17" fillId="8" borderId="1" xfId="0" applyNumberFormat="1" applyFont="1" applyFill="1" applyBorder="1" applyAlignment="1">
      <alignment horizontal="center" vertical="center" readingOrder="1"/>
    </xf>
    <xf numFmtId="49" fontId="17" fillId="8" borderId="10" xfId="0" applyNumberFormat="1" applyFont="1" applyFill="1" applyBorder="1" applyAlignment="1">
      <alignment horizontal="center" vertical="center" readingOrder="1"/>
    </xf>
    <xf numFmtId="49" fontId="17" fillId="8" borderId="2" xfId="0" applyNumberFormat="1" applyFont="1" applyFill="1" applyBorder="1" applyAlignment="1">
      <alignment horizontal="center" vertical="center" readingOrder="1"/>
    </xf>
    <xf numFmtId="49" fontId="17" fillId="8" borderId="3" xfId="0" applyNumberFormat="1" applyFont="1" applyFill="1" applyBorder="1" applyAlignment="1">
      <alignment horizontal="center" vertical="center" readingOrder="1"/>
    </xf>
    <xf numFmtId="49" fontId="17" fillId="8" borderId="0" xfId="0" applyNumberFormat="1" applyFont="1" applyFill="1" applyAlignment="1">
      <alignment horizontal="center" vertical="center" readingOrder="1"/>
    </xf>
    <xf numFmtId="49" fontId="17" fillId="8" borderId="4" xfId="0" applyNumberFormat="1" applyFont="1" applyFill="1" applyBorder="1" applyAlignment="1">
      <alignment horizontal="center" vertical="center" readingOrder="1"/>
    </xf>
    <xf numFmtId="0" fontId="18" fillId="3" borderId="3" xfId="0" applyFont="1" applyFill="1" applyBorder="1" applyAlignment="1">
      <alignment horizontal="center" vertical="center" wrapText="1"/>
    </xf>
    <xf numFmtId="0" fontId="18" fillId="3" borderId="0" xfId="0" applyFont="1" applyFill="1" applyAlignment="1">
      <alignment horizontal="center" vertical="center" wrapText="1"/>
    </xf>
    <xf numFmtId="0" fontId="18" fillId="3" borderId="4" xfId="0" applyFont="1" applyFill="1" applyBorder="1" applyAlignment="1">
      <alignment horizontal="center" vertical="center" wrapText="1"/>
    </xf>
    <xf numFmtId="0" fontId="19" fillId="3" borderId="48" xfId="0" applyFont="1" applyFill="1" applyBorder="1" applyAlignment="1">
      <alignment horizontal="center" vertical="center" wrapText="1"/>
    </xf>
    <xf numFmtId="0" fontId="19" fillId="3" borderId="5" xfId="0" applyFont="1" applyFill="1" applyBorder="1" applyAlignment="1">
      <alignment horizontal="center" vertical="center" wrapText="1"/>
    </xf>
    <xf numFmtId="0" fontId="20" fillId="3" borderId="5" xfId="0" applyFont="1" applyFill="1" applyBorder="1" applyAlignment="1">
      <alignment horizontal="center" vertical="center"/>
    </xf>
    <xf numFmtId="0" fontId="20" fillId="3" borderId="49" xfId="0" applyFont="1" applyFill="1" applyBorder="1" applyAlignment="1">
      <alignment horizontal="center" vertical="center" wrapText="1"/>
    </xf>
    <xf numFmtId="0" fontId="19" fillId="3" borderId="49" xfId="0" applyFont="1" applyFill="1" applyBorder="1" applyAlignment="1">
      <alignment horizontal="center" vertical="center" wrapText="1"/>
    </xf>
    <xf numFmtId="0" fontId="21" fillId="9" borderId="61" xfId="0" applyFont="1" applyFill="1" applyBorder="1" applyAlignment="1">
      <alignment horizontal="left" vertical="center" wrapText="1"/>
    </xf>
    <xf numFmtId="49" fontId="17" fillId="8" borderId="63" xfId="0" applyNumberFormat="1" applyFont="1" applyFill="1" applyBorder="1" applyAlignment="1">
      <alignment horizontal="center" vertical="center" readingOrder="1"/>
    </xf>
    <xf numFmtId="49" fontId="17" fillId="8" borderId="64" xfId="0" applyNumberFormat="1" applyFont="1" applyFill="1" applyBorder="1" applyAlignment="1">
      <alignment horizontal="center" vertical="center" readingOrder="1"/>
    </xf>
    <xf numFmtId="49" fontId="17" fillId="8" borderId="65" xfId="0" applyNumberFormat="1" applyFont="1" applyFill="1" applyBorder="1" applyAlignment="1">
      <alignment horizontal="center" vertical="center" readingOrder="1"/>
    </xf>
    <xf numFmtId="49" fontId="17" fillId="8" borderId="66" xfId="0" applyNumberFormat="1" applyFont="1" applyFill="1" applyBorder="1" applyAlignment="1">
      <alignment horizontal="center" vertical="center" readingOrder="1"/>
    </xf>
    <xf numFmtId="49" fontId="17" fillId="8" borderId="67" xfId="0" applyNumberFormat="1" applyFont="1" applyFill="1" applyBorder="1" applyAlignment="1">
      <alignment horizontal="center" vertical="center" readingOrder="1"/>
    </xf>
    <xf numFmtId="0" fontId="18" fillId="3" borderId="66" xfId="0" applyFont="1" applyFill="1" applyBorder="1" applyAlignment="1">
      <alignment horizontal="center" vertical="top" wrapText="1"/>
    </xf>
    <xf numFmtId="0" fontId="18" fillId="3" borderId="0" xfId="0" applyFont="1" applyFill="1" applyAlignment="1">
      <alignment horizontal="center" vertical="top" wrapText="1"/>
    </xf>
    <xf numFmtId="0" fontId="18" fillId="3" borderId="67" xfId="0" applyFont="1" applyFill="1" applyBorder="1" applyAlignment="1">
      <alignment horizontal="center" vertical="top" wrapText="1"/>
    </xf>
    <xf numFmtId="0" fontId="4" fillId="3" borderId="5" xfId="0" applyFont="1" applyFill="1" applyBorder="1" applyAlignment="1">
      <alignment horizontal="center" vertical="center" wrapText="1"/>
    </xf>
    <xf numFmtId="0" fontId="21" fillId="9" borderId="5" xfId="0" applyFont="1" applyFill="1" applyBorder="1" applyAlignment="1">
      <alignment horizontal="center" vertical="center" wrapText="1"/>
    </xf>
    <xf numFmtId="0" fontId="21" fillId="9" borderId="5" xfId="0" applyFont="1" applyFill="1" applyBorder="1" applyAlignment="1">
      <alignment vertical="center" wrapText="1"/>
    </xf>
    <xf numFmtId="0" fontId="18" fillId="12" borderId="63" xfId="0" applyFont="1" applyFill="1" applyBorder="1" applyAlignment="1">
      <alignment horizontal="center" vertical="center" wrapText="1"/>
    </xf>
    <xf numFmtId="0" fontId="18" fillId="12" borderId="64" xfId="0" applyFont="1" applyFill="1" applyBorder="1" applyAlignment="1">
      <alignment horizontal="center" vertical="center" wrapText="1"/>
    </xf>
    <xf numFmtId="0" fontId="18" fillId="12" borderId="65" xfId="0" applyFont="1" applyFill="1" applyBorder="1" applyAlignment="1">
      <alignment horizontal="center" vertical="center" wrapText="1"/>
    </xf>
    <xf numFmtId="0" fontId="19" fillId="3" borderId="5" xfId="0" applyFont="1" applyFill="1" applyBorder="1" applyAlignment="1">
      <alignment horizontal="center" vertical="center"/>
    </xf>
    <xf numFmtId="0" fontId="19" fillId="13" borderId="5" xfId="0" applyFont="1" applyFill="1" applyBorder="1" applyAlignment="1">
      <alignment horizontal="center" vertical="center" wrapText="1"/>
    </xf>
    <xf numFmtId="0" fontId="21" fillId="9" borderId="68" xfId="0" applyFont="1" applyFill="1" applyBorder="1" applyAlignment="1">
      <alignment horizontal="left" vertical="center" wrapText="1"/>
    </xf>
    <xf numFmtId="0" fontId="21" fillId="9" borderId="69" xfId="0" applyFont="1" applyFill="1" applyBorder="1" applyAlignment="1">
      <alignment horizontal="left" vertical="center" wrapText="1"/>
    </xf>
    <xf numFmtId="0" fontId="21" fillId="9" borderId="5" xfId="0" applyFont="1" applyFill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wrapText="1"/>
    </xf>
    <xf numFmtId="0" fontId="19" fillId="13" borderId="68" xfId="0" applyFont="1" applyFill="1" applyBorder="1" applyAlignment="1">
      <alignment horizontal="center" vertical="center" wrapText="1"/>
    </xf>
    <xf numFmtId="0" fontId="19" fillId="13" borderId="70" xfId="0" applyFont="1" applyFill="1" applyBorder="1" applyAlignment="1">
      <alignment horizontal="center" vertical="center" wrapText="1"/>
    </xf>
    <xf numFmtId="0" fontId="19" fillId="13" borderId="69" xfId="0" applyFont="1" applyFill="1" applyBorder="1" applyAlignment="1">
      <alignment horizontal="center" vertical="center" wrapText="1"/>
    </xf>
    <xf numFmtId="0" fontId="28" fillId="0" borderId="48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0" fillId="0" borderId="74" xfId="0" applyFont="1" applyBorder="1" applyAlignment="1">
      <alignment horizontal="center" wrapText="1"/>
    </xf>
    <xf numFmtId="0" fontId="20" fillId="0" borderId="47" xfId="0" applyFont="1" applyBorder="1" applyAlignment="1">
      <alignment horizontal="center" wrapText="1"/>
    </xf>
    <xf numFmtId="0" fontId="28" fillId="13" borderId="5" xfId="0" applyFont="1" applyFill="1" applyBorder="1" applyAlignment="1">
      <alignment horizontal="center" vertical="center" wrapText="1"/>
    </xf>
    <xf numFmtId="0" fontId="28" fillId="13" borderId="49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 wrapText="1"/>
    </xf>
    <xf numFmtId="0" fontId="18" fillId="12" borderId="10" xfId="0" applyFont="1" applyFill="1" applyBorder="1" applyAlignment="1">
      <alignment horizontal="center" vertical="center" wrapText="1"/>
    </xf>
    <xf numFmtId="0" fontId="18" fillId="12" borderId="2" xfId="0" applyFont="1" applyFill="1" applyBorder="1" applyAlignment="1">
      <alignment horizontal="center" vertical="center" wrapText="1"/>
    </xf>
    <xf numFmtId="0" fontId="4" fillId="0" borderId="72" xfId="0" applyFont="1" applyBorder="1" applyAlignment="1">
      <alignment horizontal="center"/>
    </xf>
    <xf numFmtId="0" fontId="4" fillId="0" borderId="71" xfId="0" applyFont="1" applyBorder="1" applyAlignment="1">
      <alignment horizontal="center"/>
    </xf>
    <xf numFmtId="0" fontId="4" fillId="0" borderId="73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18" fillId="12" borderId="0" xfId="0" applyFont="1" applyFill="1" applyAlignment="1">
      <alignment horizontal="center" vertical="center" wrapText="1"/>
    </xf>
    <xf numFmtId="0" fontId="31" fillId="16" borderId="66" xfId="0" applyFont="1" applyFill="1" applyBorder="1" applyAlignment="1">
      <alignment horizontal="center" vertical="center" wrapText="1"/>
    </xf>
    <xf numFmtId="0" fontId="31" fillId="16" borderId="0" xfId="0" applyFont="1" applyFill="1" applyAlignment="1">
      <alignment horizontal="center" vertical="center" wrapText="1"/>
    </xf>
    <xf numFmtId="0" fontId="30" fillId="0" borderId="5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 wrapText="1"/>
    </xf>
    <xf numFmtId="0" fontId="26" fillId="12" borderId="1" xfId="0" applyFont="1" applyFill="1" applyBorder="1" applyAlignment="1">
      <alignment horizontal="center" vertical="top" wrapText="1"/>
    </xf>
    <xf numFmtId="0" fontId="26" fillId="12" borderId="10" xfId="0" applyFont="1" applyFill="1" applyBorder="1" applyAlignment="1">
      <alignment horizontal="center" vertical="top" wrapText="1"/>
    </xf>
    <xf numFmtId="0" fontId="26" fillId="12" borderId="2" xfId="0" applyFont="1" applyFill="1" applyBorder="1" applyAlignment="1">
      <alignment horizontal="center" vertical="top" wrapText="1"/>
    </xf>
    <xf numFmtId="0" fontId="24" fillId="12" borderId="0" xfId="0" applyFont="1" applyFill="1" applyAlignment="1">
      <alignment horizontal="center" vertical="center" wrapText="1"/>
    </xf>
    <xf numFmtId="0" fontId="19" fillId="13" borderId="66" xfId="0" applyFont="1" applyFill="1" applyBorder="1" applyAlignment="1">
      <alignment horizontal="center" vertical="center" wrapText="1"/>
    </xf>
    <xf numFmtId="0" fontId="19" fillId="13" borderId="0" xfId="0" applyFont="1" applyFill="1" applyAlignment="1">
      <alignment horizontal="center" vertical="center" wrapText="1"/>
    </xf>
    <xf numFmtId="0" fontId="38" fillId="12" borderId="0" xfId="0" applyFont="1" applyFill="1" applyAlignment="1">
      <alignment horizontal="center" vertical="center" wrapText="1"/>
    </xf>
    <xf numFmtId="0" fontId="31" fillId="15" borderId="55" xfId="0" applyFont="1" applyFill="1" applyBorder="1" applyAlignment="1">
      <alignment horizontal="center" vertical="center"/>
    </xf>
    <xf numFmtId="0" fontId="31" fillId="15" borderId="46" xfId="0" applyFont="1" applyFill="1" applyBorder="1" applyAlignment="1">
      <alignment horizontal="center" vertical="center"/>
    </xf>
    <xf numFmtId="0" fontId="31" fillId="16" borderId="63" xfId="0" applyFont="1" applyFill="1" applyBorder="1" applyAlignment="1">
      <alignment horizontal="center" vertical="center" wrapText="1"/>
    </xf>
    <xf numFmtId="0" fontId="31" fillId="16" borderId="64" xfId="0" applyFont="1" applyFill="1" applyBorder="1" applyAlignment="1">
      <alignment horizontal="center" vertical="center" wrapText="1"/>
    </xf>
    <xf numFmtId="0" fontId="31" fillId="16" borderId="65" xfId="0" applyFont="1" applyFill="1" applyBorder="1" applyAlignment="1">
      <alignment horizontal="center" vertical="center" wrapText="1"/>
    </xf>
    <xf numFmtId="0" fontId="31" fillId="16" borderId="75" xfId="0" applyFont="1" applyFill="1" applyBorder="1" applyAlignment="1">
      <alignment horizontal="center" vertical="center" wrapText="1"/>
    </xf>
    <xf numFmtId="0" fontId="31" fillId="16" borderId="71" xfId="0" applyFont="1" applyFill="1" applyBorder="1" applyAlignment="1">
      <alignment horizontal="center" vertical="center" wrapText="1"/>
    </xf>
    <xf numFmtId="0" fontId="31" fillId="16" borderId="76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55" xfId="0" applyFont="1" applyBorder="1" applyAlignment="1">
      <alignment horizontal="center" vertical="center" wrapText="1"/>
    </xf>
    <xf numFmtId="0" fontId="4" fillId="0" borderId="46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wrapText="1"/>
    </xf>
    <xf numFmtId="0" fontId="37" fillId="12" borderId="0" xfId="0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165" fontId="4" fillId="0" borderId="0" xfId="0" applyNumberFormat="1" applyFont="1"/>
    <xf numFmtId="4" fontId="4" fillId="0" borderId="0" xfId="0" applyNumberFormat="1" applyFont="1"/>
    <xf numFmtId="43" fontId="4" fillId="0" borderId="0" xfId="0" applyNumberFormat="1" applyFont="1"/>
    <xf numFmtId="0" fontId="4" fillId="0" borderId="0" xfId="0" applyFont="1" applyAlignment="1">
      <alignment horizontal="right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B1E59"/>
      <color rgb="FF2C4E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152400</xdr:rowOff>
        </xdr:from>
        <xdr:to>
          <xdr:col>5</xdr:col>
          <xdr:colOff>236220</xdr:colOff>
          <xdr:row>4</xdr:row>
          <xdr:rowOff>121920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2</xdr:row>
          <xdr:rowOff>99060</xdr:rowOff>
        </xdr:from>
        <xdr:to>
          <xdr:col>4</xdr:col>
          <xdr:colOff>1234440</xdr:colOff>
          <xdr:row>4</xdr:row>
          <xdr:rowOff>68580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2</xdr:row>
      <xdr:rowOff>66676</xdr:rowOff>
    </xdr:from>
    <xdr:to>
      <xdr:col>0</xdr:col>
      <xdr:colOff>619063</xdr:colOff>
      <xdr:row>4</xdr:row>
      <xdr:rowOff>333295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447676"/>
          <a:ext cx="495238" cy="6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2</xdr:row>
      <xdr:rowOff>19050</xdr:rowOff>
    </xdr:from>
    <xdr:to>
      <xdr:col>0</xdr:col>
      <xdr:colOff>628588</xdr:colOff>
      <xdr:row>4</xdr:row>
      <xdr:rowOff>285669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400050"/>
          <a:ext cx="495238" cy="6476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PJS-DS\Common%20Pool\Monish%20Guptha\G9Auto\Full%20Year%203B%20Report.xlsx" TargetMode="External"/><Relationship Id="rId1" Type="http://schemas.openxmlformats.org/officeDocument/2006/relationships/externalLinkPath" Target="Full%20Year%203B%20Repor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\Office%20Internal%20System\GST%20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 Report"/>
      <sheetName val="ITC &amp; Challan Summary"/>
      <sheetName val="Dev Ref"/>
    </sheetNames>
    <sheetDataSet>
      <sheetData sheetId="0">
        <row r="137">
          <cell r="B137">
            <v>1115913</v>
          </cell>
          <cell r="C137">
            <v>2135794</v>
          </cell>
          <cell r="D137">
            <v>1486139</v>
          </cell>
          <cell r="E137">
            <v>0</v>
          </cell>
          <cell r="F137">
            <v>0</v>
          </cell>
          <cell r="G137">
            <v>67431</v>
          </cell>
          <cell r="H137">
            <v>0</v>
          </cell>
          <cell r="I137">
            <v>96886</v>
          </cell>
          <cell r="J137">
            <v>0</v>
          </cell>
          <cell r="K137">
            <v>897248</v>
          </cell>
          <cell r="L137">
            <v>0</v>
          </cell>
          <cell r="M137">
            <v>0</v>
          </cell>
        </row>
        <row r="138"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G138">
            <v>0</v>
          </cell>
          <cell r="H138">
            <v>195604</v>
          </cell>
          <cell r="I138">
            <v>0</v>
          </cell>
          <cell r="J138">
            <v>0</v>
          </cell>
          <cell r="K138">
            <v>0</v>
          </cell>
          <cell r="L138">
            <v>101566</v>
          </cell>
          <cell r="M138">
            <v>0</v>
          </cell>
        </row>
        <row r="139"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195603</v>
          </cell>
          <cell r="I139">
            <v>0</v>
          </cell>
          <cell r="J139">
            <v>0</v>
          </cell>
          <cell r="K139">
            <v>0</v>
          </cell>
          <cell r="L139">
            <v>101566</v>
          </cell>
          <cell r="M139">
            <v>0</v>
          </cell>
        </row>
        <row r="140">
          <cell r="B140">
            <v>0</v>
          </cell>
          <cell r="C140">
            <v>16768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N141">
            <v>6410518</v>
          </cell>
        </row>
        <row r="143">
          <cell r="B143">
            <v>3177080</v>
          </cell>
          <cell r="C143">
            <v>1301413</v>
          </cell>
          <cell r="D143">
            <v>1273732</v>
          </cell>
          <cell r="E143">
            <v>1384174</v>
          </cell>
          <cell r="F143">
            <v>3366129</v>
          </cell>
          <cell r="G143">
            <v>1048022</v>
          </cell>
          <cell r="H143">
            <v>9438362</v>
          </cell>
          <cell r="I143">
            <v>2513337</v>
          </cell>
          <cell r="J143">
            <v>9571464</v>
          </cell>
          <cell r="K143">
            <v>11369453</v>
          </cell>
          <cell r="L143">
            <v>2864184</v>
          </cell>
          <cell r="M143">
            <v>2283989</v>
          </cell>
        </row>
        <row r="144">
          <cell r="B144">
            <v>9125974</v>
          </cell>
          <cell r="C144">
            <v>11661030</v>
          </cell>
          <cell r="D144">
            <v>2420617</v>
          </cell>
          <cell r="E144">
            <v>1645904</v>
          </cell>
          <cell r="F144">
            <v>2949360</v>
          </cell>
          <cell r="G144">
            <v>2719940</v>
          </cell>
          <cell r="H144">
            <v>0</v>
          </cell>
          <cell r="I144">
            <v>1738263</v>
          </cell>
          <cell r="J144">
            <v>3984249</v>
          </cell>
          <cell r="K144">
            <v>4557837</v>
          </cell>
          <cell r="L144">
            <v>0</v>
          </cell>
          <cell r="M144">
            <v>0</v>
          </cell>
        </row>
        <row r="145">
          <cell r="B145">
            <v>9125974</v>
          </cell>
          <cell r="C145">
            <v>11661030</v>
          </cell>
          <cell r="D145">
            <v>2420617</v>
          </cell>
          <cell r="E145">
            <v>1545915</v>
          </cell>
          <cell r="F145">
            <v>2971859</v>
          </cell>
          <cell r="G145">
            <v>2797430</v>
          </cell>
          <cell r="H145">
            <v>0</v>
          </cell>
          <cell r="I145">
            <v>1738263</v>
          </cell>
          <cell r="J145">
            <v>3953009</v>
          </cell>
          <cell r="K145">
            <v>4589077</v>
          </cell>
          <cell r="L145">
            <v>0</v>
          </cell>
          <cell r="M145">
            <v>0</v>
          </cell>
        </row>
        <row r="147"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45661</v>
          </cell>
          <cell r="I147">
            <v>0</v>
          </cell>
          <cell r="J147">
            <v>0</v>
          </cell>
          <cell r="K147">
            <v>0</v>
          </cell>
          <cell r="L147">
            <v>2118080</v>
          </cell>
          <cell r="M147">
            <v>3098761</v>
          </cell>
        </row>
        <row r="148">
          <cell r="B148">
            <v>3612168</v>
          </cell>
          <cell r="C148">
            <v>1863481</v>
          </cell>
          <cell r="D148">
            <v>1068400</v>
          </cell>
          <cell r="E148">
            <v>194184</v>
          </cell>
          <cell r="F148">
            <v>1097099</v>
          </cell>
          <cell r="G148">
            <v>671677</v>
          </cell>
          <cell r="H148">
            <v>4157855</v>
          </cell>
          <cell r="I148">
            <v>857037</v>
          </cell>
          <cell r="J148">
            <v>5363665</v>
          </cell>
          <cell r="K148">
            <v>6252243</v>
          </cell>
          <cell r="L148">
            <v>3193848</v>
          </cell>
          <cell r="M148">
            <v>1292959</v>
          </cell>
        </row>
        <row r="150"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45662</v>
          </cell>
          <cell r="I150">
            <v>0</v>
          </cell>
          <cell r="J150">
            <v>0</v>
          </cell>
          <cell r="K150">
            <v>0</v>
          </cell>
          <cell r="L150">
            <v>2118080</v>
          </cell>
          <cell r="M150">
            <v>3098761</v>
          </cell>
        </row>
        <row r="151">
          <cell r="B151">
            <v>3612168</v>
          </cell>
          <cell r="C151">
            <v>1863481</v>
          </cell>
          <cell r="D151">
            <v>1068400</v>
          </cell>
          <cell r="E151">
            <v>194184</v>
          </cell>
          <cell r="F151">
            <v>1097099</v>
          </cell>
          <cell r="G151">
            <v>671677</v>
          </cell>
          <cell r="H151">
            <v>4157855</v>
          </cell>
          <cell r="I151">
            <v>857037</v>
          </cell>
          <cell r="J151">
            <v>5363665</v>
          </cell>
          <cell r="K151">
            <v>6252243</v>
          </cell>
          <cell r="L151">
            <v>3193848</v>
          </cell>
          <cell r="M151">
            <v>1292959</v>
          </cell>
        </row>
        <row r="158">
          <cell r="B158">
            <v>0</v>
          </cell>
          <cell r="C158">
            <v>37553</v>
          </cell>
          <cell r="D158">
            <v>4613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B159">
            <v>157491</v>
          </cell>
          <cell r="C159">
            <v>44444</v>
          </cell>
          <cell r="D159">
            <v>3175</v>
          </cell>
          <cell r="E159">
            <v>4050</v>
          </cell>
          <cell r="F159">
            <v>0</v>
          </cell>
          <cell r="G159">
            <v>4050</v>
          </cell>
          <cell r="H159">
            <v>0</v>
          </cell>
          <cell r="I159">
            <v>8100</v>
          </cell>
          <cell r="J159">
            <v>1125</v>
          </cell>
          <cell r="K159">
            <v>4050</v>
          </cell>
          <cell r="L159">
            <v>4050</v>
          </cell>
          <cell r="M159">
            <v>4050</v>
          </cell>
        </row>
        <row r="160">
          <cell r="B160">
            <v>157491</v>
          </cell>
          <cell r="C160">
            <v>44444</v>
          </cell>
          <cell r="D160">
            <v>3175</v>
          </cell>
          <cell r="E160">
            <v>4050</v>
          </cell>
          <cell r="F160">
            <v>0</v>
          </cell>
          <cell r="G160">
            <v>4050</v>
          </cell>
          <cell r="H160">
            <v>0</v>
          </cell>
          <cell r="I160">
            <v>8100</v>
          </cell>
          <cell r="J160">
            <v>1125</v>
          </cell>
          <cell r="K160">
            <v>4050</v>
          </cell>
          <cell r="L160">
            <v>4050</v>
          </cell>
          <cell r="M160">
            <v>4050</v>
          </cell>
        </row>
        <row r="161"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N162">
            <v>511336</v>
          </cell>
        </row>
        <row r="165">
          <cell r="B165">
            <v>1101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B166">
            <v>155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386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B167">
            <v>155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386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N169">
            <v>2183</v>
          </cell>
        </row>
        <row r="172">
          <cell r="B172">
            <v>150</v>
          </cell>
          <cell r="C172">
            <v>50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100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B173">
            <v>150</v>
          </cell>
          <cell r="C173">
            <v>50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100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N174">
            <v>600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4">
          <cell r="E4" t="str">
            <v>29CHTPK0144D1ZB</v>
          </cell>
          <cell r="F4" t="str">
            <v>CHTPK0144D</v>
          </cell>
          <cell r="G4"/>
          <cell r="H4">
            <v>29581152344</v>
          </cell>
          <cell r="I4" t="str">
            <v>ahmineralsbellary@gmail.com</v>
          </cell>
          <cell r="J4">
            <v>9342003348</v>
          </cell>
          <cell r="K4" t="str">
            <v>sandhya7</v>
          </cell>
          <cell r="L4" t="str">
            <v>Pavan@123</v>
          </cell>
          <cell r="M4">
            <v>31756</v>
          </cell>
          <cell r="N4" t="str">
            <v>satyendra</v>
          </cell>
          <cell r="O4" t="str">
            <v>sponge</v>
          </cell>
          <cell r="P4" t="str">
            <v>aditya</v>
          </cell>
          <cell r="Q4">
            <v>9342003348</v>
          </cell>
          <cell r="R4" t="str">
            <v>Completed</v>
          </cell>
        </row>
        <row r="5">
          <cell r="E5" t="str">
            <v>29AAECR8116P1ZP</v>
          </cell>
          <cell r="F5" t="str">
            <v>AAECR8116P</v>
          </cell>
          <cell r="G5"/>
          <cell r="H5">
            <v>29460584572</v>
          </cell>
          <cell r="I5" t="str">
            <v>krishna.mandava@gmail.com</v>
          </cell>
          <cell r="J5">
            <v>9886751059</v>
          </cell>
          <cell r="K5" t="str">
            <v>siriagro7</v>
          </cell>
          <cell r="L5" t="str">
            <v>Siri-123</v>
          </cell>
          <cell r="M5">
            <v>40324</v>
          </cell>
          <cell r="N5" t="str">
            <v>savithri</v>
          </cell>
          <cell r="O5" t="str">
            <v>cotton</v>
          </cell>
          <cell r="P5" t="str">
            <v>bheema</v>
          </cell>
          <cell r="Q5">
            <v>9886751059</v>
          </cell>
          <cell r="R5" t="str">
            <v>Completed</v>
          </cell>
        </row>
        <row r="6">
          <cell r="E6" t="str">
            <v>29AAJFN8608A1Z8</v>
          </cell>
          <cell r="F6" t="str">
            <v>AAJFN8608A</v>
          </cell>
          <cell r="G6"/>
          <cell r="H6">
            <v>29161120856</v>
          </cell>
          <cell r="I6" t="str">
            <v>nameshkn89@gmail.com</v>
          </cell>
          <cell r="J6">
            <v>9448894489</v>
          </cell>
          <cell r="K6" t="str">
            <v>nameshauto7</v>
          </cell>
          <cell r="L6" t="str">
            <v>Pavanack@7</v>
          </cell>
          <cell r="M6">
            <v>41259</v>
          </cell>
          <cell r="N6" t="str">
            <v>sumathi</v>
          </cell>
          <cell r="O6" t="str">
            <v>tyres</v>
          </cell>
          <cell r="P6" t="str">
            <v>venkatesh</v>
          </cell>
          <cell r="Q6">
            <v>9448894489</v>
          </cell>
          <cell r="R6" t="str">
            <v>Cancelled</v>
          </cell>
        </row>
        <row r="7">
          <cell r="E7" t="str">
            <v>29AAYFM5792P1ZS</v>
          </cell>
          <cell r="F7" t="str">
            <v>AAYFM5792P</v>
          </cell>
          <cell r="G7"/>
          <cell r="H7">
            <v>29901198631</v>
          </cell>
          <cell r="I7" t="str">
            <v>maaashapura45@gmail.com</v>
          </cell>
          <cell r="J7">
            <v>9379092277</v>
          </cell>
          <cell r="K7" t="str">
            <v>maaashapura7</v>
          </cell>
          <cell r="L7" t="str">
            <v>Pavanack@456</v>
          </cell>
          <cell r="M7">
            <v>41731</v>
          </cell>
          <cell r="N7" t="str">
            <v>neeta</v>
          </cell>
          <cell r="O7" t="str">
            <v>cotton</v>
          </cell>
          <cell r="P7" t="str">
            <v>priyanka</v>
          </cell>
          <cell r="Q7">
            <v>9379092277</v>
          </cell>
          <cell r="R7" t="str">
            <v>Completed</v>
          </cell>
        </row>
        <row r="8">
          <cell r="E8" t="str">
            <v>29BSGPS3327F1ZJ</v>
          </cell>
          <cell r="F8" t="str">
            <v>BSGPS3327F</v>
          </cell>
          <cell r="G8"/>
          <cell r="H8">
            <v>29631106678</v>
          </cell>
          <cell r="I8" t="str">
            <v>ashokpatil.sb@gmail.com</v>
          </cell>
          <cell r="J8">
            <v>9980147668</v>
          </cell>
          <cell r="K8" t="str">
            <v>ashoksb7</v>
          </cell>
          <cell r="L8" t="str">
            <v>Orion*123</v>
          </cell>
          <cell r="M8">
            <v>30366</v>
          </cell>
          <cell r="N8" t="str">
            <v>s b leelavathi</v>
          </cell>
          <cell r="O8" t="str">
            <v>cameras</v>
          </cell>
          <cell r="P8" t="str">
            <v>zilan</v>
          </cell>
          <cell r="Q8">
            <v>9980147668</v>
          </cell>
          <cell r="R8" t="str">
            <v>Completed</v>
          </cell>
        </row>
        <row r="9">
          <cell r="E9" t="str">
            <v>29ABNFS7282A1ZT</v>
          </cell>
          <cell r="F9" t="str">
            <v>ABNFS7282A</v>
          </cell>
          <cell r="G9"/>
          <cell r="H9">
            <v>29510813513</v>
          </cell>
          <cell r="I9" t="str">
            <v>ammadu.555@gmail.com</v>
          </cell>
          <cell r="J9">
            <v>9448002234</v>
          </cell>
          <cell r="K9" t="str">
            <v>srisairice7</v>
          </cell>
          <cell r="L9" t="str">
            <v>Ssrm*123</v>
          </cell>
          <cell r="M9">
            <v>39998</v>
          </cell>
          <cell r="N9" t="str">
            <v>vijayrama raju</v>
          </cell>
          <cell r="O9" t="str">
            <v>rice</v>
          </cell>
          <cell r="P9" t="str">
            <v>ishwar kumar verma</v>
          </cell>
          <cell r="Q9">
            <v>9448002234</v>
          </cell>
          <cell r="R9" t="str">
            <v>Completed</v>
          </cell>
        </row>
        <row r="10">
          <cell r="E10" t="str">
            <v>29AAGCA5445A1ZX</v>
          </cell>
          <cell r="F10" t="str">
            <v>AAGCA5445A</v>
          </cell>
          <cell r="G10"/>
          <cell r="H10">
            <v>29790773201</v>
          </cell>
          <cell r="I10" t="str">
            <v>md@abcontech.com</v>
          </cell>
          <cell r="J10">
            <v>9845941499</v>
          </cell>
          <cell r="K10" t="str">
            <v>abcontech7</v>
          </cell>
          <cell r="L10" t="str">
            <v>Abcon*123</v>
          </cell>
          <cell r="M10">
            <v>39337</v>
          </cell>
          <cell r="N10" t="str">
            <v>zahida</v>
          </cell>
          <cell r="O10" t="str">
            <v>chemicals</v>
          </cell>
          <cell r="P10" t="str">
            <v>devaraj</v>
          </cell>
          <cell r="Q10">
            <v>9845941499</v>
          </cell>
          <cell r="R10" t="str">
            <v>Completed</v>
          </cell>
        </row>
        <row r="11">
          <cell r="E11" t="str">
            <v>29AEIPB2797P1ZR</v>
          </cell>
          <cell r="F11" t="str">
            <v>AEIPB2797P</v>
          </cell>
          <cell r="G11"/>
          <cell r="H11">
            <v>29680783010</v>
          </cell>
          <cell r="I11" t="str">
            <v>md@abcontech.com</v>
          </cell>
          <cell r="J11">
            <v>9845941499</v>
          </cell>
          <cell r="K11" t="str">
            <v>nuhaacs7</v>
          </cell>
          <cell r="L11" t="str">
            <v>Pavan*123</v>
          </cell>
          <cell r="M11">
            <v>27195</v>
          </cell>
          <cell r="N11" t="str">
            <v>shaik</v>
          </cell>
          <cell r="O11" t="str">
            <v>chemicals</v>
          </cell>
          <cell r="P11" t="str">
            <v>devaraj</v>
          </cell>
          <cell r="Q11">
            <v>9845941499</v>
          </cell>
          <cell r="R11" t="str">
            <v>Completed</v>
          </cell>
        </row>
        <row r="12">
          <cell r="E12" t="str">
            <v>29AACFB2968G1ZC</v>
          </cell>
          <cell r="F12" t="str">
            <v>AACFB2968G</v>
          </cell>
          <cell r="G12"/>
          <cell r="H12">
            <v>29620307064</v>
          </cell>
          <cell r="I12" t="str">
            <v>bharatautomobiles1@gmail.com</v>
          </cell>
          <cell r="J12">
            <v>9448072997</v>
          </cell>
          <cell r="K12" t="str">
            <v>bharatauto7</v>
          </cell>
          <cell r="L12" t="str">
            <v>Pavan*777</v>
          </cell>
          <cell r="M12">
            <v>26963</v>
          </cell>
          <cell r="N12" t="str">
            <v>neema</v>
          </cell>
          <cell r="O12" t="str">
            <v>automobile parts</v>
          </cell>
          <cell r="P12" t="str">
            <v>santosh</v>
          </cell>
          <cell r="Q12">
            <v>9448072997</v>
          </cell>
          <cell r="R12" t="str">
            <v>Completed</v>
          </cell>
        </row>
        <row r="13">
          <cell r="E13" t="str">
            <v>29AWPPS9075A1ZW</v>
          </cell>
          <cell r="F13" t="str">
            <v>AWPPS9075A</v>
          </cell>
          <cell r="G13"/>
          <cell r="H13">
            <v>29210887786</v>
          </cell>
          <cell r="I13" t="str">
            <v>group.bharatsales@gmail.com</v>
          </cell>
          <cell r="J13">
            <v>9845669294</v>
          </cell>
          <cell r="K13" t="str">
            <v>bharatsales7</v>
          </cell>
          <cell r="L13" t="str">
            <v>Pavan-777</v>
          </cell>
          <cell r="M13">
            <v>30857</v>
          </cell>
          <cell r="N13" t="str">
            <v>neema</v>
          </cell>
          <cell r="O13" t="str">
            <v>automobile parts</v>
          </cell>
          <cell r="P13" t="str">
            <v>santosh</v>
          </cell>
          <cell r="Q13">
            <v>9845669294</v>
          </cell>
          <cell r="R13" t="str">
            <v>Completed</v>
          </cell>
        </row>
        <row r="14">
          <cell r="E14" t="str">
            <v>29AAGCA9960N1ZU</v>
          </cell>
          <cell r="F14" t="str">
            <v>AAGCA9960N</v>
          </cell>
          <cell r="G14"/>
          <cell r="H14">
            <v>29330581685</v>
          </cell>
          <cell r="I14" t="str">
            <v>appleworkacc@gmail.com</v>
          </cell>
          <cell r="J14">
            <v>8500668755</v>
          </cell>
          <cell r="K14" t="str">
            <v>appleind7</v>
          </cell>
          <cell r="L14" t="str">
            <v>Pavanack@123</v>
          </cell>
          <cell r="M14">
            <v>39518</v>
          </cell>
          <cell r="N14" t="str">
            <v>saini</v>
          </cell>
          <cell r="O14" t="str">
            <v>steel</v>
          </cell>
          <cell r="P14" t="str">
            <v>kiran</v>
          </cell>
          <cell r="Q14">
            <v>8500668755</v>
          </cell>
          <cell r="R14" t="str">
            <v>Cancelled</v>
          </cell>
        </row>
        <row r="15">
          <cell r="E15" t="str">
            <v>29AABCM7758B1ZC</v>
          </cell>
          <cell r="F15" t="str">
            <v>AABCM7758B</v>
          </cell>
          <cell r="G15"/>
          <cell r="H15">
            <v>29681212332</v>
          </cell>
          <cell r="I15" t="str">
            <v>pkm.blr@gmail.com</v>
          </cell>
          <cell r="J15">
            <v>9845018951</v>
          </cell>
          <cell r="K15" t="str">
            <v>maithan7</v>
          </cell>
          <cell r="L15" t="str">
            <v>Pavanack@77</v>
          </cell>
          <cell r="M15">
            <v>31309</v>
          </cell>
          <cell r="N15" t="str">
            <v>modi</v>
          </cell>
          <cell r="O15" t="str">
            <v>silica</v>
          </cell>
          <cell r="P15" t="str">
            <v>nagaraj</v>
          </cell>
          <cell r="Q15">
            <v>9845018951</v>
          </cell>
          <cell r="R15" t="str">
            <v>Enrolled</v>
          </cell>
        </row>
        <row r="16">
          <cell r="E16" t="str">
            <v>29AEIPB2129P1Z9</v>
          </cell>
          <cell r="F16" t="str">
            <v>AEIPB2129P</v>
          </cell>
          <cell r="G16"/>
          <cell r="H16">
            <v>29670387110</v>
          </cell>
          <cell r="I16" t="str">
            <v>ssvbuilders@hotmail.com</v>
          </cell>
          <cell r="J16">
            <v>9963111127</v>
          </cell>
          <cell r="K16" t="str">
            <v>ssvbuilders7</v>
          </cell>
          <cell r="L16" t="str">
            <v>Pavan*789</v>
          </cell>
          <cell r="M16">
            <v>26359</v>
          </cell>
          <cell r="N16" t="str">
            <v>shaik</v>
          </cell>
          <cell r="O16" t="str">
            <v>flats</v>
          </cell>
          <cell r="P16" t="str">
            <v>santosh</v>
          </cell>
          <cell r="Q16">
            <v>9963111127</v>
          </cell>
          <cell r="R16" t="str">
            <v>Completed</v>
          </cell>
        </row>
        <row r="17">
          <cell r="E17" t="str">
            <v>29AAKCS1485J1ZS</v>
          </cell>
          <cell r="F17" t="str">
            <v>AAKCS1485J</v>
          </cell>
          <cell r="G17"/>
          <cell r="H17">
            <v>29670710411</v>
          </cell>
          <cell r="I17" t="str">
            <v>ssvprojects@gmail.com</v>
          </cell>
          <cell r="J17">
            <v>9845941499</v>
          </cell>
          <cell r="K17" t="str">
            <v>ssvprojects7</v>
          </cell>
          <cell r="L17" t="str">
            <v>Pavan*123</v>
          </cell>
          <cell r="M17">
            <v>38957</v>
          </cell>
          <cell r="N17" t="str">
            <v>shaik</v>
          </cell>
          <cell r="O17" t="str">
            <v>flats</v>
          </cell>
          <cell r="P17" t="str">
            <v>devaraj</v>
          </cell>
          <cell r="Q17">
            <v>9845941499</v>
          </cell>
          <cell r="R17" t="str">
            <v>Completed</v>
          </cell>
        </row>
        <row r="18">
          <cell r="E18" t="str">
            <v>29CKMPS0301Q1ZL</v>
          </cell>
          <cell r="F18" t="str">
            <v>CKMPS0301Q</v>
          </cell>
          <cell r="G18"/>
          <cell r="H18">
            <v>29700584828</v>
          </cell>
          <cell r="I18" t="str">
            <v>shijudepl@gmail.com</v>
          </cell>
          <cell r="J18">
            <v>9449192900</v>
          </cell>
          <cell r="K18" t="str">
            <v>dioneeng7</v>
          </cell>
          <cell r="L18" t="str">
            <v>Pavanack@77</v>
          </cell>
          <cell r="M18">
            <v>29006</v>
          </cell>
          <cell r="N18" t="str">
            <v>aleykutty</v>
          </cell>
          <cell r="O18" t="str">
            <v>electronic equipments</v>
          </cell>
          <cell r="P18" t="str">
            <v>nidhi</v>
          </cell>
          <cell r="Q18">
            <v>9449192900</v>
          </cell>
          <cell r="R18" t="str">
            <v>Enrolled</v>
          </cell>
        </row>
        <row r="19">
          <cell r="E19" t="str">
            <v>29BGBPM3851R1ZP</v>
          </cell>
          <cell r="F19" t="str">
            <v>BGBPM3851R</v>
          </cell>
          <cell r="G19"/>
          <cell r="H19">
            <v>29160637117</v>
          </cell>
          <cell r="I19" t="str">
            <v>nidhi.hydropack@gmail.com</v>
          </cell>
          <cell r="J19">
            <v>7411331139</v>
          </cell>
          <cell r="K19" t="str">
            <v>nidhiind7</v>
          </cell>
          <cell r="L19" t="str">
            <v>Pavan-123</v>
          </cell>
          <cell r="M19">
            <v>31244</v>
          </cell>
          <cell r="N19" t="str">
            <v>parvati</v>
          </cell>
          <cell r="O19" t="str">
            <v>bearing</v>
          </cell>
          <cell r="P19" t="str">
            <v>rahul</v>
          </cell>
          <cell r="Q19">
            <v>7411331139</v>
          </cell>
          <cell r="R19" t="str">
            <v>Completed</v>
          </cell>
        </row>
        <row r="20">
          <cell r="E20" t="str">
            <v>29AGKPA5776B1ZE</v>
          </cell>
          <cell r="F20" t="str">
            <v>AGKPA5776B</v>
          </cell>
          <cell r="G20"/>
          <cell r="H20">
            <v>29430693180</v>
          </cell>
          <cell r="I20" t="str">
            <v>jituagarwal222@gmail.com</v>
          </cell>
          <cell r="J20">
            <v>9986600053</v>
          </cell>
          <cell r="K20" t="str">
            <v>rptraders7</v>
          </cell>
          <cell r="L20" t="str">
            <v>Pavanack123#</v>
          </cell>
          <cell r="M20">
            <v>28043</v>
          </cell>
          <cell r="N20" t="str">
            <v>bhagvati devi</v>
          </cell>
          <cell r="O20" t="str">
            <v>coal</v>
          </cell>
          <cell r="P20" t="str">
            <v>kushanlal</v>
          </cell>
          <cell r="Q20">
            <v>9986600053</v>
          </cell>
          <cell r="R20" t="str">
            <v>Completed</v>
          </cell>
        </row>
        <row r="21">
          <cell r="E21" t="str">
            <v>29AJSPK7936N1Z2</v>
          </cell>
          <cell r="F21" t="str">
            <v>AJSPK7936N</v>
          </cell>
          <cell r="G21"/>
          <cell r="H21">
            <v>29021169433</v>
          </cell>
          <cell r="I21" t="str">
            <v>kanth.raaga@gmail.com</v>
          </cell>
          <cell r="J21">
            <v>9008657567</v>
          </cell>
          <cell r="K21" t="str">
            <v>saiexports7</v>
          </cell>
          <cell r="L21" t="str">
            <v>Pavanack@7</v>
          </cell>
          <cell r="M21">
            <v>26359</v>
          </cell>
          <cell r="N21" t="str">
            <v>raaga</v>
          </cell>
          <cell r="O21" t="str">
            <v>rice</v>
          </cell>
          <cell r="P21" t="str">
            <v>srikanth</v>
          </cell>
          <cell r="Q21">
            <v>9008657567</v>
          </cell>
          <cell r="R21" t="str">
            <v>Enrolled</v>
          </cell>
        </row>
        <row r="22">
          <cell r="E22" t="str">
            <v>29ABZFS8800J1Z8</v>
          </cell>
          <cell r="F22" t="str">
            <v>ABZFS8800J</v>
          </cell>
          <cell r="G22"/>
          <cell r="H22">
            <v>29060636687</v>
          </cell>
          <cell r="I22" t="str">
            <v>shreeautomobiles.hbhalli@gmail.com</v>
          </cell>
          <cell r="J22">
            <v>9611173828</v>
          </cell>
          <cell r="K22" t="str">
            <v>shreeauto7</v>
          </cell>
          <cell r="L22" t="str">
            <v>Pavanack@777</v>
          </cell>
          <cell r="M22">
            <v>40796</v>
          </cell>
          <cell r="N22" t="str">
            <v>srinivas</v>
          </cell>
          <cell r="O22" t="str">
            <v>tractor</v>
          </cell>
          <cell r="P22" t="str">
            <v>chinku</v>
          </cell>
          <cell r="Q22">
            <v>9611173828</v>
          </cell>
          <cell r="R22" t="str">
            <v>Completed</v>
          </cell>
        </row>
        <row r="23">
          <cell r="E23" t="str">
            <v>29AKRPG4967H1ZH</v>
          </cell>
          <cell r="F23" t="str">
            <v>AKRPG4967H</v>
          </cell>
          <cell r="G23"/>
          <cell r="H23">
            <v>29081251074</v>
          </cell>
          <cell r="I23" t="str">
            <v>guru_datt48@yahoo.com</v>
          </cell>
          <cell r="J23">
            <v>9902466886</v>
          </cell>
          <cell r="K23" t="str">
            <v>skyenergy7</v>
          </cell>
          <cell r="L23" t="str">
            <v>Pavan*123</v>
          </cell>
          <cell r="M23">
            <v>31392</v>
          </cell>
          <cell r="N23" t="str">
            <v>hirehal</v>
          </cell>
          <cell r="O23" t="str">
            <v>silica</v>
          </cell>
          <cell r="P23" t="str">
            <v>veeresh</v>
          </cell>
          <cell r="Q23">
            <v>9902466886</v>
          </cell>
          <cell r="R23" t="str">
            <v>Completed</v>
          </cell>
        </row>
        <row r="24">
          <cell r="E24" t="str">
            <v>29AKRPG4967H1ZH</v>
          </cell>
          <cell r="F24" t="str">
            <v>AROPB1147N</v>
          </cell>
          <cell r="G24"/>
          <cell r="H24">
            <v>29510602053</v>
          </cell>
          <cell r="I24" t="str">
            <v>superfreshbly@gmail.com</v>
          </cell>
          <cell r="J24">
            <v>9986386335</v>
          </cell>
          <cell r="K24" t="str">
            <v>superfresh7</v>
          </cell>
          <cell r="L24" t="str">
            <v>Pavanack#77</v>
          </cell>
          <cell r="M24">
            <v>31272</v>
          </cell>
          <cell r="N24" t="str">
            <v>asmath banu</v>
          </cell>
          <cell r="O24" t="str">
            <v>grocery</v>
          </cell>
          <cell r="P24" t="str">
            <v>nadia</v>
          </cell>
          <cell r="Q24">
            <v>9986386335</v>
          </cell>
          <cell r="R24" t="str">
            <v>Completed</v>
          </cell>
        </row>
        <row r="25">
          <cell r="E25" t="str">
            <v>29APCPM6904J1ZM</v>
          </cell>
          <cell r="F25" t="str">
            <v>APCPM6904J</v>
          </cell>
          <cell r="G25"/>
          <cell r="H25">
            <v>29511226733</v>
          </cell>
          <cell r="I25" t="str">
            <v>ammadu.555@gmail.com</v>
          </cell>
          <cell r="J25">
            <v>9448002234</v>
          </cell>
          <cell r="K25" t="str">
            <v>suryateja7</v>
          </cell>
          <cell r="L25" t="str">
            <v>Pavanack@77</v>
          </cell>
          <cell r="M25">
            <v>28706</v>
          </cell>
          <cell r="N25" t="str">
            <v>lalitha</v>
          </cell>
          <cell r="O25" t="str">
            <v>rice</v>
          </cell>
          <cell r="P25" t="str">
            <v>satyanarayana</v>
          </cell>
          <cell r="Q25">
            <v>9448002234</v>
          </cell>
          <cell r="R25" t="str">
            <v>Enrolled</v>
          </cell>
        </row>
        <row r="26">
          <cell r="E26" t="str">
            <v>29BWRPS1342H1Z1</v>
          </cell>
          <cell r="F26" t="str">
            <v>BWRPS1342H</v>
          </cell>
          <cell r="G26"/>
          <cell r="H26">
            <v>29220582085</v>
          </cell>
          <cell r="I26" t="str">
            <v>vinaydurgaerectors@gmail.com</v>
          </cell>
          <cell r="J26">
            <v>9449578687</v>
          </cell>
          <cell r="K26" t="str">
            <v>vinaydurga7</v>
          </cell>
          <cell r="L26" t="str">
            <v>Pavan*777</v>
          </cell>
          <cell r="M26">
            <v>31597</v>
          </cell>
          <cell r="N26" t="str">
            <v>rathanam</v>
          </cell>
          <cell r="O26" t="str">
            <v>vehicle hire</v>
          </cell>
          <cell r="P26" t="str">
            <v>vinod</v>
          </cell>
          <cell r="Q26">
            <v>9449578687</v>
          </cell>
          <cell r="R26" t="str">
            <v>Completed</v>
          </cell>
        </row>
        <row r="27">
          <cell r="E27" t="str">
            <v>29ARUPB7123N1Z6</v>
          </cell>
          <cell r="F27" t="str">
            <v>ARUPB7123N</v>
          </cell>
          <cell r="G27"/>
          <cell r="H27">
            <v>29291343642</v>
          </cell>
          <cell r="I27" t="str">
            <v>vijucharles@gmail.com</v>
          </cell>
          <cell r="J27">
            <v>9449037777</v>
          </cell>
          <cell r="K27" t="str">
            <v>zioneng7</v>
          </cell>
          <cell r="L27" t="str">
            <v>Pavan-789</v>
          </cell>
          <cell r="M27">
            <v>24000</v>
          </cell>
          <cell r="N27" t="str">
            <v>b getzie jesudas</v>
          </cell>
          <cell r="O27" t="str">
            <v>steel</v>
          </cell>
          <cell r="P27" t="str">
            <v>Shesh Kumar</v>
          </cell>
          <cell r="Q27">
            <v>9449037777</v>
          </cell>
          <cell r="R27" t="str">
            <v>Completed</v>
          </cell>
        </row>
        <row r="28">
          <cell r="E28" t="str">
            <v>29BAQPS3313B1ZO</v>
          </cell>
          <cell r="F28" t="str">
            <v>BAQPS3313B</v>
          </cell>
          <cell r="G28"/>
          <cell r="H28">
            <v>29171286866</v>
          </cell>
          <cell r="I28" t="str">
            <v>sksingh510@gmail.com</v>
          </cell>
          <cell r="J28">
            <v>9342003348</v>
          </cell>
          <cell r="K28" t="str">
            <v>sktraders7</v>
          </cell>
          <cell r="L28" t="str">
            <v>Hanuman@2015</v>
          </cell>
          <cell r="M28">
            <v>27181</v>
          </cell>
          <cell r="N28" t="str">
            <v>singh</v>
          </cell>
          <cell r="O28" t="str">
            <v>sponge</v>
          </cell>
          <cell r="P28" t="str">
            <v>aditya</v>
          </cell>
          <cell r="Q28">
            <v>9342003348</v>
          </cell>
          <cell r="R28" t="str">
            <v>Completed</v>
          </cell>
        </row>
        <row r="29">
          <cell r="E29" t="str">
            <v>29AACCT3255D1ZG</v>
          </cell>
          <cell r="F29" t="str">
            <v>AACCT3255D</v>
          </cell>
          <cell r="G29"/>
          <cell r="H29">
            <v>29931375300</v>
          </cell>
          <cell r="I29" t="str">
            <v>jyothi.k1986@gmail.com</v>
          </cell>
          <cell r="J29">
            <v>9886666023</v>
          </cell>
          <cell r="K29" t="str">
            <v>someshwara7</v>
          </cell>
          <cell r="L29" t="str">
            <v>Pavan-777</v>
          </cell>
          <cell r="M29">
            <v>29675</v>
          </cell>
          <cell r="N29" t="str">
            <v>ajaykumar</v>
          </cell>
          <cell r="O29" t="str">
            <v>hotel</v>
          </cell>
          <cell r="P29" t="str">
            <v>jyothi</v>
          </cell>
          <cell r="Q29">
            <v>9886666023</v>
          </cell>
          <cell r="R29" t="str">
            <v>Completed</v>
          </cell>
        </row>
        <row r="30">
          <cell r="E30" t="str">
            <v>37AAGCA9960N1ZX</v>
          </cell>
          <cell r="F30" t="str">
            <v>AAGCA9960N</v>
          </cell>
          <cell r="G30"/>
          <cell r="H30">
            <v>37262508929</v>
          </cell>
          <cell r="I30" t="str">
            <v>appleworkacc@gmail.com</v>
          </cell>
          <cell r="J30">
            <v>8500668755</v>
          </cell>
          <cell r="K30" t="str">
            <v>appleind2010</v>
          </cell>
          <cell r="L30" t="str">
            <v>Apple@2021</v>
          </cell>
          <cell r="M30">
            <v>39518</v>
          </cell>
          <cell r="N30" t="str">
            <v>saini</v>
          </cell>
          <cell r="O30" t="str">
            <v>steel</v>
          </cell>
          <cell r="P30" t="str">
            <v>kiran</v>
          </cell>
          <cell r="Q30">
            <v>8500668755</v>
          </cell>
          <cell r="R30" t="str">
            <v>Completed</v>
          </cell>
        </row>
        <row r="31">
          <cell r="E31" t="str">
            <v>29AJJPV2310A1ZH</v>
          </cell>
          <cell r="F31" t="str">
            <v>AJJPV2310A</v>
          </cell>
          <cell r="G31"/>
          <cell r="H31">
            <v>29541294180</v>
          </cell>
          <cell r="I31" t="str">
            <v>anandimarketing@gmail.com</v>
          </cell>
          <cell r="J31">
            <v>9866360867</v>
          </cell>
          <cell r="K31" t="str">
            <v>anandimar7</v>
          </cell>
          <cell r="L31" t="str">
            <v>Pavan-777</v>
          </cell>
          <cell r="M31">
            <v>33117</v>
          </cell>
          <cell r="N31" t="str">
            <v>babulal</v>
          </cell>
          <cell r="O31" t="str">
            <v>Sponge</v>
          </cell>
          <cell r="P31" t="str">
            <v>nawaz</v>
          </cell>
          <cell r="Q31">
            <v>9866360867</v>
          </cell>
          <cell r="R31" t="str">
            <v>Completed</v>
          </cell>
        </row>
        <row r="32">
          <cell r="E32" t="str">
            <v>29AAECD0718R1Z7</v>
          </cell>
          <cell r="F32" t="str">
            <v>AAECD0718R</v>
          </cell>
          <cell r="G32"/>
          <cell r="H32">
            <v>29360659511</v>
          </cell>
          <cell r="I32" t="str">
            <v>shijudepl@gmail.com</v>
          </cell>
          <cell r="J32">
            <v>9449192900</v>
          </cell>
          <cell r="K32" t="str">
            <v>dionepl7</v>
          </cell>
          <cell r="L32" t="str">
            <v>Pavanack@77</v>
          </cell>
          <cell r="M32">
            <v>40905</v>
          </cell>
          <cell r="N32" t="str">
            <v>shiju</v>
          </cell>
          <cell r="O32" t="str">
            <v>electronic equipments</v>
          </cell>
          <cell r="P32" t="str">
            <v>rajkumar</v>
          </cell>
          <cell r="Q32">
            <v>9449192900</v>
          </cell>
          <cell r="R32" t="str">
            <v>Enrolled</v>
          </cell>
        </row>
        <row r="33">
          <cell r="E33" t="str">
            <v>29AAECG6849G1Z7</v>
          </cell>
          <cell r="F33" t="str">
            <v>AAECG6849G</v>
          </cell>
          <cell r="G33"/>
          <cell r="H33">
            <v>29600677809</v>
          </cell>
          <cell r="I33" t="str">
            <v>tax@geolifegroup.com</v>
          </cell>
          <cell r="J33">
            <v>9930808808</v>
          </cell>
          <cell r="K33" t="str">
            <v>geolifeagri7</v>
          </cell>
          <cell r="L33" t="str">
            <v>Geolife@29</v>
          </cell>
          <cell r="M33">
            <v>41018</v>
          </cell>
          <cell r="N33" t="str">
            <v>pradeep</v>
          </cell>
          <cell r="O33" t="str">
            <v>fertilizers</v>
          </cell>
          <cell r="P33" t="str">
            <v>sheethal</v>
          </cell>
          <cell r="Q33">
            <v>9930808808</v>
          </cell>
          <cell r="R33" t="str">
            <v>Completed</v>
          </cell>
        </row>
        <row r="34">
          <cell r="E34" t="str">
            <v>29AGBPP1174F1ZG</v>
          </cell>
          <cell r="F34" t="str">
            <v>AGBPP1174F</v>
          </cell>
          <cell r="G34"/>
          <cell r="H34">
            <v>29090016889</v>
          </cell>
          <cell r="I34" t="str">
            <v>hiramotimetals@gmail.com</v>
          </cell>
          <cell r="J34">
            <v>9844034180</v>
          </cell>
          <cell r="K34" t="str">
            <v>hiramoti7</v>
          </cell>
          <cell r="L34" t="str">
            <v>Pavanack@77</v>
          </cell>
          <cell r="M34">
            <v>15892</v>
          </cell>
          <cell r="N34" t="str">
            <v>baktawarmal</v>
          </cell>
          <cell r="O34" t="str">
            <v>utensils</v>
          </cell>
          <cell r="P34" t="str">
            <v>harish</v>
          </cell>
          <cell r="Q34">
            <v>9844034180</v>
          </cell>
          <cell r="R34" t="str">
            <v>Cancelled</v>
          </cell>
        </row>
        <row r="35">
          <cell r="E35" t="str">
            <v>29AAMPC8885H1Z2</v>
          </cell>
          <cell r="F35" t="str">
            <v>AAMPC8885H</v>
          </cell>
          <cell r="G35"/>
          <cell r="H35">
            <v>29261341088</v>
          </cell>
          <cell r="I35" t="str">
            <v>yashcropscience@gmail.com</v>
          </cell>
          <cell r="J35">
            <v>7710936080</v>
          </cell>
          <cell r="K35" t="str">
            <v>yashcrop7</v>
          </cell>
          <cell r="L35" t="str">
            <v>Yash@029</v>
          </cell>
          <cell r="M35">
            <v>27516</v>
          </cell>
          <cell r="N35" t="str">
            <v>laxmidevi</v>
          </cell>
          <cell r="O35" t="str">
            <v>fertilizers</v>
          </cell>
          <cell r="P35" t="str">
            <v>shivshankar goud</v>
          </cell>
          <cell r="Q35">
            <v>7710936080</v>
          </cell>
          <cell r="R35" t="str">
            <v>Completed</v>
          </cell>
        </row>
        <row r="36">
          <cell r="E36" t="str">
            <v>29AAICS1940E3ZB</v>
          </cell>
          <cell r="F36" t="str">
            <v>AAICS1940E</v>
          </cell>
          <cell r="G36"/>
          <cell r="H36">
            <v>29101358345</v>
          </cell>
          <cell r="I36" t="str">
            <v>krishna@mtcgroup.in</v>
          </cell>
          <cell r="J36">
            <v>7090760822</v>
          </cell>
          <cell r="K36" t="str">
            <v>msmetals7</v>
          </cell>
          <cell r="L36" t="str">
            <v>msmsH@2020</v>
          </cell>
          <cell r="M36">
            <v>38139</v>
          </cell>
          <cell r="N36" t="str">
            <v>sachin</v>
          </cell>
          <cell r="O36" t="str">
            <v>steel</v>
          </cell>
          <cell r="P36" t="str">
            <v>krishna</v>
          </cell>
          <cell r="Q36">
            <v>7090760822</v>
          </cell>
          <cell r="R36" t="str">
            <v>Completed</v>
          </cell>
        </row>
        <row r="37">
          <cell r="E37" t="str">
            <v>29AACCH0195E1ZP</v>
          </cell>
          <cell r="F37" t="str">
            <v>AACCH0195E</v>
          </cell>
          <cell r="G37"/>
          <cell r="H37">
            <v>29820828523</v>
          </cell>
          <cell r="I37" t="str">
            <v>kubera.hrg@gmail.com</v>
          </cell>
          <cell r="J37">
            <v>9901637718</v>
          </cell>
          <cell r="K37" t="str">
            <v>hrgaspl7</v>
          </cell>
          <cell r="L37" t="str">
            <v>Pavan*2021</v>
          </cell>
          <cell r="M37">
            <v>39518</v>
          </cell>
          <cell r="N37" t="str">
            <v>hirehal</v>
          </cell>
          <cell r="O37" t="str">
            <v>steel</v>
          </cell>
          <cell r="P37" t="str">
            <v>kubera</v>
          </cell>
          <cell r="Q37">
            <v>9901637718</v>
          </cell>
          <cell r="R37" t="str">
            <v>Completed</v>
          </cell>
        </row>
        <row r="38">
          <cell r="E38" t="str">
            <v>29AMWPK7518F1ZF</v>
          </cell>
          <cell r="F38" t="str">
            <v>AMWPK7518F</v>
          </cell>
          <cell r="G38"/>
          <cell r="H38">
            <v>29140018074</v>
          </cell>
          <cell r="I38" t="str">
            <v>nameshkn89@gmail.com</v>
          </cell>
          <cell r="J38">
            <v>9448894489</v>
          </cell>
          <cell r="K38" t="str">
            <v>NAMESH490</v>
          </cell>
          <cell r="L38" t="str">
            <v>Pavan-123</v>
          </cell>
          <cell r="M38">
            <v>30926</v>
          </cell>
          <cell r="N38" t="str">
            <v>sumathi</v>
          </cell>
          <cell r="O38" t="str">
            <v>tyres</v>
          </cell>
          <cell r="P38" t="str">
            <v>venkatesh</v>
          </cell>
          <cell r="Q38">
            <v>9448894489</v>
          </cell>
          <cell r="R38" t="str">
            <v>Completed</v>
          </cell>
        </row>
        <row r="39">
          <cell r="E39" t="str">
            <v>29AAUCS1089G1ZP</v>
          </cell>
          <cell r="F39" t="str">
            <v>AAUCS1089G</v>
          </cell>
          <cell r="G39"/>
          <cell r="H39">
            <v>29951326304</v>
          </cell>
          <cell r="I39" t="str">
            <v>kanth.raaga@gmail.com</v>
          </cell>
          <cell r="J39">
            <v>9008657567</v>
          </cell>
          <cell r="K39" t="str">
            <v>skyoneinfra7</v>
          </cell>
          <cell r="L39" t="str">
            <v>Pavan*2021</v>
          </cell>
          <cell r="M39">
            <v>41599</v>
          </cell>
          <cell r="N39" t="str">
            <v>raaga</v>
          </cell>
          <cell r="O39" t="str">
            <v>flats</v>
          </cell>
          <cell r="P39" t="str">
            <v>srikanth</v>
          </cell>
          <cell r="Q39">
            <v>9008657567</v>
          </cell>
          <cell r="R39" t="str">
            <v>Completed</v>
          </cell>
        </row>
        <row r="40">
          <cell r="E40" t="str">
            <v>29APDPR6440K1ZF</v>
          </cell>
          <cell r="F40" t="str">
            <v>APDPR6440K</v>
          </cell>
          <cell r="G40"/>
          <cell r="H40">
            <v>29031347277</v>
          </cell>
          <cell r="I40" t="str">
            <v>rajampeta.yezas@gmail.com</v>
          </cell>
          <cell r="J40">
            <v>9342011999</v>
          </cell>
          <cell r="K40" t="str">
            <v>strminerals7</v>
          </cell>
          <cell r="L40" t="str">
            <v>Pavanack@77</v>
          </cell>
          <cell r="M40">
            <v>30924</v>
          </cell>
          <cell r="N40" t="str">
            <v>dilshad begum</v>
          </cell>
          <cell r="O40" t="str">
            <v>Sponge</v>
          </cell>
          <cell r="P40" t="str">
            <v>mohan</v>
          </cell>
          <cell r="Q40">
            <v>9342011999</v>
          </cell>
          <cell r="R40" t="str">
            <v>Enrolled</v>
          </cell>
        </row>
        <row r="41"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 t="str">
            <v>Enrolled</v>
          </cell>
        </row>
        <row r="42">
          <cell r="E42" t="str">
            <v>29AMWPG7927J1Z5</v>
          </cell>
          <cell r="F42" t="str">
            <v>AMWPG7927J</v>
          </cell>
          <cell r="G42"/>
          <cell r="H42">
            <v>29410867500</v>
          </cell>
          <cell r="I42"/>
          <cell r="J42">
            <v>9886954210</v>
          </cell>
          <cell r="K42" t="str">
            <v>Gopinath_55</v>
          </cell>
          <cell r="L42" t="str">
            <v>Gopinath*123</v>
          </cell>
          <cell r="M42"/>
          <cell r="N42"/>
          <cell r="O42"/>
          <cell r="P42"/>
          <cell r="Q42"/>
          <cell r="R42" t="str">
            <v>Completed</v>
          </cell>
        </row>
        <row r="43">
          <cell r="E43" t="str">
            <v>29AAJFK4703D2ZG</v>
          </cell>
          <cell r="F43" t="str">
            <v>25od4236b8</v>
          </cell>
          <cell r="G43"/>
          <cell r="H43" t="str">
            <v>ST</v>
          </cell>
          <cell r="I43" t="str">
            <v>spiplbry@rediffmail.com</v>
          </cell>
          <cell r="J43">
            <v>9243285204</v>
          </cell>
          <cell r="K43" t="str">
            <v>KISHOR07</v>
          </cell>
          <cell r="L43" t="str">
            <v>Pavanack@7</v>
          </cell>
          <cell r="M43">
            <v>39814</v>
          </cell>
          <cell r="N43" t="str">
            <v>pvsrinivas</v>
          </cell>
          <cell r="O43" t="str">
            <v>o and m</v>
          </cell>
          <cell r="P43" t="str">
            <v>manjunath</v>
          </cell>
          <cell r="Q43">
            <v>9243285204</v>
          </cell>
          <cell r="R43" t="str">
            <v>Enrolled</v>
          </cell>
        </row>
        <row r="44">
          <cell r="E44" t="str">
            <v>29BNHPS0009J1ZU</v>
          </cell>
          <cell r="F44" t="str">
            <v xml:space="preserve">2cc9a3dx27 </v>
          </cell>
          <cell r="G44"/>
          <cell r="H44" t="str">
            <v>ST</v>
          </cell>
          <cell r="I44" t="str">
            <v>sstsbly@gmail.com</v>
          </cell>
          <cell r="J44">
            <v>9243740666</v>
          </cell>
          <cell r="K44" t="str">
            <v>sstsrao7</v>
          </cell>
          <cell r="L44" t="str">
            <v>Ssts@12345</v>
          </cell>
          <cell r="M44">
            <v>29804</v>
          </cell>
          <cell r="N44" t="str">
            <v>besen</v>
          </cell>
          <cell r="O44" t="str">
            <v>O and M</v>
          </cell>
          <cell r="P44" t="str">
            <v>subba</v>
          </cell>
          <cell r="Q44">
            <v>9243740666</v>
          </cell>
          <cell r="R44" t="str">
            <v>Completed</v>
          </cell>
        </row>
        <row r="45">
          <cell r="E45" t="str">
            <v xml:space="preserve">29AABCF7725P1ZZ </v>
          </cell>
          <cell r="F45" t="str">
            <v>AABCF7725P</v>
          </cell>
          <cell r="G45"/>
          <cell r="H45" t="str">
            <v>ST</v>
          </cell>
          <cell r="I45" t="str">
            <v>shankardutta.dutta@gmail.com</v>
          </cell>
          <cell r="J45">
            <v>9686166697</v>
          </cell>
          <cell r="K45" t="str">
            <v>firststep7</v>
          </cell>
          <cell r="L45" t="str">
            <v>Pavan@1234</v>
          </cell>
          <cell r="M45">
            <v>40731</v>
          </cell>
          <cell r="N45" t="str">
            <v>nagesh</v>
          </cell>
          <cell r="O45" t="str">
            <v>chit fund</v>
          </cell>
          <cell r="P45" t="str">
            <v>shankar</v>
          </cell>
          <cell r="Q45">
            <v>9686166697</v>
          </cell>
          <cell r="R45" t="str">
            <v>Completed</v>
          </cell>
        </row>
        <row r="46">
          <cell r="E46" t="str">
            <v>29AHGPJ9389J1ZH</v>
          </cell>
          <cell r="F46" t="str">
            <v>AHGPJ9389J</v>
          </cell>
          <cell r="G46"/>
          <cell r="H46" t="str">
            <v>ST</v>
          </cell>
          <cell r="I46" t="str">
            <v>pavankhivesra@gmail.com</v>
          </cell>
          <cell r="J46">
            <v>9986580381</v>
          </cell>
          <cell r="K46" t="str">
            <v>pjscoin7</v>
          </cell>
          <cell r="L46" t="str">
            <v>Pavan@1234</v>
          </cell>
          <cell r="M46">
            <v>30868</v>
          </cell>
          <cell r="N46" t="str">
            <v>nirmala</v>
          </cell>
          <cell r="O46" t="str">
            <v>ca</v>
          </cell>
          <cell r="P46" t="str">
            <v>arvind</v>
          </cell>
          <cell r="Q46">
            <v>9986580381</v>
          </cell>
          <cell r="R46" t="str">
            <v>Completed</v>
          </cell>
        </row>
        <row r="47">
          <cell r="E47" t="str">
            <v>29AADCE3198F1ZG</v>
          </cell>
          <cell r="F47" t="str">
            <v>AADCE3198F</v>
          </cell>
          <cell r="G47"/>
          <cell r="H47">
            <v>29531391622</v>
          </cell>
          <cell r="I47" t="str">
            <v>pkm.blr@gmail.com</v>
          </cell>
          <cell r="J47">
            <v>9845018951</v>
          </cell>
          <cell r="K47" t="str">
            <v>Electro7</v>
          </cell>
          <cell r="L47" t="str">
            <v>Electro@1234</v>
          </cell>
          <cell r="M47">
            <v>41026</v>
          </cell>
          <cell r="N47" t="str">
            <v>prashant</v>
          </cell>
          <cell r="O47" t="str">
            <v>silica</v>
          </cell>
          <cell r="P47" t="str">
            <v>nagraj</v>
          </cell>
          <cell r="Q47">
            <v>9845018951</v>
          </cell>
          <cell r="R47" t="str">
            <v>Completed</v>
          </cell>
        </row>
        <row r="48">
          <cell r="E48" t="str">
            <v>29AIIPR0511P1ZU</v>
          </cell>
          <cell r="F48" t="str">
            <v>AIIPR0511P</v>
          </cell>
          <cell r="G48"/>
          <cell r="H48"/>
          <cell r="I48" t="str">
            <v>arajustp@gmail.com</v>
          </cell>
          <cell r="J48">
            <v>9343426219</v>
          </cell>
          <cell r="K48" t="str">
            <v>NAGA4900</v>
          </cell>
          <cell r="L48" t="str">
            <v>Naga12@490</v>
          </cell>
          <cell r="M48">
            <v>26451</v>
          </cell>
          <cell r="N48"/>
          <cell r="O48"/>
          <cell r="P48"/>
          <cell r="Q48"/>
          <cell r="R48" t="str">
            <v>Completed</v>
          </cell>
        </row>
        <row r="49">
          <cell r="E49" t="str">
            <v>29AAJCS7511C1ZD</v>
          </cell>
          <cell r="F49" t="str">
            <v>AAJCS7511C</v>
          </cell>
          <cell r="G49"/>
          <cell r="H49">
            <v>29811296505</v>
          </cell>
          <cell r="I49" t="str">
            <v>arajustp@gmail.com</v>
          </cell>
          <cell r="J49">
            <v>9243285204</v>
          </cell>
          <cell r="K49" t="str">
            <v>SHREE4900</v>
          </cell>
          <cell r="L49" t="str">
            <v>Spipl_490</v>
          </cell>
          <cell r="M49"/>
          <cell r="N49"/>
          <cell r="O49"/>
          <cell r="P49"/>
          <cell r="Q49"/>
          <cell r="R49" t="str">
            <v>Completed</v>
          </cell>
        </row>
        <row r="50">
          <cell r="E50" t="str">
            <v>37AKRPG4967H1ZK</v>
          </cell>
          <cell r="F50" t="str">
            <v>AKRPG4967H</v>
          </cell>
          <cell r="G50"/>
          <cell r="H50"/>
          <cell r="I50" t="str">
            <v>guru_datt48@yahoo.com</v>
          </cell>
          <cell r="J50">
            <v>9902466886</v>
          </cell>
          <cell r="K50" t="str">
            <v>HRGMINERALS7</v>
          </cell>
          <cell r="L50" t="str">
            <v>Pavan-777</v>
          </cell>
          <cell r="M50">
            <v>31392</v>
          </cell>
          <cell r="N50" t="str">
            <v>hirehal</v>
          </cell>
          <cell r="O50" t="str">
            <v>silica</v>
          </cell>
          <cell r="P50" t="str">
            <v>ramu</v>
          </cell>
          <cell r="Q50">
            <v>9902466886</v>
          </cell>
          <cell r="R50" t="str">
            <v>Completed</v>
          </cell>
        </row>
        <row r="51">
          <cell r="E51" t="str">
            <v>36AAMFR1299L1ZI</v>
          </cell>
          <cell r="F51" t="str">
            <v>AAMFR1299L</v>
          </cell>
          <cell r="G51"/>
          <cell r="H51" t="str">
            <v>ST</v>
          </cell>
          <cell r="I51" t="str">
            <v>koti.recs13@gmail.com</v>
          </cell>
          <cell r="J51">
            <v>9177499535</v>
          </cell>
          <cell r="K51" t="str">
            <v>ROHANCS7</v>
          </cell>
          <cell r="L51" t="str">
            <v>Pavanack-123</v>
          </cell>
          <cell r="M51">
            <v>40333</v>
          </cell>
          <cell r="N51" t="str">
            <v>sudha</v>
          </cell>
          <cell r="O51" t="str">
            <v>OPERATION</v>
          </cell>
          <cell r="P51" t="str">
            <v>rohan</v>
          </cell>
          <cell r="Q51">
            <v>9177499535</v>
          </cell>
          <cell r="R51" t="str">
            <v>Completed</v>
          </cell>
        </row>
        <row r="52">
          <cell r="E52" t="str">
            <v>37AEZPG8364A1Z4</v>
          </cell>
          <cell r="F52" t="str">
            <v>3f6133xb8x</v>
          </cell>
          <cell r="G52"/>
          <cell r="H52">
            <v>37849709909</v>
          </cell>
          <cell r="I52" t="str">
            <v>guru_datt48@yahoo.com</v>
          </cell>
          <cell r="J52">
            <v>9902466886</v>
          </cell>
          <cell r="K52" t="str">
            <v>imt-95733763</v>
          </cell>
          <cell r="L52" t="str">
            <v>Imt@95733763</v>
          </cell>
          <cell r="M52"/>
          <cell r="N52"/>
          <cell r="O52"/>
          <cell r="P52"/>
          <cell r="Q52"/>
          <cell r="R52" t="str">
            <v>Enrolled</v>
          </cell>
        </row>
        <row r="53">
          <cell r="E53" t="str">
            <v>37AAEFU8723G1ZX</v>
          </cell>
          <cell r="F53" t="str">
            <v>fbd6aa3694</v>
          </cell>
          <cell r="G53"/>
          <cell r="H53">
            <v>37682556834</v>
          </cell>
          <cell r="I53" t="str">
            <v>kailashkripa@gmail.com</v>
          </cell>
          <cell r="J53">
            <v>9845446943</v>
          </cell>
          <cell r="K53" t="str">
            <v>UNICOLLP7</v>
          </cell>
          <cell r="L53" t="str">
            <v>Pavanack*999</v>
          </cell>
          <cell r="M53">
            <v>42709</v>
          </cell>
          <cell r="N53" t="str">
            <v>kailash</v>
          </cell>
          <cell r="O53" t="str">
            <v>stones</v>
          </cell>
          <cell r="P53" t="str">
            <v>ajay</v>
          </cell>
          <cell r="Q53">
            <v>9845446943</v>
          </cell>
          <cell r="R53" t="str">
            <v>Completed</v>
          </cell>
        </row>
        <row r="54">
          <cell r="E54" t="str">
            <v>29AACCV0767E1Z9</v>
          </cell>
          <cell r="F54" t="str">
            <v>AACCV0767E</v>
          </cell>
          <cell r="G54"/>
          <cell r="H54"/>
          <cell r="I54"/>
          <cell r="J54"/>
          <cell r="K54" t="str">
            <v>vanyasteels</v>
          </cell>
          <cell r="L54" t="str">
            <v>Vanya*2018</v>
          </cell>
          <cell r="M54"/>
          <cell r="N54"/>
          <cell r="O54"/>
          <cell r="P54"/>
          <cell r="Q54"/>
          <cell r="R54" t="str">
            <v>Completed</v>
          </cell>
        </row>
        <row r="55">
          <cell r="E55" t="str">
            <v>29AACAP6984D1Z6</v>
          </cell>
          <cell r="F55" t="str">
            <v>AACAP6984D</v>
          </cell>
          <cell r="G55"/>
          <cell r="H55"/>
          <cell r="I55" t="str">
            <v>fmw.accounts@pkgbank.com</v>
          </cell>
          <cell r="J55">
            <v>9916313676</v>
          </cell>
          <cell r="K55" t="str">
            <v>PRAGATHI.2017</v>
          </cell>
          <cell r="L55" t="str">
            <v>Pavanack@1234</v>
          </cell>
          <cell r="M55"/>
          <cell r="N55"/>
          <cell r="O55"/>
          <cell r="P55"/>
          <cell r="Q55"/>
          <cell r="R55" t="str">
            <v>Completed</v>
          </cell>
        </row>
        <row r="56">
          <cell r="E56" t="str">
            <v>05AAACN0393C2ZY</v>
          </cell>
          <cell r="F56" t="str">
            <v>f634d7862x</v>
          </cell>
          <cell r="G56"/>
          <cell r="H56" t="str">
            <v>05002995094</v>
          </cell>
          <cell r="I56" t="str">
            <v>dcaccts@erahotels.com</v>
          </cell>
          <cell r="J56">
            <v>7456001404</v>
          </cell>
          <cell r="K56" t="str">
            <v>NANDAN07</v>
          </cell>
          <cell r="L56" t="str">
            <v>Nandan@123</v>
          </cell>
          <cell r="M56">
            <v>31960</v>
          </cell>
          <cell r="N56" t="str">
            <v>ajay</v>
          </cell>
          <cell r="O56" t="str">
            <v>hotel</v>
          </cell>
          <cell r="P56" t="str">
            <v>nitin</v>
          </cell>
          <cell r="Q56">
            <v>7456001404</v>
          </cell>
          <cell r="R56" t="str">
            <v>Completed</v>
          </cell>
        </row>
        <row r="57">
          <cell r="E57" t="str">
            <v>37AKXPC7980J1ZA</v>
          </cell>
          <cell r="F57" t="str">
            <v>1c3dff6439</v>
          </cell>
          <cell r="G57"/>
          <cell r="H57"/>
          <cell r="I57" t="str">
            <v>koti.recs13@gmail.com</v>
          </cell>
          <cell r="J57">
            <v>9177499535</v>
          </cell>
          <cell r="K57" t="str">
            <v>chukka07</v>
          </cell>
          <cell r="L57" t="str">
            <v>Pavan*2021</v>
          </cell>
          <cell r="M57"/>
          <cell r="N57"/>
          <cell r="O57"/>
          <cell r="P57"/>
          <cell r="Q57"/>
          <cell r="R57" t="str">
            <v>Completed</v>
          </cell>
        </row>
        <row r="58">
          <cell r="E58" t="str">
            <v>29AAKCA9053A1ZP</v>
          </cell>
          <cell r="F58" t="str">
            <v>AAKCA9053A</v>
          </cell>
          <cell r="G58"/>
          <cell r="H58">
            <v>29371103620</v>
          </cell>
          <cell r="I58" t="str">
            <v xml:space="preserve"> akashara89@gmail.com</v>
          </cell>
          <cell r="J58">
            <v>9916939735</v>
          </cell>
          <cell r="K58" t="str">
            <v>steel3620</v>
          </cell>
          <cell r="L58" t="str">
            <v>Aone#123</v>
          </cell>
          <cell r="M58"/>
          <cell r="N58"/>
          <cell r="O58"/>
          <cell r="P58"/>
          <cell r="Q58"/>
          <cell r="R58" t="str">
            <v>Completed</v>
          </cell>
        </row>
        <row r="59">
          <cell r="E59" t="str">
            <v>29COYPS5399G1ZM</v>
          </cell>
          <cell r="F59" t="str">
            <v>COYPS5399G</v>
          </cell>
          <cell r="G59"/>
          <cell r="H59">
            <v>29941409099</v>
          </cell>
          <cell r="I59" t="str">
            <v>Santosh@pjs.co.in</v>
          </cell>
          <cell r="J59">
            <v>9448341417</v>
          </cell>
          <cell r="K59" t="str">
            <v>shirisha963</v>
          </cell>
          <cell r="L59" t="str">
            <v>Pavan-777</v>
          </cell>
          <cell r="M59"/>
          <cell r="N59"/>
          <cell r="O59"/>
          <cell r="P59"/>
          <cell r="Q59"/>
          <cell r="R59" t="str">
            <v>Completed</v>
          </cell>
        </row>
        <row r="60">
          <cell r="E60" t="str">
            <v>37AALCA4460E1ZQ</v>
          </cell>
          <cell r="F60" t="str">
            <v>AALCA4460E</v>
          </cell>
          <cell r="G60"/>
          <cell r="H60"/>
          <cell r="I60" t="str">
            <v>applesuraido@gmail.com</v>
          </cell>
          <cell r="J60">
            <v>9000010061</v>
          </cell>
          <cell r="K60" t="str">
            <v>APPLESURAIDO</v>
          </cell>
          <cell r="L60" t="str">
            <v>Apple*2019</v>
          </cell>
          <cell r="M60"/>
          <cell r="N60"/>
          <cell r="O60"/>
          <cell r="P60"/>
          <cell r="Q60"/>
          <cell r="R60" t="str">
            <v>Completed</v>
          </cell>
        </row>
        <row r="61">
          <cell r="E61"/>
          <cell r="F61"/>
          <cell r="G61"/>
          <cell r="H61"/>
          <cell r="I61" t="str">
            <v>aonesteels1@gmail.com</v>
          </cell>
          <cell r="J61">
            <v>8197881772</v>
          </cell>
          <cell r="K61"/>
          <cell r="L61"/>
          <cell r="M61"/>
          <cell r="N61"/>
          <cell r="O61"/>
          <cell r="P61"/>
          <cell r="Q61"/>
          <cell r="R61" t="str">
            <v>Cancelled</v>
          </cell>
        </row>
        <row r="62">
          <cell r="E62" t="str">
            <v>29ABFFM0293D1ZC</v>
          </cell>
          <cell r="F62" t="str">
            <v>ABFFM0293D</v>
          </cell>
          <cell r="G62"/>
          <cell r="H62">
            <v>29471421046</v>
          </cell>
          <cell r="I62" t="str">
            <v>jyothi.k1986@gmail.com</v>
          </cell>
          <cell r="J62">
            <v>9886666023</v>
          </cell>
          <cell r="K62" t="str">
            <v>MANSAKITCHENS</v>
          </cell>
          <cell r="L62" t="str">
            <v>Pavanack123*</v>
          </cell>
          <cell r="M62">
            <v>42744</v>
          </cell>
          <cell r="N62" t="str">
            <v>swami</v>
          </cell>
          <cell r="O62" t="str">
            <v>hotel</v>
          </cell>
          <cell r="P62" t="str">
            <v>jyothi</v>
          </cell>
          <cell r="Q62">
            <v>9886666023</v>
          </cell>
          <cell r="R62" t="str">
            <v>Completed</v>
          </cell>
        </row>
        <row r="63">
          <cell r="E63"/>
          <cell r="F63" t="str">
            <v>ARVPK3928P</v>
          </cell>
          <cell r="G63"/>
          <cell r="H63"/>
          <cell r="I63" t="str">
            <v>hiramotimetals@gmail.com</v>
          </cell>
          <cell r="J63">
            <v>9844034180</v>
          </cell>
          <cell r="K63"/>
          <cell r="L63"/>
          <cell r="M63"/>
          <cell r="N63"/>
          <cell r="O63"/>
          <cell r="P63"/>
          <cell r="Q63"/>
          <cell r="R63" t="str">
            <v>Rejected</v>
          </cell>
        </row>
        <row r="64"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 t="str">
            <v>Applied</v>
          </cell>
        </row>
        <row r="65">
          <cell r="E65"/>
          <cell r="F65"/>
          <cell r="G65"/>
          <cell r="H65"/>
          <cell r="I65" t="str">
            <v>sayhello@plantheunplanned.com</v>
          </cell>
          <cell r="J65">
            <v>9035182699</v>
          </cell>
          <cell r="K65"/>
          <cell r="L65"/>
          <cell r="M65"/>
          <cell r="N65"/>
          <cell r="O65"/>
          <cell r="P65"/>
          <cell r="Q65"/>
          <cell r="R65" t="str">
            <v>Rejected</v>
          </cell>
        </row>
        <row r="66">
          <cell r="E66" t="str">
            <v>37AAKFN0739P1ZN</v>
          </cell>
          <cell r="F66" t="str">
            <v>AAKFN0739P</v>
          </cell>
          <cell r="G66"/>
          <cell r="H66"/>
          <cell r="I66" t="str">
            <v>guru_datt48@yahoo.com</v>
          </cell>
          <cell r="J66">
            <v>9902466886</v>
          </cell>
          <cell r="K66" t="str">
            <v>nrindustries7</v>
          </cell>
          <cell r="L66" t="str">
            <v>Pavan*123</v>
          </cell>
          <cell r="M66"/>
          <cell r="N66"/>
          <cell r="O66"/>
          <cell r="P66"/>
          <cell r="Q66"/>
          <cell r="R66" t="str">
            <v>Completed</v>
          </cell>
        </row>
        <row r="67">
          <cell r="E67" t="str">
            <v>29ARVPK3928P1ZN</v>
          </cell>
          <cell r="F67" t="str">
            <v>ARVPK3928P</v>
          </cell>
          <cell r="G67"/>
          <cell r="H67"/>
          <cell r="I67" t="str">
            <v>hiramotimetals@gmail.com</v>
          </cell>
          <cell r="J67">
            <v>9945312228</v>
          </cell>
          <cell r="K67" t="str">
            <v>hiramoti07</v>
          </cell>
          <cell r="L67" t="str">
            <v>Pavan*2021</v>
          </cell>
          <cell r="M67"/>
          <cell r="N67"/>
          <cell r="O67"/>
          <cell r="P67"/>
          <cell r="Q67"/>
          <cell r="R67" t="str">
            <v>Completed</v>
          </cell>
        </row>
        <row r="68">
          <cell r="E68" t="str">
            <v>29AATFP2143A1ZA</v>
          </cell>
          <cell r="F68" t="str">
            <v>AATFP2143A</v>
          </cell>
          <cell r="G68"/>
          <cell r="H68"/>
          <cell r="I68" t="str">
            <v>sayhello@plantheunplanned.com</v>
          </cell>
          <cell r="J68">
            <v>9428909952</v>
          </cell>
          <cell r="K68" t="str">
            <v>PLANUNPLAN</v>
          </cell>
          <cell r="L68" t="str">
            <v>Jatin@123</v>
          </cell>
          <cell r="M68"/>
          <cell r="N68"/>
          <cell r="O68"/>
          <cell r="P68"/>
          <cell r="Q68"/>
          <cell r="R68" t="str">
            <v>NA</v>
          </cell>
        </row>
        <row r="69">
          <cell r="E69" t="str">
            <v>29AAGCA9918E1ZF</v>
          </cell>
          <cell r="F69" t="str">
            <v>AAGCA9918E</v>
          </cell>
          <cell r="G69"/>
          <cell r="H69"/>
          <cell r="I69" t="str">
            <v>secsandeep@yahoo.co.in</v>
          </cell>
          <cell r="J69">
            <v>8712140483</v>
          </cell>
          <cell r="K69" t="str">
            <v>aonesteel2017</v>
          </cell>
          <cell r="L69" t="str">
            <v>Force#01</v>
          </cell>
          <cell r="M69"/>
          <cell r="N69"/>
          <cell r="O69"/>
          <cell r="P69"/>
          <cell r="Q69"/>
          <cell r="R69" t="str">
            <v>Direct</v>
          </cell>
        </row>
        <row r="70">
          <cell r="E70" t="str">
            <v>37AAGCA9918E1ZI</v>
          </cell>
          <cell r="F70" t="str">
            <v>AAGCA9918E</v>
          </cell>
          <cell r="G70"/>
          <cell r="H70"/>
          <cell r="I70" t="str">
            <v>secsandeep@yahoo.co.in</v>
          </cell>
          <cell r="J70">
            <v>9394201000</v>
          </cell>
          <cell r="K70" t="str">
            <v>aonesteels1</v>
          </cell>
          <cell r="L70" t="str">
            <v>Force*01</v>
          </cell>
          <cell r="M70"/>
          <cell r="N70"/>
          <cell r="O70"/>
          <cell r="P70"/>
          <cell r="Q70"/>
          <cell r="R70" t="str">
            <v>Direct</v>
          </cell>
        </row>
        <row r="71">
          <cell r="E71" t="str">
            <v>29AWFPR7739A1Z8</v>
          </cell>
          <cell r="F71" t="str">
            <v>AWFPR7739A</v>
          </cell>
          <cell r="G71"/>
          <cell r="H71"/>
          <cell r="I71" t="str">
            <v>bansal.bansal88@gmail.com</v>
          </cell>
          <cell r="J71">
            <v>7760846568</v>
          </cell>
          <cell r="K71" t="str">
            <v>AMBEMETALS</v>
          </cell>
          <cell r="L71" t="str">
            <v>Force*001</v>
          </cell>
          <cell r="M71"/>
          <cell r="N71"/>
          <cell r="O71"/>
          <cell r="P71"/>
          <cell r="Q71"/>
          <cell r="R71" t="str">
            <v>Direct</v>
          </cell>
        </row>
        <row r="72">
          <cell r="E72" t="str">
            <v>29AALCA1940K1ZF</v>
          </cell>
          <cell r="F72" t="str">
            <v>AALCA1940K</v>
          </cell>
          <cell r="G72"/>
          <cell r="H72"/>
          <cell r="I72" t="str">
            <v>bansal.bansal88@gmail.com</v>
          </cell>
          <cell r="J72">
            <v>9972223941</v>
          </cell>
          <cell r="K72" t="str">
            <v>aaryanhitech</v>
          </cell>
          <cell r="L72" t="str">
            <v>Aaryan*3</v>
          </cell>
          <cell r="M72"/>
          <cell r="N72"/>
          <cell r="O72"/>
          <cell r="P72"/>
          <cell r="Q72"/>
          <cell r="R72" t="str">
            <v>Direct</v>
          </cell>
        </row>
        <row r="73">
          <cell r="E73" t="str">
            <v>29AFKPK8520J2Z0</v>
          </cell>
          <cell r="F73" t="str">
            <v>AFKPK8520J</v>
          </cell>
          <cell r="G73"/>
          <cell r="H73"/>
          <cell r="I73" t="str">
            <v>bansal.bansal88@gmail.com</v>
          </cell>
          <cell r="J73">
            <v>7760846568</v>
          </cell>
          <cell r="K73" t="str">
            <v>lakshsteels</v>
          </cell>
          <cell r="L73" t="str">
            <v>Lakshprop@555</v>
          </cell>
          <cell r="M73"/>
          <cell r="N73"/>
          <cell r="O73"/>
          <cell r="P73"/>
          <cell r="Q73"/>
          <cell r="R73" t="str">
            <v>Direct</v>
          </cell>
        </row>
        <row r="74">
          <cell r="E74" t="str">
            <v>29AAGFL7905F1Z5</v>
          </cell>
          <cell r="F74" t="str">
            <v>AAGFL7905F1</v>
          </cell>
          <cell r="G74"/>
          <cell r="H74"/>
          <cell r="I74" t="str">
            <v>sachin.tohana@gmail.com</v>
          </cell>
          <cell r="J74">
            <v>9742426543</v>
          </cell>
          <cell r="K74" t="str">
            <v>LAKSHSTEELS2017</v>
          </cell>
          <cell r="L74" t="str">
            <v>Lakshfirm*5</v>
          </cell>
          <cell r="M74"/>
          <cell r="N74"/>
          <cell r="O74"/>
          <cell r="P74"/>
          <cell r="Q74"/>
          <cell r="R74" t="str">
            <v>Direct</v>
          </cell>
        </row>
        <row r="75">
          <cell r="E75" t="str">
            <v>29ASMPA8628A1ZS</v>
          </cell>
          <cell r="F75" t="str">
            <v>ASMPA8628A</v>
          </cell>
          <cell r="G75"/>
          <cell r="H75"/>
          <cell r="I75" t="str">
            <v>ashubansal082@gmail.com</v>
          </cell>
          <cell r="J75">
            <v>7026780768</v>
          </cell>
          <cell r="K75" t="str">
            <v>SHRITIRUPATIST</v>
          </cell>
          <cell r="L75" t="str">
            <v>Tirupathi@123</v>
          </cell>
          <cell r="M75"/>
          <cell r="N75"/>
          <cell r="O75"/>
          <cell r="P75"/>
          <cell r="Q75"/>
          <cell r="R75" t="str">
            <v>Direct</v>
          </cell>
        </row>
        <row r="76">
          <cell r="E76" t="str">
            <v>29ABTPG9088J1ZN</v>
          </cell>
          <cell r="F76" t="str">
            <v>ABTPG9088J</v>
          </cell>
          <cell r="G76"/>
          <cell r="H76"/>
          <cell r="I76" t="str">
            <v>bansal.bansal88@gmail.com</v>
          </cell>
          <cell r="J76">
            <v>7899390352</v>
          </cell>
          <cell r="K76" t="str">
            <v>SHRISHYAMST</v>
          </cell>
          <cell r="L76" t="str">
            <v>Force*77</v>
          </cell>
          <cell r="M76"/>
          <cell r="N76"/>
          <cell r="O76"/>
          <cell r="P76"/>
          <cell r="Q76"/>
          <cell r="R76" t="str">
            <v>Direct</v>
          </cell>
        </row>
        <row r="77">
          <cell r="E77" t="str">
            <v>37BMEPK8889G1ZD</v>
          </cell>
          <cell r="F77" t="str">
            <v>BMEPK8889G</v>
          </cell>
          <cell r="G77"/>
          <cell r="H77"/>
          <cell r="I77" t="str">
            <v>maruthidineshkumar@gmail.com</v>
          </cell>
          <cell r="J77">
            <v>9992515139</v>
          </cell>
          <cell r="K77" t="str">
            <v>Bansal1258</v>
          </cell>
          <cell r="L77" t="str">
            <v>Pavanack*123</v>
          </cell>
          <cell r="M77"/>
          <cell r="N77"/>
          <cell r="O77"/>
          <cell r="P77"/>
          <cell r="Q77"/>
          <cell r="R77" t="str">
            <v>Direct</v>
          </cell>
        </row>
        <row r="78">
          <cell r="E78" t="str">
            <v>36AALCA4460E1ZS</v>
          </cell>
          <cell r="F78" t="str">
            <v>AALCA4460E</v>
          </cell>
          <cell r="G78"/>
          <cell r="H78"/>
          <cell r="I78" t="str">
            <v>applesuraido@gmail.com</v>
          </cell>
          <cell r="J78">
            <v>9000010065</v>
          </cell>
          <cell r="K78" t="str">
            <v>applesa66</v>
          </cell>
          <cell r="L78" t="str">
            <v>Apple@2015</v>
          </cell>
          <cell r="M78"/>
          <cell r="N78"/>
          <cell r="O78"/>
          <cell r="P78"/>
          <cell r="Q78"/>
          <cell r="R78" t="str">
            <v>Direct</v>
          </cell>
        </row>
        <row r="79">
          <cell r="E79" t="str">
            <v>29AAKHR7367F1ZJ</v>
          </cell>
          <cell r="F79" t="str">
            <v>AAKHR7367F</v>
          </cell>
          <cell r="G79"/>
          <cell r="H79"/>
          <cell r="I79" t="str">
            <v>rameshkguptahuf@gmail.com</v>
          </cell>
          <cell r="J79">
            <v>9448142633</v>
          </cell>
          <cell r="K79" t="str">
            <v>gurudevimpex07</v>
          </cell>
          <cell r="L79" t="str">
            <v>Pavan-777</v>
          </cell>
          <cell r="M79"/>
          <cell r="N79"/>
          <cell r="O79"/>
          <cell r="P79"/>
          <cell r="Q79"/>
          <cell r="R79" t="str">
            <v>Completed</v>
          </cell>
        </row>
        <row r="80">
          <cell r="E80" t="str">
            <v>29ADDFS4526K1ZP</v>
          </cell>
          <cell r="F80" t="str">
            <v>ADDFS4526K</v>
          </cell>
          <cell r="G80"/>
          <cell r="H80"/>
          <cell r="I80" t="str">
            <v>ankith.chirania@gmail.com</v>
          </cell>
          <cell r="J80">
            <v>9449811012</v>
          </cell>
          <cell r="K80" t="str">
            <v>swastikdev7</v>
          </cell>
          <cell r="L80" t="str">
            <v>Pavan-123</v>
          </cell>
          <cell r="M80"/>
          <cell r="N80"/>
          <cell r="O80"/>
          <cell r="P80"/>
          <cell r="Q80"/>
          <cell r="R80" t="str">
            <v>Completed</v>
          </cell>
        </row>
        <row r="81">
          <cell r="E81" t="str">
            <v>29ABVFS3597A2ZI</v>
          </cell>
          <cell r="F81" t="str">
            <v>ABVFS3597A</v>
          </cell>
          <cell r="G81"/>
          <cell r="H81"/>
          <cell r="I81" t="str">
            <v>slv2engineers@gmail.com</v>
          </cell>
          <cell r="J81">
            <v>9845837476</v>
          </cell>
          <cell r="K81" t="str">
            <v>slvengineers7</v>
          </cell>
          <cell r="L81" t="str">
            <v>Pavanack@77</v>
          </cell>
          <cell r="M81"/>
          <cell r="N81"/>
          <cell r="O81"/>
          <cell r="P81"/>
          <cell r="Q81"/>
          <cell r="R81" t="str">
            <v>Completed</v>
          </cell>
        </row>
        <row r="82">
          <cell r="E82" t="str">
            <v>29AAECP6179N1ZK</v>
          </cell>
          <cell r="F82" t="str">
            <v>AAECP6179N</v>
          </cell>
          <cell r="G82"/>
          <cell r="H82"/>
          <cell r="I82" t="str">
            <v>piplbly@gmail.com</v>
          </cell>
          <cell r="J82">
            <v>9986464604</v>
          </cell>
          <cell r="K82" t="str">
            <v>piplbly2017</v>
          </cell>
          <cell r="L82" t="str">
            <v>*Pavaman01</v>
          </cell>
          <cell r="M82"/>
          <cell r="N82"/>
          <cell r="O82"/>
          <cell r="P82"/>
          <cell r="Q82"/>
          <cell r="R82" t="str">
            <v>Direct</v>
          </cell>
        </row>
        <row r="83">
          <cell r="E83" t="str">
            <v>29AGPPJ0232L1Z6</v>
          </cell>
          <cell r="F83" t="str">
            <v>AGPPJO232L</v>
          </cell>
          <cell r="G83"/>
          <cell r="H83"/>
          <cell r="I83" t="str">
            <v>bansal.bansal88@gmail.com</v>
          </cell>
          <cell r="J83">
            <v>8861950094</v>
          </cell>
          <cell r="K83" t="str">
            <v>BANGALOREAGRO</v>
          </cell>
          <cell r="L83" t="str">
            <v>Pavanack@777</v>
          </cell>
          <cell r="M83"/>
          <cell r="N83"/>
          <cell r="O83"/>
          <cell r="P83"/>
          <cell r="Q83"/>
          <cell r="R83" t="str">
            <v>Direct</v>
          </cell>
        </row>
        <row r="84">
          <cell r="E84" t="str">
            <v>271700622566TRN</v>
          </cell>
          <cell r="F84"/>
          <cell r="G84"/>
          <cell r="H84"/>
          <cell r="I84" t="str">
            <v>fmw.accounts@pkgbank.com</v>
          </cell>
          <cell r="J84">
            <v>9916313676</v>
          </cell>
          <cell r="K84"/>
          <cell r="L84"/>
          <cell r="M84"/>
          <cell r="N84"/>
          <cell r="O84"/>
          <cell r="P84"/>
          <cell r="Q84"/>
          <cell r="R84" t="str">
            <v>Cancelled</v>
          </cell>
        </row>
        <row r="85">
          <cell r="E85" t="str">
            <v>37CZHPM2138M1ZY</v>
          </cell>
          <cell r="F85" t="str">
            <v>CZHPM2138M</v>
          </cell>
          <cell r="G85"/>
          <cell r="H85"/>
          <cell r="I85" t="str">
            <v>mallik2782@gmail.com</v>
          </cell>
          <cell r="J85">
            <v>9550666377</v>
          </cell>
          <cell r="K85" t="str">
            <v>SRIRAGAVEND-82</v>
          </cell>
          <cell r="L85" t="str">
            <v>Pavan*123</v>
          </cell>
          <cell r="M85"/>
          <cell r="N85"/>
          <cell r="O85"/>
          <cell r="P85"/>
          <cell r="Q85"/>
          <cell r="R85" t="str">
            <v>Direct</v>
          </cell>
        </row>
        <row r="86">
          <cell r="E86" t="str">
            <v>29DSGPS3286B1ZF</v>
          </cell>
          <cell r="F86" t="str">
            <v>DSGPS3286B</v>
          </cell>
          <cell r="G86"/>
          <cell r="H86"/>
          <cell r="I86" t="str">
            <v>sslogisticsksiddu@gmail.com</v>
          </cell>
          <cell r="J86">
            <v>9481911542</v>
          </cell>
          <cell r="K86" t="str">
            <v>ssl-12345</v>
          </cell>
          <cell r="L86" t="str">
            <v>Pavan*777</v>
          </cell>
          <cell r="M86"/>
          <cell r="N86"/>
          <cell r="O86"/>
          <cell r="P86"/>
          <cell r="Q86"/>
          <cell r="R86" t="str">
            <v>Direct</v>
          </cell>
        </row>
        <row r="87">
          <cell r="E87" t="str">
            <v>29BFMPK7724M1ZO</v>
          </cell>
          <cell r="F87" t="str">
            <v>BFMPK7724M</v>
          </cell>
          <cell r="G87"/>
          <cell r="H87"/>
          <cell r="I87" t="str">
            <v>kiranreddybly@gmail.com</v>
          </cell>
          <cell r="J87">
            <v>9440585917</v>
          </cell>
          <cell r="K87" t="str">
            <v>kktransport</v>
          </cell>
          <cell r="L87" t="str">
            <v>kktrans@123</v>
          </cell>
          <cell r="M87"/>
          <cell r="N87"/>
          <cell r="O87"/>
          <cell r="P87"/>
          <cell r="Q87"/>
          <cell r="R87" t="str">
            <v>Completed</v>
          </cell>
        </row>
        <row r="88">
          <cell r="E88" t="str">
            <v>36AAKCS1485J1ZX</v>
          </cell>
          <cell r="F88" t="str">
            <v>AAKCS1485J</v>
          </cell>
          <cell r="G88"/>
          <cell r="H88"/>
          <cell r="I88" t="str">
            <v>accounts@ssvbuilders.co.in</v>
          </cell>
          <cell r="J88">
            <v>9703299329</v>
          </cell>
          <cell r="K88" t="str">
            <v>ssvprojectstg7</v>
          </cell>
          <cell r="L88" t="str">
            <v>Pavan*2021</v>
          </cell>
          <cell r="M88"/>
          <cell r="N88"/>
          <cell r="O88"/>
          <cell r="P88"/>
          <cell r="Q88"/>
          <cell r="R88" t="str">
            <v>Completed</v>
          </cell>
        </row>
        <row r="89">
          <cell r="E89" t="str">
            <v>291700000145GPQ</v>
          </cell>
          <cell r="F89"/>
          <cell r="G89"/>
          <cell r="H89"/>
          <cell r="I89" t="str">
            <v>pavankhivesra@hotmail.com</v>
          </cell>
          <cell r="J89"/>
          <cell r="K89" t="str">
            <v>pjscoingst7</v>
          </cell>
          <cell r="L89" t="str">
            <v>Pavanack@77</v>
          </cell>
          <cell r="M89"/>
          <cell r="N89"/>
          <cell r="O89"/>
          <cell r="P89"/>
          <cell r="Q89"/>
          <cell r="R89" t="str">
            <v>Completed</v>
          </cell>
        </row>
        <row r="90">
          <cell r="E90" t="str">
            <v>29ADNFS7100D1Z2</v>
          </cell>
          <cell r="F90" t="str">
            <v>ADNFS7100D</v>
          </cell>
          <cell r="G90"/>
          <cell r="H90"/>
          <cell r="I90" t="str">
            <v>saipavanispat@gmail.com</v>
          </cell>
          <cell r="J90">
            <v>9964411111</v>
          </cell>
          <cell r="K90" t="str">
            <v>saipavanispat</v>
          </cell>
          <cell r="L90" t="str">
            <v>Pavanack@123</v>
          </cell>
          <cell r="M90"/>
          <cell r="N90"/>
          <cell r="O90"/>
          <cell r="P90"/>
          <cell r="Q90"/>
          <cell r="R90" t="str">
            <v>Completed</v>
          </cell>
        </row>
        <row r="91">
          <cell r="E91" t="str">
            <v>29EHWPM8833C1ZM</v>
          </cell>
          <cell r="F91" t="str">
            <v>EHWPM8833C</v>
          </cell>
          <cell r="G91"/>
          <cell r="H91"/>
          <cell r="I91" t="str">
            <v>nawazmsm@gmail.com</v>
          </cell>
          <cell r="J91">
            <v>9902490838</v>
          </cell>
          <cell r="K91" t="str">
            <v>NAWAZ2018</v>
          </cell>
          <cell r="L91" t="str">
            <v>Nawaz123#</v>
          </cell>
          <cell r="M91"/>
          <cell r="N91"/>
          <cell r="O91"/>
          <cell r="P91"/>
          <cell r="Q91"/>
          <cell r="R91" t="str">
            <v>Completed</v>
          </cell>
        </row>
        <row r="92">
          <cell r="E92" t="str">
            <v>29AQIPN4299E1ZC</v>
          </cell>
          <cell r="F92" t="str">
            <v>AQIPN4299E</v>
          </cell>
          <cell r="G92"/>
          <cell r="H92"/>
          <cell r="I92" t="str">
            <v>nagi.4081@gmail.com</v>
          </cell>
          <cell r="J92">
            <v>9449984144</v>
          </cell>
          <cell r="K92" t="str">
            <v>shminerals</v>
          </cell>
          <cell r="L92" t="str">
            <v>Pavan*2021</v>
          </cell>
          <cell r="M92"/>
          <cell r="N92"/>
          <cell r="O92"/>
          <cell r="P92"/>
          <cell r="Q92"/>
          <cell r="R92" t="str">
            <v>Completed</v>
          </cell>
        </row>
        <row r="93">
          <cell r="E93" t="str">
            <v>29AHFPA3114R1Z8</v>
          </cell>
          <cell r="F93" t="str">
            <v>AHFPA3114R</v>
          </cell>
          <cell r="G93"/>
          <cell r="H93"/>
          <cell r="I93" t="str">
            <v>eagamsanthosh@gmail.com</v>
          </cell>
          <cell r="J93">
            <v>9740100294</v>
          </cell>
          <cell r="K93" t="str">
            <v>shaikanwar7</v>
          </cell>
          <cell r="L93" t="str">
            <v>Pavan-777</v>
          </cell>
          <cell r="M93"/>
          <cell r="N93"/>
          <cell r="O93"/>
          <cell r="P93"/>
          <cell r="Q93"/>
          <cell r="R93" t="str">
            <v>Completed</v>
          </cell>
        </row>
        <row r="94">
          <cell r="E94" t="str">
            <v>36ADOFS7004F1ZZ</v>
          </cell>
          <cell r="F94" t="str">
            <v>ADOFS7004F</v>
          </cell>
          <cell r="G94"/>
          <cell r="H94"/>
          <cell r="I94" t="str">
            <v>shreehanumantradentllp@gmail.com</v>
          </cell>
          <cell r="J94">
            <v>9482609783</v>
          </cell>
          <cell r="K94" t="str">
            <v>hanumanllp7</v>
          </cell>
          <cell r="L94" t="str">
            <v>Hanuman@12345</v>
          </cell>
          <cell r="M94"/>
          <cell r="N94"/>
          <cell r="O94"/>
          <cell r="P94"/>
          <cell r="Q94"/>
          <cell r="R94" t="str">
            <v>Completed</v>
          </cell>
        </row>
        <row r="95">
          <cell r="E95"/>
          <cell r="F95"/>
          <cell r="G95"/>
          <cell r="H95"/>
          <cell r="I95"/>
          <cell r="J95">
            <v>8892382502</v>
          </cell>
          <cell r="K95" t="str">
            <v>RAMANAENTP1</v>
          </cell>
          <cell r="L95" t="str">
            <v>Bly@490123</v>
          </cell>
          <cell r="M95"/>
          <cell r="N95"/>
          <cell r="O95"/>
          <cell r="P95"/>
          <cell r="Q95"/>
          <cell r="R95" t="str">
            <v>Direct</v>
          </cell>
        </row>
        <row r="96">
          <cell r="E96" t="str">
            <v>29AAZFM1192J1ZH</v>
          </cell>
          <cell r="F96" t="str">
            <v>AAZFM1192J</v>
          </cell>
          <cell r="G96"/>
          <cell r="H96"/>
          <cell r="I96" t="str">
            <v>sanjay.tater@maverickprojects.in</v>
          </cell>
          <cell r="J96">
            <v>9448721590</v>
          </cell>
          <cell r="K96" t="str">
            <v>maverick999</v>
          </cell>
          <cell r="L96" t="str">
            <v>Maverick*77</v>
          </cell>
          <cell r="M96"/>
          <cell r="N96"/>
          <cell r="O96"/>
          <cell r="P96"/>
          <cell r="Q96"/>
          <cell r="R96" t="str">
            <v>Direct</v>
          </cell>
        </row>
        <row r="97">
          <cell r="E97"/>
          <cell r="F97" t="str">
            <v>CHTPK0144D</v>
          </cell>
          <cell r="G97"/>
          <cell r="H97"/>
          <cell r="I97" t="str">
            <v>ahmineralsbellary@gmail.com</v>
          </cell>
          <cell r="J97">
            <v>9972932613</v>
          </cell>
          <cell r="K97"/>
          <cell r="L97" t="str">
            <v>Rkent@123</v>
          </cell>
          <cell r="M97"/>
          <cell r="N97"/>
          <cell r="O97"/>
          <cell r="P97"/>
          <cell r="Q97"/>
          <cell r="R97" t="str">
            <v>NA</v>
          </cell>
        </row>
        <row r="98">
          <cell r="E98" t="str">
            <v>29ADFFS2552K1ZP</v>
          </cell>
          <cell r="F98" t="str">
            <v>ADFFS2552K</v>
          </cell>
          <cell r="G98"/>
          <cell r="H98"/>
          <cell r="I98" t="str">
            <v xml:space="preserve"> teekaiah05121967@gmail.com</v>
          </cell>
          <cell r="J98">
            <v>9480570157</v>
          </cell>
          <cell r="K98" t="str">
            <v>PRIYA_SEEDS</v>
          </cell>
          <cell r="L98" t="str">
            <v>Pavanack!123</v>
          </cell>
          <cell r="M98"/>
          <cell r="N98"/>
          <cell r="O98"/>
          <cell r="P98"/>
          <cell r="Q98"/>
          <cell r="R98" t="str">
            <v>Direct</v>
          </cell>
        </row>
        <row r="99">
          <cell r="E99" t="str">
            <v>29AALCS8924R2Z4</v>
          </cell>
          <cell r="F99" t="str">
            <v>AALCS8924R</v>
          </cell>
          <cell r="G99"/>
          <cell r="H99"/>
          <cell r="I99" t="str">
            <v>srisubramanyaspongeironpvtltd@gmail.com</v>
          </cell>
          <cell r="J99">
            <v>9972932613</v>
          </cell>
          <cell r="K99" t="str">
            <v>subramanya7</v>
          </cell>
          <cell r="L99" t="str">
            <v>Hanuman@2015</v>
          </cell>
          <cell r="M99"/>
          <cell r="N99"/>
          <cell r="O99"/>
          <cell r="P99"/>
          <cell r="Q99"/>
          <cell r="R99" t="str">
            <v>Completed</v>
          </cell>
        </row>
        <row r="100">
          <cell r="E100" t="str">
            <v>29AOOPS9129Q1ZL</v>
          </cell>
          <cell r="F100" t="str">
            <v>AOOPS9129Q</v>
          </cell>
          <cell r="G100"/>
          <cell r="H100"/>
          <cell r="I100" t="str">
            <v>sachinjain475@gmail.com</v>
          </cell>
          <cell r="J100">
            <v>8792124460</v>
          </cell>
          <cell r="K100" t="str">
            <v>tarachand7</v>
          </cell>
          <cell r="L100" t="str">
            <v>Pavanack@7</v>
          </cell>
          <cell r="M100"/>
          <cell r="N100"/>
          <cell r="O100"/>
          <cell r="P100"/>
          <cell r="Q100"/>
          <cell r="R100" t="str">
            <v>Completed</v>
          </cell>
        </row>
        <row r="101">
          <cell r="E101" t="str">
            <v>29ABKFA7846F1Z2</v>
          </cell>
          <cell r="F101" t="str">
            <v>ABKFA7846F</v>
          </cell>
          <cell r="G101"/>
          <cell r="H101"/>
          <cell r="I101"/>
          <cell r="J101"/>
          <cell r="K101" t="str">
            <v>AMBEMETALSPART</v>
          </cell>
          <cell r="L101" t="str">
            <v>Ambe#2018</v>
          </cell>
          <cell r="M101"/>
          <cell r="N101"/>
          <cell r="O101"/>
          <cell r="P101"/>
          <cell r="Q101"/>
          <cell r="R101" t="str">
            <v>Direct</v>
          </cell>
        </row>
        <row r="102">
          <cell r="E102" t="str">
            <v>29ABJPR1080P1ZY</v>
          </cell>
          <cell r="F102" t="str">
            <v>ABJPR1080P</v>
          </cell>
          <cell r="G102"/>
          <cell r="H102"/>
          <cell r="I102" t="str">
            <v xml:space="preserve"> priyaagenciesbly@gmail.com</v>
          </cell>
          <cell r="J102">
            <v>9448077507</v>
          </cell>
          <cell r="K102" t="str">
            <v>PA_77507</v>
          </cell>
          <cell r="L102" t="str">
            <v>Pavan@123</v>
          </cell>
          <cell r="M102"/>
          <cell r="N102"/>
          <cell r="O102"/>
          <cell r="P102"/>
          <cell r="Q102"/>
          <cell r="R102" t="str">
            <v>Direct</v>
          </cell>
        </row>
        <row r="103">
          <cell r="E103" t="str">
            <v>29AJYPV5963G1Z1</v>
          </cell>
          <cell r="F103" t="str">
            <v>AJYPV5963G</v>
          </cell>
          <cell r="G103"/>
          <cell r="H103"/>
          <cell r="I103" t="str">
            <v>sriratandeepenterprises@gmail.com</v>
          </cell>
          <cell r="J103"/>
          <cell r="K103" t="str">
            <v>mukesh.490</v>
          </cell>
          <cell r="L103" t="str">
            <v>Pavan*123</v>
          </cell>
          <cell r="M103"/>
          <cell r="N103"/>
          <cell r="O103"/>
          <cell r="P103"/>
          <cell r="Q103"/>
          <cell r="R103" t="str">
            <v>Direct</v>
          </cell>
        </row>
        <row r="104">
          <cell r="E104" t="str">
            <v>29AAPHM8975F1ZB</v>
          </cell>
          <cell r="F104" t="str">
            <v>AAPHM8975F</v>
          </cell>
          <cell r="G104"/>
          <cell r="H104"/>
          <cell r="I104" t="str">
            <v>dananthbabu@yahoo.in</v>
          </cell>
          <cell r="J104">
            <v>9538460814</v>
          </cell>
          <cell r="K104" t="str">
            <v>stlbly_2017</v>
          </cell>
          <cell r="L104" t="str">
            <v>Pavan*777</v>
          </cell>
          <cell r="M104"/>
          <cell r="N104"/>
          <cell r="O104"/>
          <cell r="P104"/>
          <cell r="Q104"/>
          <cell r="R104" t="str">
            <v>Direct</v>
          </cell>
        </row>
        <row r="105">
          <cell r="E105" t="str">
            <v>29AAWFR4979F1Z7</v>
          </cell>
          <cell r="F105" t="str">
            <v>AAWFR4979F</v>
          </cell>
          <cell r="G105"/>
          <cell r="H105"/>
          <cell r="I105" t="str">
            <v>venubly@gmail.com</v>
          </cell>
          <cell r="J105">
            <v>9845213804</v>
          </cell>
          <cell r="K105" t="str">
            <v>Rani_Ent</v>
          </cell>
          <cell r="L105" t="str">
            <v>Pavanack*777</v>
          </cell>
          <cell r="M105"/>
          <cell r="N105"/>
          <cell r="O105"/>
          <cell r="P105"/>
          <cell r="Q105"/>
          <cell r="R105" t="str">
            <v>Direct</v>
          </cell>
        </row>
        <row r="106">
          <cell r="E106" t="str">
            <v>29ABJFM1701A1ZR</v>
          </cell>
          <cell r="F106" t="str">
            <v>ABJFM1701A</v>
          </cell>
          <cell r="G106"/>
          <cell r="H106"/>
          <cell r="I106" t="str">
            <v>mahrishimnrls@gmail.com</v>
          </cell>
          <cell r="J106">
            <v>9611547861</v>
          </cell>
          <cell r="K106" t="str">
            <v>mahrishi7</v>
          </cell>
          <cell r="L106" t="str">
            <v>Pavan-789</v>
          </cell>
          <cell r="M106"/>
          <cell r="N106"/>
          <cell r="O106"/>
          <cell r="P106"/>
          <cell r="Q106"/>
          <cell r="R106" t="str">
            <v>Completed</v>
          </cell>
        </row>
        <row r="107">
          <cell r="E107" t="str">
            <v>29AAPFN6982R1ZU</v>
          </cell>
          <cell r="F107" t="str">
            <v>AAPFN6982R</v>
          </cell>
          <cell r="G107"/>
          <cell r="H107"/>
          <cell r="I107" t="str">
            <v>ammadu.555@gmail.com</v>
          </cell>
          <cell r="J107">
            <v>9448002234</v>
          </cell>
          <cell r="K107" t="str">
            <v>neerav07</v>
          </cell>
          <cell r="L107" t="str">
            <v>Pavanack@7</v>
          </cell>
          <cell r="M107"/>
          <cell r="N107"/>
          <cell r="O107"/>
          <cell r="P107"/>
          <cell r="Q107"/>
          <cell r="R107" t="str">
            <v>Completed</v>
          </cell>
        </row>
        <row r="108">
          <cell r="E108" t="str">
            <v>29AANFT9774F1ZB</v>
          </cell>
          <cell r="F108" t="str">
            <v>AANFT9774F</v>
          </cell>
          <cell r="G108"/>
          <cell r="H108"/>
          <cell r="I108" t="str">
            <v>internationaltrim@gmail.com</v>
          </cell>
          <cell r="J108">
            <v>9243210820</v>
          </cell>
          <cell r="K108" t="str">
            <v>trimint7</v>
          </cell>
          <cell r="L108" t="str">
            <v>Pavan*777</v>
          </cell>
          <cell r="M108"/>
          <cell r="N108"/>
          <cell r="O108"/>
          <cell r="P108"/>
          <cell r="Q108"/>
          <cell r="R108" t="str">
            <v>Completed</v>
          </cell>
        </row>
        <row r="109">
          <cell r="E109" t="str">
            <v>29BOMPR2669B2ZI</v>
          </cell>
          <cell r="F109" t="str">
            <v>BOMPR2669B</v>
          </cell>
          <cell r="G109"/>
          <cell r="H109"/>
          <cell r="I109" t="str">
            <v>ravindrayadav70962@gmail.com</v>
          </cell>
          <cell r="J109">
            <v>9949029262</v>
          </cell>
          <cell r="K109" t="str">
            <v>ravindrayadav7</v>
          </cell>
          <cell r="L109" t="str">
            <v>Rkent@123</v>
          </cell>
          <cell r="M109"/>
          <cell r="N109"/>
          <cell r="O109"/>
          <cell r="P109"/>
          <cell r="Q109"/>
          <cell r="R109" t="str">
            <v>Completed</v>
          </cell>
        </row>
        <row r="110">
          <cell r="E110" t="str">
            <v>37AYRPG6255C1Z9</v>
          </cell>
          <cell r="F110" t="str">
            <v>AYRPG6255C</v>
          </cell>
          <cell r="G110"/>
          <cell r="H110"/>
          <cell r="I110" t="str">
            <v>babyplanetap@gmail.com</v>
          </cell>
          <cell r="J110">
            <v>8074872221</v>
          </cell>
          <cell r="K110" t="str">
            <v>babyplanet7</v>
          </cell>
          <cell r="L110" t="str">
            <v>Pavanack@7</v>
          </cell>
          <cell r="M110"/>
          <cell r="N110"/>
          <cell r="O110"/>
          <cell r="P110"/>
          <cell r="Q110"/>
          <cell r="R110" t="str">
            <v>Completed</v>
          </cell>
        </row>
        <row r="111">
          <cell r="E111" t="str">
            <v>29AATFK8350N1ZB</v>
          </cell>
          <cell r="F111" t="str">
            <v>AATFK8350N</v>
          </cell>
          <cell r="G111"/>
          <cell r="H111"/>
          <cell r="I111" t="str">
            <v>gopi.amara@gmail.com</v>
          </cell>
          <cell r="J111">
            <v>9886063855</v>
          </cell>
          <cell r="K111" t="str">
            <v>kisanagri7</v>
          </cell>
          <cell r="L111" t="str">
            <v>Kisan-777</v>
          </cell>
          <cell r="M111"/>
          <cell r="N111"/>
          <cell r="O111"/>
          <cell r="P111"/>
          <cell r="Q111"/>
          <cell r="R111" t="str">
            <v>Completed</v>
          </cell>
        </row>
        <row r="112">
          <cell r="E112" t="str">
            <v>29AUKPS0061P1ZY</v>
          </cell>
          <cell r="F112" t="str">
            <v>AUKPS0061P</v>
          </cell>
          <cell r="G112"/>
          <cell r="H112"/>
          <cell r="I112" t="str">
            <v>bijnan123@gmail.com</v>
          </cell>
          <cell r="J112">
            <v>9618717570</v>
          </cell>
          <cell r="K112" t="str">
            <v>panchanan7</v>
          </cell>
          <cell r="L112" t="str">
            <v>Panchanan@7</v>
          </cell>
          <cell r="M112"/>
          <cell r="N112"/>
          <cell r="O112"/>
          <cell r="P112"/>
          <cell r="Q112"/>
          <cell r="R112" t="str">
            <v>Completed</v>
          </cell>
        </row>
        <row r="113">
          <cell r="E113" t="str">
            <v>29AACAP6984D1DF</v>
          </cell>
          <cell r="F113" t="str">
            <v>AACPA6984D</v>
          </cell>
          <cell r="G113"/>
          <cell r="H113"/>
          <cell r="I113" t="str">
            <v>fmw.accounts@pkgbank.com</v>
          </cell>
          <cell r="J113">
            <v>9986668324</v>
          </cell>
          <cell r="K113" t="str">
            <v>PKGBTDS7</v>
          </cell>
          <cell r="L113" t="str">
            <v>Pavan-777</v>
          </cell>
          <cell r="M113"/>
          <cell r="N113"/>
          <cell r="O113"/>
          <cell r="P113"/>
          <cell r="Q113"/>
          <cell r="R113" t="str">
            <v>Completed</v>
          </cell>
        </row>
        <row r="114">
          <cell r="E114" t="str">
            <v>29ADUFS1780Q1ZU</v>
          </cell>
          <cell r="F114" t="str">
            <v>ADUFS1780Q</v>
          </cell>
          <cell r="G114"/>
          <cell r="H114"/>
          <cell r="I114" t="str">
            <v>saipavanricemill@gmail.com</v>
          </cell>
          <cell r="J114">
            <v>9986464604</v>
          </cell>
          <cell r="K114" t="str">
            <v>sprm_9999</v>
          </cell>
          <cell r="L114" t="str">
            <v>Sprm@9999</v>
          </cell>
          <cell r="M114"/>
          <cell r="N114"/>
          <cell r="O114"/>
          <cell r="P114"/>
          <cell r="Q114"/>
          <cell r="R114" t="str">
            <v>Completed</v>
          </cell>
        </row>
        <row r="115"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 t="str">
            <v>Pending</v>
          </cell>
        </row>
        <row r="116">
          <cell r="E116" t="str">
            <v>33AAGCA5445A1Z8</v>
          </cell>
          <cell r="F116" t="str">
            <v>AAGCA5445A</v>
          </cell>
          <cell r="G116"/>
          <cell r="H116"/>
          <cell r="I116" t="str">
            <v>info@abcontech.com</v>
          </cell>
          <cell r="J116">
            <v>9845941454</v>
          </cell>
          <cell r="K116" t="str">
            <v>abcontech07</v>
          </cell>
          <cell r="L116" t="str">
            <v>Pavanack@77</v>
          </cell>
          <cell r="M116"/>
          <cell r="N116"/>
          <cell r="O116"/>
          <cell r="P116"/>
          <cell r="Q116"/>
          <cell r="R116" t="str">
            <v>Completed</v>
          </cell>
        </row>
        <row r="117">
          <cell r="E117" t="str">
            <v>37BWRPS1342H1Z4</v>
          </cell>
          <cell r="F117" t="str">
            <v>BWRPS1342H</v>
          </cell>
          <cell r="G117"/>
          <cell r="H117"/>
          <cell r="I117" t="str">
            <v>santhoshinfraprojects@gmai.com</v>
          </cell>
          <cell r="J117">
            <v>9449578687</v>
          </cell>
          <cell r="K117" t="str">
            <v>santhoshinfra7</v>
          </cell>
          <cell r="L117" t="str">
            <v>Pavan@777</v>
          </cell>
          <cell r="M117"/>
          <cell r="N117"/>
          <cell r="O117"/>
          <cell r="P117"/>
          <cell r="Q117"/>
          <cell r="R117" t="str">
            <v>Completed</v>
          </cell>
        </row>
        <row r="118">
          <cell r="E118" t="str">
            <v>36ADVFS2059M1Z8</v>
          </cell>
          <cell r="F118" t="str">
            <v>ADVFS2059M</v>
          </cell>
          <cell r="G118"/>
          <cell r="H118"/>
          <cell r="I118" t="str">
            <v>shashi.impex18@gmail.com</v>
          </cell>
          <cell r="J118">
            <v>9866790981</v>
          </cell>
          <cell r="K118" t="str">
            <v>shashi07</v>
          </cell>
          <cell r="L118" t="str">
            <v>Pavan*777</v>
          </cell>
          <cell r="M118"/>
          <cell r="N118"/>
          <cell r="O118"/>
          <cell r="P118"/>
          <cell r="Q118"/>
          <cell r="R118" t="str">
            <v>Completed</v>
          </cell>
        </row>
        <row r="119">
          <cell r="E119" t="str">
            <v>29AKBPG3595P1ZI</v>
          </cell>
          <cell r="F119" t="str">
            <v>AKBPG3595P</v>
          </cell>
          <cell r="G119"/>
          <cell r="H119"/>
          <cell r="I119" t="str">
            <v>annapoorna.cgouda@gmail.com</v>
          </cell>
          <cell r="J119">
            <v>8861506605</v>
          </cell>
          <cell r="K119" t="str">
            <v>pruthvik7</v>
          </cell>
          <cell r="L119" t="str">
            <v>Pavanack@7</v>
          </cell>
          <cell r="M119"/>
          <cell r="N119"/>
          <cell r="O119"/>
          <cell r="P119"/>
          <cell r="Q119"/>
          <cell r="R119" t="str">
            <v>Completed</v>
          </cell>
        </row>
        <row r="120">
          <cell r="E120" t="str">
            <v>29CKMPS0301Q2ZK</v>
          </cell>
          <cell r="F120" t="str">
            <v>CKMPS0301Q</v>
          </cell>
          <cell r="G120">
            <v>43489</v>
          </cell>
          <cell r="H120"/>
          <cell r="I120" t="str">
            <v>shijudepl@gmail.com</v>
          </cell>
          <cell r="J120">
            <v>9482940150</v>
          </cell>
          <cell r="K120" t="str">
            <v>dioneeng07</v>
          </cell>
          <cell r="L120" t="str">
            <v>Pavan*777</v>
          </cell>
          <cell r="M120"/>
          <cell r="N120"/>
          <cell r="O120"/>
          <cell r="P120"/>
          <cell r="Q120"/>
          <cell r="R120" t="str">
            <v>Completed</v>
          </cell>
        </row>
        <row r="121">
          <cell r="E121" t="str">
            <v>37AMCPK8672Q1Z6</v>
          </cell>
          <cell r="F121" t="str">
            <v>AMCPK8672Q</v>
          </cell>
          <cell r="G121"/>
          <cell r="H121"/>
          <cell r="I121" t="str">
            <v>aggarwalmetals.2019@gmail.com</v>
          </cell>
          <cell r="J121">
            <v>9000010067</v>
          </cell>
          <cell r="K121" t="str">
            <v>aggarwalmetals7</v>
          </cell>
          <cell r="L121" t="str">
            <v>Pavanack*777</v>
          </cell>
          <cell r="M121"/>
          <cell r="N121"/>
          <cell r="O121"/>
          <cell r="P121"/>
          <cell r="Q121"/>
          <cell r="R121" t="str">
            <v>Applied</v>
          </cell>
        </row>
        <row r="122">
          <cell r="E122" t="str">
            <v>37ADWFS0347P1Z4</v>
          </cell>
          <cell r="F122" t="str">
            <v>ADWFS0347P</v>
          </cell>
          <cell r="G122"/>
          <cell r="H122"/>
          <cell r="I122" t="str">
            <v>surajmetals2019@gmail.com</v>
          </cell>
          <cell r="J122">
            <v>9000010063</v>
          </cell>
          <cell r="K122" t="str">
            <v>surajmetals2019</v>
          </cell>
          <cell r="L122" t="str">
            <v>Suraj@2019</v>
          </cell>
          <cell r="M122"/>
          <cell r="N122"/>
          <cell r="O122"/>
          <cell r="P122"/>
          <cell r="Q122"/>
          <cell r="R122"/>
        </row>
        <row r="123">
          <cell r="E123" t="str">
            <v>29ADWFS8075J1ZW</v>
          </cell>
          <cell r="F123" t="str">
            <v>ADWFS8075J</v>
          </cell>
          <cell r="G123">
            <v>43570</v>
          </cell>
          <cell r="H123"/>
          <cell r="I123" t="str">
            <v>SHREEASTALAXMITRADERS@GMAIL.COM</v>
          </cell>
          <cell r="J123">
            <v>6361711123</v>
          </cell>
          <cell r="K123" t="str">
            <v>SHREEASTA2019</v>
          </cell>
          <cell r="L123" t="str">
            <v>Gst@2019</v>
          </cell>
          <cell r="M123"/>
          <cell r="N123"/>
          <cell r="O123"/>
          <cell r="P123"/>
          <cell r="Q123"/>
          <cell r="R123"/>
        </row>
        <row r="124">
          <cell r="E124" t="str">
            <v>29AAOFT8806D1ZR</v>
          </cell>
          <cell r="F124" t="str">
            <v>AAOFT8806D</v>
          </cell>
          <cell r="G124">
            <v>39918</v>
          </cell>
          <cell r="H124"/>
          <cell r="I124" t="str">
            <v>thanushmarketing@gmail.com</v>
          </cell>
          <cell r="J124">
            <v>9686616943</v>
          </cell>
          <cell r="K124" t="str">
            <v>thanush7</v>
          </cell>
          <cell r="L124" t="str">
            <v>Pavan-123</v>
          </cell>
          <cell r="M124"/>
          <cell r="N124"/>
          <cell r="O124"/>
          <cell r="P124"/>
          <cell r="Q124"/>
          <cell r="R124"/>
        </row>
        <row r="125">
          <cell r="E125" t="str">
            <v>29AAGAK4198N1ZS</v>
          </cell>
          <cell r="F125" t="str">
            <v>AAGAK4198N</v>
          </cell>
          <cell r="G125">
            <v>43565</v>
          </cell>
          <cell r="H125"/>
          <cell r="I125" t="str">
            <v>fmw.accounts@pkgb.com</v>
          </cell>
          <cell r="J125">
            <v>9916313676</v>
          </cell>
          <cell r="K125" t="str">
            <v>kagb.10500</v>
          </cell>
          <cell r="L125" t="str">
            <v>Kgb@2020</v>
          </cell>
          <cell r="M125"/>
          <cell r="N125"/>
          <cell r="O125"/>
          <cell r="P125"/>
          <cell r="Q125"/>
          <cell r="R125"/>
        </row>
        <row r="126">
          <cell r="E126" t="str">
            <v>29AAGAK4198N1D1</v>
          </cell>
          <cell r="F126" t="str">
            <v>AAGAK4198N</v>
          </cell>
          <cell r="G126">
            <v>43568</v>
          </cell>
          <cell r="H126"/>
          <cell r="I126" t="str">
            <v>gstcell@pkgbank.com</v>
          </cell>
          <cell r="J126">
            <v>9986668324</v>
          </cell>
          <cell r="K126" t="str">
            <v>kgbtds07</v>
          </cell>
          <cell r="L126" t="str">
            <v>Pavanack*777</v>
          </cell>
          <cell r="M126"/>
          <cell r="N126"/>
          <cell r="O126"/>
          <cell r="P126"/>
          <cell r="Q126"/>
          <cell r="R126"/>
        </row>
        <row r="127">
          <cell r="E127" t="str">
            <v>37AAKCA9053A1ZS</v>
          </cell>
          <cell r="F127" t="str">
            <v>AAKCA9053A</v>
          </cell>
          <cell r="G127"/>
          <cell r="H127"/>
          <cell r="I127" t="str">
            <v>accountsalloys@aonesteelgroup.com</v>
          </cell>
          <cell r="J127">
            <v>9740277707</v>
          </cell>
          <cell r="K127"/>
          <cell r="L127"/>
          <cell r="M127"/>
          <cell r="N127"/>
          <cell r="O127"/>
          <cell r="P127"/>
          <cell r="Q127"/>
          <cell r="R127"/>
        </row>
        <row r="128">
          <cell r="E128" t="str">
            <v>29AIWPT3192N1ZZ</v>
          </cell>
          <cell r="F128" t="str">
            <v>AIWPT3192N</v>
          </cell>
          <cell r="G128"/>
          <cell r="H128"/>
          <cell r="I128"/>
          <cell r="J128"/>
          <cell r="K128" t="str">
            <v>Ambica192</v>
          </cell>
          <cell r="L128" t="str">
            <v>Pavan*123</v>
          </cell>
          <cell r="M128"/>
          <cell r="N128"/>
          <cell r="O128"/>
          <cell r="P128"/>
          <cell r="Q128"/>
          <cell r="R128"/>
        </row>
        <row r="129">
          <cell r="E129" t="str">
            <v>29ABKFS3764L2ZD</v>
          </cell>
          <cell r="F129" t="str">
            <v>ABKFS3764L</v>
          </cell>
          <cell r="G129"/>
          <cell r="H129"/>
          <cell r="I129" t="str">
            <v>gavisiddeshwara.mines@gmail.com</v>
          </cell>
          <cell r="J129">
            <v>9606798899</v>
          </cell>
          <cell r="K129" t="str">
            <v>gavisiddesh07</v>
          </cell>
          <cell r="L129" t="str">
            <v>Pavanack@123</v>
          </cell>
          <cell r="M129"/>
          <cell r="N129"/>
          <cell r="O129"/>
          <cell r="P129"/>
          <cell r="Q129" t="str">
            <v>Applied</v>
          </cell>
          <cell r="R129"/>
        </row>
        <row r="130">
          <cell r="E130" t="str">
            <v>29ADAFS3576J1ZM</v>
          </cell>
          <cell r="F130" t="str">
            <v>ADAFS3576J</v>
          </cell>
          <cell r="G130"/>
          <cell r="H130"/>
          <cell r="I130" t="str">
            <v>kailaskkripa@gmail.com</v>
          </cell>
          <cell r="J130">
            <v>9845446943</v>
          </cell>
          <cell r="K130" t="str">
            <v>Sriharis_llp</v>
          </cell>
          <cell r="L130" t="str">
            <v>Pavanack*789</v>
          </cell>
          <cell r="M130"/>
          <cell r="N130"/>
          <cell r="O130"/>
          <cell r="P130"/>
          <cell r="Q130"/>
          <cell r="R130"/>
        </row>
        <row r="131">
          <cell r="E131" t="str">
            <v>36AAGCA5445A1Z2</v>
          </cell>
          <cell r="F131" t="str">
            <v>AAGCA5445A</v>
          </cell>
          <cell r="G131">
            <v>43770</v>
          </cell>
          <cell r="H131"/>
          <cell r="I131" t="str">
            <v>admin@abcontech.com</v>
          </cell>
          <cell r="J131">
            <v>9632117888</v>
          </cell>
          <cell r="K131" t="str">
            <v>abcontg2019</v>
          </cell>
          <cell r="L131" t="str">
            <v>Pavan*777</v>
          </cell>
          <cell r="M131"/>
          <cell r="N131"/>
          <cell r="O131"/>
          <cell r="P131"/>
          <cell r="Q131"/>
          <cell r="R131"/>
        </row>
        <row r="132">
          <cell r="E132" t="str">
            <v>36BAQPS3313B1ZT</v>
          </cell>
          <cell r="F132" t="str">
            <v>BAQPS3313B</v>
          </cell>
          <cell r="G132"/>
          <cell r="H132"/>
          <cell r="I132" t="str">
            <v>sktradersandlogistics39@gmail.com</v>
          </cell>
          <cell r="J132">
            <v>7903946261</v>
          </cell>
          <cell r="K132" t="str">
            <v>sktraders490</v>
          </cell>
          <cell r="L132" t="str">
            <v>Pavan*777</v>
          </cell>
          <cell r="M132"/>
          <cell r="N132"/>
          <cell r="O132"/>
          <cell r="P132"/>
          <cell r="Q132"/>
          <cell r="R132"/>
        </row>
        <row r="133">
          <cell r="E133" t="str">
            <v>36CHTPK0144D1ZG</v>
          </cell>
          <cell r="F133" t="str">
            <v>CHTPK0144D</v>
          </cell>
          <cell r="G133"/>
          <cell r="H133"/>
          <cell r="I133" t="str">
            <v>ahmineralsbellary@gmail.com</v>
          </cell>
          <cell r="J133">
            <v>9308188812</v>
          </cell>
          <cell r="K133" t="str">
            <v>sandhya495</v>
          </cell>
          <cell r="L133" t="str">
            <v>Pavan*777</v>
          </cell>
          <cell r="M133"/>
          <cell r="N133"/>
          <cell r="O133"/>
          <cell r="P133"/>
          <cell r="Q133"/>
          <cell r="R133"/>
        </row>
        <row r="134">
          <cell r="E134" t="str">
            <v>37ADSFS2337R1Z2</v>
          </cell>
          <cell r="F134" t="str">
            <v>ADSFS2337R</v>
          </cell>
          <cell r="G134"/>
          <cell r="H134"/>
          <cell r="I134"/>
          <cell r="J134"/>
          <cell r="K134" t="str">
            <v>KRISHNAMETAL21</v>
          </cell>
          <cell r="L134" t="str">
            <v>Pavan*123</v>
          </cell>
          <cell r="M134"/>
          <cell r="N134"/>
          <cell r="O134"/>
          <cell r="P134"/>
          <cell r="Q134"/>
          <cell r="R134"/>
        </row>
        <row r="135">
          <cell r="E135"/>
          <cell r="F135" t="str">
            <v>AEDFS2331B</v>
          </cell>
          <cell r="G135"/>
          <cell r="H135"/>
          <cell r="I135" t="str">
            <v>kubera.hrg@gmail.com</v>
          </cell>
          <cell r="J135">
            <v>9901637718</v>
          </cell>
          <cell r="K135" t="str">
            <v>rangamandir7</v>
          </cell>
          <cell r="L135" t="str">
            <v>Pavanack@7</v>
          </cell>
          <cell r="M135"/>
          <cell r="N135"/>
          <cell r="O135"/>
          <cell r="P135"/>
          <cell r="Q135"/>
          <cell r="R135"/>
        </row>
        <row r="136">
          <cell r="E136" t="str">
            <v>29AAGFV7523F1ZX</v>
          </cell>
          <cell r="F136" t="str">
            <v>AAGFV7523F</v>
          </cell>
          <cell r="G136"/>
          <cell r="H136"/>
          <cell r="I136" t="str">
            <v>samsungbellary@gmail.com</v>
          </cell>
          <cell r="J136">
            <v>9743571234</v>
          </cell>
          <cell r="K136" t="str">
            <v>erannacent99</v>
          </cell>
          <cell r="L136" t="str">
            <v>Pavan*123</v>
          </cell>
          <cell r="M136"/>
          <cell r="N136"/>
          <cell r="O136"/>
          <cell r="P136"/>
          <cell r="Q136"/>
          <cell r="R136"/>
        </row>
        <row r="137">
          <cell r="E137" t="str">
            <v>29BGSPB8904P1ZJ</v>
          </cell>
          <cell r="F137" t="str">
            <v>BGSPB8904P</v>
          </cell>
          <cell r="G137"/>
          <cell r="H137"/>
          <cell r="I137" t="str">
            <v>pavankhivesra@hotmail.com</v>
          </cell>
          <cell r="J137">
            <v>9986580381</v>
          </cell>
          <cell r="K137" t="str">
            <v>SANGEETHA7</v>
          </cell>
          <cell r="L137" t="str">
            <v>Pavan@777</v>
          </cell>
          <cell r="M137"/>
          <cell r="N137"/>
          <cell r="O137"/>
          <cell r="P137"/>
          <cell r="Q137"/>
          <cell r="R137"/>
        </row>
        <row r="138">
          <cell r="E138" t="str">
            <v>29ABJFM2523Q1ZO</v>
          </cell>
          <cell r="F138" t="str">
            <v>ABJFM2523Q</v>
          </cell>
          <cell r="G138"/>
          <cell r="H138"/>
          <cell r="I138" t="str">
            <v>manyatamarketingka@gmail.com</v>
          </cell>
          <cell r="J138">
            <v>9177499535</v>
          </cell>
          <cell r="K138" t="str">
            <v>MANYATA2019</v>
          </cell>
          <cell r="L138" t="str">
            <v>Manyata@583105</v>
          </cell>
          <cell r="M138"/>
          <cell r="N138"/>
          <cell r="O138"/>
          <cell r="P138"/>
          <cell r="Q138"/>
          <cell r="R138"/>
        </row>
        <row r="139">
          <cell r="E139" t="str">
            <v>37ABJFM2523Q1ZR</v>
          </cell>
          <cell r="F139" t="str">
            <v>ABJFM2523Q</v>
          </cell>
          <cell r="G139"/>
          <cell r="H139"/>
          <cell r="I139" t="str">
            <v>manyatamarketing13@gmail.com</v>
          </cell>
          <cell r="J139">
            <v>9177499535</v>
          </cell>
          <cell r="K139" t="str">
            <v>abjfm2523qmm</v>
          </cell>
          <cell r="L139" t="str">
            <v>Manyata*123</v>
          </cell>
          <cell r="M139"/>
          <cell r="N139"/>
          <cell r="O139"/>
          <cell r="P139"/>
          <cell r="Q139"/>
          <cell r="R139"/>
        </row>
        <row r="140">
          <cell r="E140" t="str">
            <v>29ADFPK1307E1ZY</v>
          </cell>
          <cell r="F140"/>
          <cell r="K140" t="str">
            <v>tulsicarrier</v>
          </cell>
          <cell r="L140" t="str">
            <v>Tulsi*gst19</v>
          </cell>
          <cell r="M140"/>
          <cell r="N140"/>
          <cell r="O140"/>
          <cell r="P140"/>
          <cell r="Q140"/>
          <cell r="R140"/>
        </row>
        <row r="141">
          <cell r="E141" t="str">
            <v>29ADLFS3916M1ZD</v>
          </cell>
          <cell r="F141" t="str">
            <v>ADLFS3916M</v>
          </cell>
          <cell r="G141"/>
          <cell r="H141"/>
          <cell r="I141" t="str">
            <v>srisaiminerals2017@gmail.com</v>
          </cell>
          <cell r="J141">
            <v>9177499535</v>
          </cell>
          <cell r="K141" t="str">
            <v>SRISAI_495</v>
          </cell>
          <cell r="L141" t="str">
            <v>Srisai@2020</v>
          </cell>
          <cell r="M141"/>
          <cell r="N141"/>
          <cell r="O141"/>
          <cell r="P141"/>
          <cell r="Q141"/>
          <cell r="R141"/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W97"/>
  <sheetViews>
    <sheetView showGridLines="0" topLeftCell="B1" zoomScale="95" zoomScaleNormal="95" workbookViewId="0">
      <selection activeCell="C1" sqref="C1"/>
    </sheetView>
  </sheetViews>
  <sheetFormatPr defaultRowHeight="14.4" x14ac:dyDescent="0.3"/>
  <cols>
    <col min="1" max="1" width="1.6640625" customWidth="1"/>
    <col min="2" max="2" width="37.109375" style="1" bestFit="1" customWidth="1"/>
    <col min="3" max="3" width="115.6640625" style="480" customWidth="1"/>
    <col min="4" max="4" width="20.33203125" bestFit="1" customWidth="1"/>
    <col min="5" max="5" width="26.5546875" bestFit="1" customWidth="1"/>
    <col min="6" max="6" width="2.6640625" customWidth="1"/>
    <col min="15" max="15" width="30.33203125" bestFit="1" customWidth="1"/>
    <col min="18" max="18" width="9.109375" customWidth="1"/>
    <col min="19" max="19" width="11.33203125" bestFit="1" customWidth="1"/>
  </cols>
  <sheetData>
    <row r="1" spans="2:23" ht="5.0999999999999996" customHeight="1" x14ac:dyDescent="0.3">
      <c r="W1" t="s">
        <v>523</v>
      </c>
    </row>
    <row r="2" spans="2:23" ht="20.100000000000001" customHeight="1" x14ac:dyDescent="0.3">
      <c r="B2" s="303" t="s">
        <v>0</v>
      </c>
      <c r="C2" s="481"/>
      <c r="E2" s="494"/>
      <c r="O2" s="2"/>
      <c r="W2" t="s">
        <v>524</v>
      </c>
    </row>
    <row r="3" spans="2:23" ht="18" customHeight="1" x14ac:dyDescent="0.3">
      <c r="B3" s="304" t="s">
        <v>1</v>
      </c>
      <c r="C3" s="482"/>
      <c r="O3" s="3" t="s">
        <v>23</v>
      </c>
      <c r="W3" t="s">
        <v>525</v>
      </c>
    </row>
    <row r="4" spans="2:23" ht="18" customHeight="1" x14ac:dyDescent="0.3">
      <c r="B4" s="304" t="s">
        <v>2</v>
      </c>
      <c r="C4" s="483"/>
      <c r="O4" s="3" t="s">
        <v>24</v>
      </c>
      <c r="R4" t="str">
        <f>PROPER(C24)</f>
        <v/>
      </c>
      <c r="W4" t="s">
        <v>526</v>
      </c>
    </row>
    <row r="5" spans="2:23" ht="18" customHeight="1" thickBot="1" x14ac:dyDescent="0.35">
      <c r="B5" s="304" t="s">
        <v>3</v>
      </c>
      <c r="C5" s="482"/>
      <c r="O5" s="3" t="s">
        <v>25</v>
      </c>
      <c r="R5" t="str">
        <f>C15</f>
        <v>2025-26</v>
      </c>
      <c r="W5" t="s">
        <v>527</v>
      </c>
    </row>
    <row r="6" spans="2:23" ht="18" customHeight="1" x14ac:dyDescent="0.3">
      <c r="B6" s="305" t="s">
        <v>4</v>
      </c>
      <c r="C6" s="484"/>
      <c r="O6" s="3" t="s">
        <v>26</v>
      </c>
      <c r="R6" s="291" t="s">
        <v>517</v>
      </c>
      <c r="S6" s="292"/>
      <c r="T6" s="292"/>
      <c r="U6" s="292"/>
      <c r="V6" s="293"/>
      <c r="W6" t="s">
        <v>528</v>
      </c>
    </row>
    <row r="7" spans="2:23" x14ac:dyDescent="0.3">
      <c r="B7" s="4"/>
      <c r="O7" s="3" t="s">
        <v>561</v>
      </c>
      <c r="R7" s="294"/>
      <c r="V7" s="295"/>
      <c r="W7" t="s">
        <v>529</v>
      </c>
    </row>
    <row r="8" spans="2:23" x14ac:dyDescent="0.3">
      <c r="B8" s="303" t="s">
        <v>5</v>
      </c>
      <c r="C8" s="485"/>
      <c r="O8" s="3" t="s">
        <v>27</v>
      </c>
      <c r="R8" s="296" t="s">
        <v>518</v>
      </c>
      <c r="S8" t="e">
        <f>VLOOKUP($C$11,[2]Sheet1!K$4:R$141,5,FALSE)</f>
        <v>#N/A</v>
      </c>
      <c r="V8" s="295"/>
      <c r="W8" t="s">
        <v>530</v>
      </c>
    </row>
    <row r="9" spans="2:23" x14ac:dyDescent="0.3">
      <c r="B9" s="305" t="s">
        <v>6</v>
      </c>
      <c r="C9" s="486"/>
      <c r="O9" s="3" t="s">
        <v>28</v>
      </c>
      <c r="R9" s="296" t="s">
        <v>519</v>
      </c>
      <c r="S9" t="e">
        <f>VLOOKUP(C11,[2]Sheet1!E$4:L$141,6,FALSE)</f>
        <v>#N/A</v>
      </c>
      <c r="V9" s="295"/>
      <c r="W9" t="s">
        <v>531</v>
      </c>
    </row>
    <row r="10" spans="2:23" x14ac:dyDescent="0.3">
      <c r="B10" s="4"/>
      <c r="O10" s="3" t="s">
        <v>29</v>
      </c>
      <c r="R10" s="296" t="s">
        <v>520</v>
      </c>
      <c r="S10" t="e">
        <f>VLOOKUP(C11,[2]Sheet1!E$4:L$141,7,FALSE)</f>
        <v>#N/A</v>
      </c>
      <c r="V10" s="295"/>
      <c r="W10" t="s">
        <v>522</v>
      </c>
    </row>
    <row r="11" spans="2:23" x14ac:dyDescent="0.3">
      <c r="B11" s="303" t="s">
        <v>7</v>
      </c>
      <c r="C11" s="481"/>
      <c r="R11" s="296" t="s">
        <v>521</v>
      </c>
      <c r="S11" t="e">
        <f>VLOOKUP(C11,[2]Sheet1!E$4:L$141,8,FALSE)</f>
        <v>#N/A</v>
      </c>
      <c r="V11" s="295"/>
      <c r="W11" t="s">
        <v>532</v>
      </c>
    </row>
    <row r="12" spans="2:23" ht="15" thickBot="1" x14ac:dyDescent="0.35">
      <c r="B12" s="304" t="s">
        <v>536</v>
      </c>
      <c r="C12" s="482"/>
      <c r="O12" s="3" t="s">
        <v>441</v>
      </c>
      <c r="R12" s="297"/>
      <c r="S12" s="298"/>
      <c r="T12" s="298"/>
      <c r="U12" s="298"/>
      <c r="V12" s="299"/>
      <c r="W12" t="s">
        <v>533</v>
      </c>
    </row>
    <row r="13" spans="2:23" x14ac:dyDescent="0.3">
      <c r="B13" s="305" t="s">
        <v>8</v>
      </c>
      <c r="C13" s="484"/>
      <c r="O13" s="3" t="s">
        <v>30</v>
      </c>
    </row>
    <row r="14" spans="2:23" x14ac:dyDescent="0.3">
      <c r="B14" s="4"/>
      <c r="O14" s="3" t="s">
        <v>31</v>
      </c>
    </row>
    <row r="15" spans="2:23" x14ac:dyDescent="0.3">
      <c r="B15" s="303" t="s">
        <v>9</v>
      </c>
      <c r="C15" s="481" t="s">
        <v>562</v>
      </c>
      <c r="O15" s="3" t="s">
        <v>32</v>
      </c>
    </row>
    <row r="16" spans="2:23" x14ac:dyDescent="0.3">
      <c r="B16" s="304" t="s">
        <v>10</v>
      </c>
      <c r="C16" s="482"/>
      <c r="O16" s="3" t="s">
        <v>33</v>
      </c>
    </row>
    <row r="17" spans="2:15" x14ac:dyDescent="0.3">
      <c r="B17" s="305" t="s">
        <v>11</v>
      </c>
      <c r="C17" s="484"/>
      <c r="O17" s="3" t="s">
        <v>34</v>
      </c>
    </row>
    <row r="18" spans="2:15" x14ac:dyDescent="0.3">
      <c r="B18" s="4"/>
      <c r="O18" s="3" t="s">
        <v>35</v>
      </c>
    </row>
    <row r="19" spans="2:15" x14ac:dyDescent="0.3">
      <c r="B19" s="303" t="s">
        <v>12</v>
      </c>
      <c r="C19" s="487"/>
      <c r="O19" s="3" t="s">
        <v>36</v>
      </c>
    </row>
    <row r="20" spans="2:15" x14ac:dyDescent="0.3">
      <c r="B20" s="304" t="s">
        <v>13</v>
      </c>
      <c r="C20" s="488"/>
      <c r="O20" s="3" t="s">
        <v>37</v>
      </c>
    </row>
    <row r="21" spans="2:15" x14ac:dyDescent="0.3">
      <c r="B21" s="305" t="s">
        <v>14</v>
      </c>
      <c r="C21" s="489"/>
      <c r="O21" s="3" t="s">
        <v>38</v>
      </c>
    </row>
    <row r="22" spans="2:15" x14ac:dyDescent="0.3">
      <c r="B22" s="4"/>
      <c r="O22" s="3" t="s">
        <v>39</v>
      </c>
    </row>
    <row r="23" spans="2:15" x14ac:dyDescent="0.3">
      <c r="B23" s="303" t="s">
        <v>15</v>
      </c>
      <c r="C23" s="481"/>
      <c r="O23" s="3" t="s">
        <v>40</v>
      </c>
    </row>
    <row r="24" spans="2:15" x14ac:dyDescent="0.3">
      <c r="B24" s="303" t="s">
        <v>534</v>
      </c>
      <c r="C24" s="482"/>
      <c r="O24" s="3" t="s">
        <v>41</v>
      </c>
    </row>
    <row r="25" spans="2:15" x14ac:dyDescent="0.3">
      <c r="B25" s="305" t="s">
        <v>16</v>
      </c>
      <c r="C25" s="484"/>
      <c r="O25" s="3" t="s">
        <v>42</v>
      </c>
    </row>
    <row r="26" spans="2:15" x14ac:dyDescent="0.3">
      <c r="B26" s="4"/>
      <c r="O26" s="3" t="s">
        <v>43</v>
      </c>
    </row>
    <row r="27" spans="2:15" x14ac:dyDescent="0.3">
      <c r="B27" s="303" t="s">
        <v>17</v>
      </c>
      <c r="C27" s="490"/>
      <c r="O27" s="3" t="s">
        <v>44</v>
      </c>
    </row>
    <row r="28" spans="2:15" x14ac:dyDescent="0.3">
      <c r="B28" s="305" t="s">
        <v>18</v>
      </c>
      <c r="C28" s="484"/>
      <c r="O28" s="3" t="s">
        <v>45</v>
      </c>
    </row>
    <row r="29" spans="2:15" x14ac:dyDescent="0.3">
      <c r="B29" s="4"/>
      <c r="O29" s="3" t="s">
        <v>46</v>
      </c>
    </row>
    <row r="30" spans="2:15" x14ac:dyDescent="0.3">
      <c r="B30" s="303" t="s">
        <v>19</v>
      </c>
      <c r="C30" s="491"/>
      <c r="O30" s="3" t="s">
        <v>47</v>
      </c>
    </row>
    <row r="31" spans="2:15" x14ac:dyDescent="0.3">
      <c r="B31" s="305" t="s">
        <v>20</v>
      </c>
      <c r="C31" s="492"/>
      <c r="O31" s="3" t="s">
        <v>48</v>
      </c>
    </row>
    <row r="32" spans="2:15" x14ac:dyDescent="0.3">
      <c r="B32" s="4"/>
      <c r="O32" s="3" t="s">
        <v>49</v>
      </c>
    </row>
    <row r="33" spans="2:15" x14ac:dyDescent="0.3">
      <c r="B33" s="303" t="s">
        <v>537</v>
      </c>
      <c r="C33" s="481"/>
      <c r="O33" s="3" t="s">
        <v>50</v>
      </c>
    </row>
    <row r="34" spans="2:15" x14ac:dyDescent="0.3">
      <c r="B34" s="305" t="s">
        <v>21</v>
      </c>
      <c r="C34" s="484"/>
      <c r="O34" s="3" t="s">
        <v>51</v>
      </c>
    </row>
    <row r="35" spans="2:15" x14ac:dyDescent="0.3">
      <c r="B35" s="4"/>
      <c r="O35" s="3" t="s">
        <v>52</v>
      </c>
    </row>
    <row r="36" spans="2:15" x14ac:dyDescent="0.3">
      <c r="B36" s="310" t="s">
        <v>22</v>
      </c>
      <c r="C36" s="493"/>
      <c r="O36" s="3" t="s">
        <v>53</v>
      </c>
    </row>
    <row r="37" spans="2:15" x14ac:dyDescent="0.3">
      <c r="B37" s="5"/>
      <c r="O37" s="3" t="s">
        <v>54</v>
      </c>
    </row>
    <row r="38" spans="2:15" x14ac:dyDescent="0.3">
      <c r="B38" s="5"/>
      <c r="O38" s="3" t="s">
        <v>55</v>
      </c>
    </row>
    <row r="39" spans="2:15" x14ac:dyDescent="0.3">
      <c r="B39" s="5"/>
      <c r="O39" s="3" t="s">
        <v>56</v>
      </c>
    </row>
    <row r="40" spans="2:15" x14ac:dyDescent="0.3">
      <c r="B40" s="5"/>
      <c r="O40" s="3" t="s">
        <v>57</v>
      </c>
    </row>
    <row r="41" spans="2:15" x14ac:dyDescent="0.3">
      <c r="B41" s="5"/>
      <c r="O41" s="3" t="s">
        <v>58</v>
      </c>
    </row>
    <row r="42" spans="2:15" x14ac:dyDescent="0.3">
      <c r="B42" s="5"/>
      <c r="O42" s="3" t="s">
        <v>59</v>
      </c>
    </row>
    <row r="43" spans="2:15" x14ac:dyDescent="0.3">
      <c r="B43" s="5"/>
      <c r="O43" s="3" t="s">
        <v>60</v>
      </c>
    </row>
    <row r="44" spans="2:15" x14ac:dyDescent="0.3">
      <c r="B44" s="5"/>
      <c r="O44" s="3" t="s">
        <v>61</v>
      </c>
    </row>
    <row r="45" spans="2:15" x14ac:dyDescent="0.3">
      <c r="B45" s="5"/>
      <c r="O45" s="3" t="s">
        <v>62</v>
      </c>
    </row>
    <row r="46" spans="2:15" ht="15.6" x14ac:dyDescent="0.3">
      <c r="B46" s="6"/>
      <c r="O46" s="3" t="s">
        <v>63</v>
      </c>
    </row>
    <row r="47" spans="2:15" x14ac:dyDescent="0.3">
      <c r="B47" s="5"/>
      <c r="O47" s="3" t="s">
        <v>64</v>
      </c>
    </row>
    <row r="48" spans="2:15" x14ac:dyDescent="0.3">
      <c r="B48" s="7"/>
      <c r="O48" s="3" t="s">
        <v>65</v>
      </c>
    </row>
    <row r="49" spans="2:15" x14ac:dyDescent="0.3">
      <c r="B49" s="5"/>
    </row>
    <row r="50" spans="2:15" x14ac:dyDescent="0.3">
      <c r="B50" s="5"/>
      <c r="O50" s="3" t="s">
        <v>562</v>
      </c>
    </row>
    <row r="51" spans="2:15" x14ac:dyDescent="0.3">
      <c r="B51" s="5"/>
      <c r="O51" s="3" t="s">
        <v>66</v>
      </c>
    </row>
    <row r="52" spans="2:15" x14ac:dyDescent="0.3">
      <c r="B52" s="5"/>
      <c r="O52" s="3" t="s">
        <v>516</v>
      </c>
    </row>
    <row r="53" spans="2:15" x14ac:dyDescent="0.3">
      <c r="B53" s="5"/>
      <c r="O53" s="3" t="s">
        <v>557</v>
      </c>
    </row>
    <row r="54" spans="2:15" x14ac:dyDescent="0.3">
      <c r="B54" s="5"/>
    </row>
    <row r="55" spans="2:15" x14ac:dyDescent="0.3">
      <c r="B55" s="5"/>
      <c r="O55" s="3" t="s">
        <v>67</v>
      </c>
    </row>
    <row r="56" spans="2:15" ht="15.6" x14ac:dyDescent="0.3">
      <c r="B56" s="6"/>
      <c r="O56" s="3" t="s">
        <v>68</v>
      </c>
    </row>
    <row r="57" spans="2:15" x14ac:dyDescent="0.3">
      <c r="B57" s="5"/>
      <c r="O57" s="3" t="s">
        <v>69</v>
      </c>
    </row>
    <row r="58" spans="2:15" ht="17.399999999999999" x14ac:dyDescent="0.3">
      <c r="B58" s="8"/>
      <c r="O58" s="3" t="s">
        <v>70</v>
      </c>
    </row>
    <row r="59" spans="2:15" x14ac:dyDescent="0.3">
      <c r="O59" s="3" t="s">
        <v>71</v>
      </c>
    </row>
    <row r="60" spans="2:15" x14ac:dyDescent="0.3">
      <c r="O60" s="3" t="s">
        <v>72</v>
      </c>
    </row>
    <row r="61" spans="2:15" x14ac:dyDescent="0.3">
      <c r="O61" s="3" t="s">
        <v>73</v>
      </c>
    </row>
    <row r="62" spans="2:15" x14ac:dyDescent="0.3">
      <c r="O62" s="3"/>
    </row>
    <row r="63" spans="2:15" x14ac:dyDescent="0.3">
      <c r="O63" s="3"/>
    </row>
    <row r="64" spans="2:15" x14ac:dyDescent="0.3">
      <c r="O64" s="3"/>
    </row>
    <row r="67" spans="2:15" x14ac:dyDescent="0.3">
      <c r="B67" s="5"/>
      <c r="O67" s="3" t="s">
        <v>74</v>
      </c>
    </row>
    <row r="68" spans="2:15" x14ac:dyDescent="0.3">
      <c r="B68" s="5"/>
      <c r="O68" s="3" t="s">
        <v>75</v>
      </c>
    </row>
    <row r="69" spans="2:15" x14ac:dyDescent="0.3">
      <c r="B69" s="5"/>
    </row>
    <row r="70" spans="2:15" x14ac:dyDescent="0.3">
      <c r="B70" s="5"/>
      <c r="O70" s="3" t="s">
        <v>76</v>
      </c>
    </row>
    <row r="71" spans="2:15" x14ac:dyDescent="0.3">
      <c r="B71" s="5"/>
      <c r="O71" s="3" t="s">
        <v>77</v>
      </c>
    </row>
    <row r="72" spans="2:15" x14ac:dyDescent="0.3">
      <c r="B72" s="5"/>
    </row>
    <row r="73" spans="2:15" x14ac:dyDescent="0.3">
      <c r="B73" s="5"/>
    </row>
    <row r="74" spans="2:15" x14ac:dyDescent="0.3">
      <c r="B74" s="5"/>
    </row>
    <row r="75" spans="2:15" x14ac:dyDescent="0.3">
      <c r="B75" s="5"/>
    </row>
    <row r="76" spans="2:15" x14ac:dyDescent="0.3">
      <c r="B76" s="5"/>
    </row>
    <row r="77" spans="2:15" x14ac:dyDescent="0.3">
      <c r="B77" s="5"/>
    </row>
    <row r="78" spans="2:15" x14ac:dyDescent="0.3">
      <c r="B78" s="5"/>
    </row>
    <row r="79" spans="2:15" x14ac:dyDescent="0.3">
      <c r="B79" s="5"/>
    </row>
    <row r="80" spans="2:15" ht="15.6" x14ac:dyDescent="0.3">
      <c r="B80" s="6"/>
    </row>
    <row r="81" spans="2:2" x14ac:dyDescent="0.3">
      <c r="B81" s="5"/>
    </row>
    <row r="82" spans="2:2" x14ac:dyDescent="0.3">
      <c r="B82" s="7"/>
    </row>
    <row r="83" spans="2:2" x14ac:dyDescent="0.3">
      <c r="B83" s="5"/>
    </row>
    <row r="84" spans="2:2" x14ac:dyDescent="0.3">
      <c r="B84" s="5"/>
    </row>
    <row r="85" spans="2:2" x14ac:dyDescent="0.3">
      <c r="B85" s="5"/>
    </row>
    <row r="86" spans="2:2" x14ac:dyDescent="0.3">
      <c r="B86" s="5"/>
    </row>
    <row r="87" spans="2:2" x14ac:dyDescent="0.3">
      <c r="B87" s="5"/>
    </row>
    <row r="88" spans="2:2" x14ac:dyDescent="0.3">
      <c r="B88" s="5"/>
    </row>
    <row r="89" spans="2:2" x14ac:dyDescent="0.3">
      <c r="B89" s="5"/>
    </row>
    <row r="90" spans="2:2" ht="15.6" x14ac:dyDescent="0.3">
      <c r="B90" s="6"/>
    </row>
    <row r="91" spans="2:2" x14ac:dyDescent="0.3">
      <c r="B91" s="5"/>
    </row>
    <row r="92" spans="2:2" ht="17.399999999999999" x14ac:dyDescent="0.3">
      <c r="B92" s="8"/>
    </row>
    <row r="97" spans="2:2" ht="15.6" x14ac:dyDescent="0.3">
      <c r="B97" s="6"/>
    </row>
  </sheetData>
  <phoneticPr fontId="43" type="noConversion"/>
  <dataValidations count="6">
    <dataValidation type="list" allowBlank="1" showInputMessage="1" showErrorMessage="1" sqref="C15" xr:uid="{00000000-0002-0000-0000-000001000000}">
      <formula1>$O$50:$O$53</formula1>
    </dataValidation>
    <dataValidation type="list" allowBlank="1" showInputMessage="1" showErrorMessage="1" sqref="C16" xr:uid="{60E5C6B6-A6EE-4031-B86A-2D40DFA01405}">
      <formula1>$O$55:$O$64</formula1>
    </dataValidation>
    <dataValidation type="list" allowBlank="1" showInputMessage="1" showErrorMessage="1" sqref="C23:C24" xr:uid="{9C18AE69-C97B-4D62-88D7-66B3358C8FE3}">
      <formula1>$O$67:$O$68</formula1>
    </dataValidation>
    <dataValidation type="list" allowBlank="1" showInputMessage="1" showErrorMessage="1" sqref="C33 C25" xr:uid="{11687141-8645-404A-94C5-212447DECB67}">
      <formula1>$O$70:$O$71</formula1>
    </dataValidation>
    <dataValidation type="list" allowBlank="1" showInputMessage="1" showErrorMessage="1" sqref="C12" xr:uid="{6ABDD1A8-FF79-41F4-932F-5CA3E87451C7}">
      <formula1>$O$12:$O$48</formula1>
    </dataValidation>
    <dataValidation type="list" allowBlank="1" showInputMessage="1" showErrorMessage="1" sqref="C3" xr:uid="{3FA27E1F-C98B-458A-AE9D-69C2CD55E8AC}">
      <formula1>$O$3:$O$10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12"/>
  <sheetViews>
    <sheetView showGridLines="0" topLeftCell="A103" zoomScale="95" zoomScaleNormal="95" workbookViewId="0">
      <selection activeCell="B11" sqref="B11"/>
    </sheetView>
  </sheetViews>
  <sheetFormatPr defaultColWidth="9.109375" defaultRowHeight="14.4" x14ac:dyDescent="0.3"/>
  <cols>
    <col min="1" max="1" width="19.88671875" style="9" bestFit="1" customWidth="1"/>
    <col min="2" max="3" width="28.44140625" style="9" customWidth="1"/>
    <col min="4" max="6" width="27" style="9" customWidth="1"/>
    <col min="7" max="7" width="23.6640625" style="9" customWidth="1"/>
    <col min="8" max="8" width="20.6640625" style="9" customWidth="1"/>
    <col min="9" max="9" width="21.5546875" style="9" customWidth="1"/>
    <col min="10" max="10" width="19.44140625" style="9" customWidth="1"/>
    <col min="11" max="11" width="21.6640625" style="9" customWidth="1"/>
    <col min="12" max="16384" width="9.109375" style="9"/>
  </cols>
  <sheetData>
    <row r="1" spans="1:10" ht="3" customHeight="1" x14ac:dyDescent="0.3"/>
    <row r="2" spans="1:10" ht="17.399999999999999" x14ac:dyDescent="0.35">
      <c r="A2" s="311" t="s">
        <v>0</v>
      </c>
      <c r="B2" s="350">
        <f>'PREL INFO'!C2</f>
        <v>0</v>
      </c>
      <c r="C2" s="10"/>
    </row>
    <row r="3" spans="1:10" ht="17.399999999999999" x14ac:dyDescent="0.35">
      <c r="A3" s="312" t="s">
        <v>9</v>
      </c>
      <c r="B3" s="351" t="str">
        <f>'PREL INFO'!C15</f>
        <v>2025-26</v>
      </c>
      <c r="C3" s="12"/>
    </row>
    <row r="4" spans="1:10" ht="17.399999999999999" x14ac:dyDescent="0.35">
      <c r="A4" s="313" t="s">
        <v>78</v>
      </c>
      <c r="B4" s="352" t="s">
        <v>79</v>
      </c>
      <c r="C4" s="13"/>
    </row>
    <row r="5" spans="1:10" ht="17.399999999999999" x14ac:dyDescent="0.35">
      <c r="A5" s="11"/>
    </row>
    <row r="7" spans="1:10" ht="18" x14ac:dyDescent="0.35">
      <c r="A7" s="14" t="s">
        <v>80</v>
      </c>
    </row>
    <row r="8" spans="1:10" ht="9" customHeight="1" x14ac:dyDescent="0.3">
      <c r="A8" s="15"/>
    </row>
    <row r="9" spans="1:10" ht="18" customHeight="1" x14ac:dyDescent="0.3">
      <c r="A9" s="317" t="s">
        <v>81</v>
      </c>
      <c r="B9" s="16"/>
      <c r="C9" s="17"/>
      <c r="D9" s="17"/>
      <c r="E9" s="17"/>
      <c r="F9" s="18"/>
      <c r="G9" s="19"/>
    </row>
    <row r="10" spans="1:10" s="33" customFormat="1" ht="24.9" customHeight="1" x14ac:dyDescent="0.3">
      <c r="A10" s="306" t="s">
        <v>82</v>
      </c>
      <c r="B10" s="307" t="s">
        <v>84</v>
      </c>
      <c r="C10" s="307" t="s">
        <v>83</v>
      </c>
      <c r="D10" s="307" t="s">
        <v>85</v>
      </c>
      <c r="E10" s="307" t="s">
        <v>442</v>
      </c>
      <c r="F10" s="308" t="s">
        <v>443</v>
      </c>
      <c r="G10" s="20"/>
      <c r="H10" s="20"/>
      <c r="I10" s="20"/>
      <c r="J10" s="20"/>
    </row>
    <row r="11" spans="1:10" x14ac:dyDescent="0.3">
      <c r="A11" s="133">
        <f>DATE(INT(LEFT($B$3,4)),4,1)</f>
        <v>45748</v>
      </c>
      <c r="B11" s="446">
        <v>45797</v>
      </c>
      <c r="C11" s="446"/>
      <c r="D11" s="25">
        <f>IF(C11&lt;&gt;0,IF((C11-B11)&gt;0,(C11-B11),0),0)</f>
        <v>0</v>
      </c>
      <c r="E11" s="25">
        <f>MIN(D11*25,5000)</f>
        <v>0</v>
      </c>
      <c r="F11" s="25">
        <f>MIN(D11*25,5000)</f>
        <v>0</v>
      </c>
      <c r="G11" s="23"/>
      <c r="H11" s="24"/>
      <c r="I11" s="24"/>
    </row>
    <row r="12" spans="1:10" x14ac:dyDescent="0.3">
      <c r="A12" s="133">
        <f>DATE(INT(LEFT($B$3,4)),5,1)</f>
        <v>45778</v>
      </c>
      <c r="B12" s="446">
        <v>45828</v>
      </c>
      <c r="C12" s="446"/>
      <c r="D12" s="25">
        <f t="shared" ref="D12:D22" si="0">IF(C12&lt;&gt;0,IF((C12-B12)&gt;0,(C12-B12),0),0)</f>
        <v>0</v>
      </c>
      <c r="E12" s="25">
        <f t="shared" ref="E12:E22" si="1">MIN(D12*25,5000)</f>
        <v>0</v>
      </c>
      <c r="F12" s="25">
        <f t="shared" ref="F12:F22" si="2">MIN(D12*25,5000)</f>
        <v>0</v>
      </c>
      <c r="G12" s="23"/>
      <c r="H12" s="24"/>
      <c r="I12" s="24"/>
    </row>
    <row r="13" spans="1:10" x14ac:dyDescent="0.3">
      <c r="A13" s="133">
        <f>DATE(INT(LEFT($B$3,4)),6,1)</f>
        <v>45809</v>
      </c>
      <c r="B13" s="446">
        <v>45858</v>
      </c>
      <c r="C13" s="446"/>
      <c r="D13" s="25">
        <f t="shared" si="0"/>
        <v>0</v>
      </c>
      <c r="E13" s="25">
        <f t="shared" si="1"/>
        <v>0</v>
      </c>
      <c r="F13" s="25">
        <f t="shared" si="2"/>
        <v>0</v>
      </c>
      <c r="G13" s="23"/>
      <c r="H13" s="24"/>
      <c r="I13" s="24"/>
    </row>
    <row r="14" spans="1:10" x14ac:dyDescent="0.3">
      <c r="A14" s="133">
        <f>DATE(INT(LEFT($B$3,4)),7,1)</f>
        <v>45839</v>
      </c>
      <c r="B14" s="446">
        <v>45889</v>
      </c>
      <c r="C14" s="446"/>
      <c r="D14" s="25">
        <f t="shared" si="0"/>
        <v>0</v>
      </c>
      <c r="E14" s="25">
        <f t="shared" si="1"/>
        <v>0</v>
      </c>
      <c r="F14" s="25">
        <f t="shared" si="2"/>
        <v>0</v>
      </c>
      <c r="G14" s="23"/>
      <c r="H14" s="24"/>
      <c r="I14" s="24"/>
    </row>
    <row r="15" spans="1:10" x14ac:dyDescent="0.3">
      <c r="A15" s="133">
        <f>DATE(INT(LEFT($B$3,4)),8,1)</f>
        <v>45870</v>
      </c>
      <c r="B15" s="446">
        <v>45920</v>
      </c>
      <c r="C15" s="434"/>
      <c r="D15" s="25">
        <f t="shared" si="0"/>
        <v>0</v>
      </c>
      <c r="E15" s="25">
        <f t="shared" si="1"/>
        <v>0</v>
      </c>
      <c r="F15" s="25">
        <f t="shared" si="2"/>
        <v>0</v>
      </c>
      <c r="G15" s="23"/>
      <c r="H15" s="24"/>
      <c r="I15" s="24"/>
    </row>
    <row r="16" spans="1:10" x14ac:dyDescent="0.3">
      <c r="A16" s="133">
        <f>DATE(INT(LEFT($B$3,4)),9,1)</f>
        <v>45901</v>
      </c>
      <c r="B16" s="446">
        <v>45950</v>
      </c>
      <c r="C16" s="446"/>
      <c r="D16" s="25">
        <f t="shared" si="0"/>
        <v>0</v>
      </c>
      <c r="E16" s="25">
        <f t="shared" si="1"/>
        <v>0</v>
      </c>
      <c r="F16" s="25">
        <f t="shared" si="2"/>
        <v>0</v>
      </c>
      <c r="G16" s="23"/>
      <c r="H16" s="24"/>
      <c r="I16" s="24"/>
    </row>
    <row r="17" spans="1:9" x14ac:dyDescent="0.3">
      <c r="A17" s="133">
        <f>DATE(INT(LEFT($B$3,4)),10,1)</f>
        <v>45931</v>
      </c>
      <c r="B17" s="446">
        <v>45981</v>
      </c>
      <c r="C17" s="446"/>
      <c r="D17" s="25">
        <f t="shared" si="0"/>
        <v>0</v>
      </c>
      <c r="E17" s="25">
        <f t="shared" si="1"/>
        <v>0</v>
      </c>
      <c r="F17" s="25">
        <f t="shared" si="2"/>
        <v>0</v>
      </c>
      <c r="G17" s="23"/>
      <c r="H17" s="24"/>
      <c r="I17" s="24"/>
    </row>
    <row r="18" spans="1:9" x14ac:dyDescent="0.3">
      <c r="A18" s="133">
        <f>DATE(INT(LEFT($B$3,4)),11,1)</f>
        <v>45962</v>
      </c>
      <c r="B18" s="446">
        <v>46011</v>
      </c>
      <c r="C18" s="446"/>
      <c r="D18" s="25">
        <f t="shared" si="0"/>
        <v>0</v>
      </c>
      <c r="E18" s="25">
        <f t="shared" si="1"/>
        <v>0</v>
      </c>
      <c r="F18" s="25">
        <f t="shared" si="2"/>
        <v>0</v>
      </c>
      <c r="G18" s="23"/>
      <c r="H18" s="24"/>
      <c r="I18" s="24"/>
    </row>
    <row r="19" spans="1:9" x14ac:dyDescent="0.3">
      <c r="A19" s="133">
        <f>DATE(INT(LEFT($B$3,4)),12,1)</f>
        <v>45992</v>
      </c>
      <c r="B19" s="446">
        <v>46042</v>
      </c>
      <c r="C19" s="446"/>
      <c r="D19" s="25">
        <f t="shared" si="0"/>
        <v>0</v>
      </c>
      <c r="E19" s="25">
        <f t="shared" si="1"/>
        <v>0</v>
      </c>
      <c r="F19" s="25">
        <f t="shared" si="2"/>
        <v>0</v>
      </c>
      <c r="G19" s="23"/>
      <c r="H19" s="24"/>
      <c r="I19" s="24"/>
    </row>
    <row r="20" spans="1:9" x14ac:dyDescent="0.3">
      <c r="A20" s="133">
        <f>DATE(INT(LEFT($B$3,4))+1,1,1)</f>
        <v>46023</v>
      </c>
      <c r="B20" s="446">
        <v>46073</v>
      </c>
      <c r="C20" s="446"/>
      <c r="D20" s="25">
        <f t="shared" si="0"/>
        <v>0</v>
      </c>
      <c r="E20" s="25">
        <f t="shared" si="1"/>
        <v>0</v>
      </c>
      <c r="F20" s="25">
        <f t="shared" si="2"/>
        <v>0</v>
      </c>
      <c r="G20" s="23"/>
      <c r="H20" s="24"/>
      <c r="I20" s="24"/>
    </row>
    <row r="21" spans="1:9" x14ac:dyDescent="0.3">
      <c r="A21" s="133">
        <f>DATE(INT(LEFT($B$3,4))+1,2,1)</f>
        <v>46054</v>
      </c>
      <c r="B21" s="446">
        <v>46101</v>
      </c>
      <c r="C21" s="434"/>
      <c r="D21" s="25">
        <f t="shared" si="0"/>
        <v>0</v>
      </c>
      <c r="E21" s="25">
        <f t="shared" si="1"/>
        <v>0</v>
      </c>
      <c r="F21" s="25">
        <f t="shared" si="2"/>
        <v>0</v>
      </c>
      <c r="G21" s="23"/>
      <c r="H21" s="24"/>
      <c r="I21" s="24"/>
    </row>
    <row r="22" spans="1:9" x14ac:dyDescent="0.3">
      <c r="A22" s="133">
        <f>DATE(INT(LEFT($B$3,4))+1,3,1)</f>
        <v>46082</v>
      </c>
      <c r="B22" s="446">
        <v>46132</v>
      </c>
      <c r="C22" s="446"/>
      <c r="D22" s="25">
        <f t="shared" si="0"/>
        <v>0</v>
      </c>
      <c r="E22" s="25">
        <f t="shared" si="1"/>
        <v>0</v>
      </c>
      <c r="F22" s="25">
        <f t="shared" si="2"/>
        <v>0</v>
      </c>
      <c r="G22" s="23"/>
      <c r="H22" s="24"/>
      <c r="I22" s="24"/>
    </row>
    <row r="23" spans="1:9" ht="30" customHeight="1" x14ac:dyDescent="0.3">
      <c r="A23" s="301"/>
      <c r="B23" s="302"/>
      <c r="C23" s="302"/>
      <c r="D23" s="302"/>
      <c r="E23" s="315">
        <f>SUM(E11:E22)</f>
        <v>0</v>
      </c>
      <c r="F23" s="316">
        <f>SUM(F11:F22)</f>
        <v>0</v>
      </c>
      <c r="G23" s="23"/>
      <c r="H23" s="24"/>
      <c r="I23" s="24"/>
    </row>
    <row r="24" spans="1:9" x14ac:dyDescent="0.3">
      <c r="A24" s="23"/>
      <c r="B24" s="24"/>
      <c r="C24" s="24"/>
      <c r="F24" s="23"/>
      <c r="G24" s="24"/>
      <c r="H24" s="24"/>
    </row>
    <row r="25" spans="1:9" x14ac:dyDescent="0.3">
      <c r="A25" s="23"/>
      <c r="B25" s="24"/>
      <c r="C25" s="24"/>
      <c r="F25" s="23"/>
      <c r="G25" s="24"/>
      <c r="H25" s="24"/>
    </row>
    <row r="26" spans="1:9" x14ac:dyDescent="0.3">
      <c r="A26" s="23"/>
      <c r="B26" s="24"/>
      <c r="C26" s="24"/>
      <c r="D26" s="24"/>
      <c r="E26" s="24"/>
      <c r="F26" s="24"/>
      <c r="G26" s="24"/>
      <c r="H26" s="24"/>
    </row>
    <row r="27" spans="1:9" ht="18" x14ac:dyDescent="0.35">
      <c r="A27" s="14" t="s">
        <v>86</v>
      </c>
      <c r="B27" s="24"/>
      <c r="C27" s="24"/>
      <c r="F27" s="23"/>
      <c r="G27" s="24"/>
      <c r="H27" s="24"/>
    </row>
    <row r="29" spans="1:9" ht="18" customHeight="1" x14ac:dyDescent="0.3">
      <c r="A29" s="317" t="s">
        <v>81</v>
      </c>
      <c r="B29" s="507"/>
      <c r="C29" s="508"/>
      <c r="D29" s="508"/>
      <c r="E29" s="508"/>
      <c r="F29" s="508"/>
      <c r="G29" s="509"/>
    </row>
    <row r="30" spans="1:9" ht="28.8" x14ac:dyDescent="0.3">
      <c r="A30" s="306" t="s">
        <v>82</v>
      </c>
      <c r="B30" s="323" t="s">
        <v>538</v>
      </c>
      <c r="C30" s="307" t="s">
        <v>87</v>
      </c>
      <c r="D30" s="307" t="s">
        <v>88</v>
      </c>
      <c r="E30" s="323" t="s">
        <v>89</v>
      </c>
      <c r="F30" s="307" t="s">
        <v>90</v>
      </c>
      <c r="G30" s="308" t="s">
        <v>91</v>
      </c>
    </row>
    <row r="31" spans="1:9" x14ac:dyDescent="0.3">
      <c r="A31" s="133">
        <f>DATE(INT(LEFT($B$3,4)),4,1)</f>
        <v>45748</v>
      </c>
      <c r="B31" s="320"/>
      <c r="C31" s="320"/>
      <c r="D31" s="320"/>
      <c r="E31" s="320"/>
      <c r="F31" s="320"/>
      <c r="G31" s="320">
        <f t="shared" ref="G31:G42" si="3">SUM(B31:F31)</f>
        <v>0</v>
      </c>
      <c r="H31" s="479"/>
    </row>
    <row r="32" spans="1:9" x14ac:dyDescent="0.3">
      <c r="A32" s="133">
        <f>DATE(INT(LEFT($B$3,4)),5,1)</f>
        <v>45778</v>
      </c>
      <c r="B32" s="320"/>
      <c r="C32" s="320"/>
      <c r="D32" s="320"/>
      <c r="E32" s="320"/>
      <c r="F32" s="320"/>
      <c r="G32" s="320">
        <f t="shared" si="3"/>
        <v>0</v>
      </c>
      <c r="H32" s="479"/>
    </row>
    <row r="33" spans="1:8" x14ac:dyDescent="0.3">
      <c r="A33" s="133">
        <f>DATE(INT(LEFT($B$3,4)),6,1)</f>
        <v>45809</v>
      </c>
      <c r="B33" s="320"/>
      <c r="C33" s="320"/>
      <c r="D33" s="320"/>
      <c r="E33" s="320"/>
      <c r="F33" s="320"/>
      <c r="G33" s="320">
        <f t="shared" si="3"/>
        <v>0</v>
      </c>
      <c r="H33" s="479"/>
    </row>
    <row r="34" spans="1:8" x14ac:dyDescent="0.3">
      <c r="A34" s="133">
        <f>DATE(INT(LEFT($B$3,4)),7,1)</f>
        <v>45839</v>
      </c>
      <c r="B34" s="25"/>
      <c r="C34" s="25"/>
      <c r="D34" s="25"/>
      <c r="E34" s="320"/>
      <c r="F34" s="25"/>
      <c r="G34" s="25">
        <f t="shared" si="3"/>
        <v>0</v>
      </c>
      <c r="H34" s="479"/>
    </row>
    <row r="35" spans="1:8" x14ac:dyDescent="0.3">
      <c r="A35" s="133">
        <f>DATE(INT(LEFT($B$3,4)),8,1)</f>
        <v>45870</v>
      </c>
      <c r="B35" s="25"/>
      <c r="C35" s="25"/>
      <c r="D35" s="25"/>
      <c r="E35" s="320"/>
      <c r="F35" s="25"/>
      <c r="G35" s="25">
        <f t="shared" si="3"/>
        <v>0</v>
      </c>
      <c r="H35" s="479"/>
    </row>
    <row r="36" spans="1:8" x14ac:dyDescent="0.3">
      <c r="A36" s="133">
        <f>DATE(INT(LEFT($B$3,4)),9,1)</f>
        <v>45901</v>
      </c>
      <c r="B36" s="25"/>
      <c r="C36" s="25"/>
      <c r="D36" s="25"/>
      <c r="E36" s="320"/>
      <c r="F36" s="25"/>
      <c r="G36" s="25">
        <f t="shared" si="3"/>
        <v>0</v>
      </c>
      <c r="H36" s="479"/>
    </row>
    <row r="37" spans="1:8" x14ac:dyDescent="0.3">
      <c r="A37" s="133">
        <f>DATE(INT(LEFT($B$3,4)),10,1)</f>
        <v>45931</v>
      </c>
      <c r="B37" s="25"/>
      <c r="C37" s="25"/>
      <c r="D37" s="25"/>
      <c r="E37" s="320"/>
      <c r="F37" s="25"/>
      <c r="G37" s="25">
        <f t="shared" si="3"/>
        <v>0</v>
      </c>
      <c r="H37" s="479"/>
    </row>
    <row r="38" spans="1:8" x14ac:dyDescent="0.3">
      <c r="A38" s="133">
        <f>DATE(INT(LEFT($B$3,4)),11,1)</f>
        <v>45962</v>
      </c>
      <c r="B38" s="25"/>
      <c r="C38" s="25"/>
      <c r="D38" s="25"/>
      <c r="E38" s="320"/>
      <c r="F38" s="25"/>
      <c r="G38" s="25">
        <f t="shared" si="3"/>
        <v>0</v>
      </c>
      <c r="H38" s="479"/>
    </row>
    <row r="39" spans="1:8" x14ac:dyDescent="0.3">
      <c r="A39" s="133">
        <f>DATE(INT(LEFT($B$3,4)),12,1)</f>
        <v>45992</v>
      </c>
      <c r="B39" s="25"/>
      <c r="C39" s="25"/>
      <c r="D39" s="25"/>
      <c r="E39" s="320"/>
      <c r="F39" s="25"/>
      <c r="G39" s="25">
        <f t="shared" si="3"/>
        <v>0</v>
      </c>
      <c r="H39" s="479"/>
    </row>
    <row r="40" spans="1:8" x14ac:dyDescent="0.3">
      <c r="A40" s="133">
        <f>DATE(INT(LEFT($B$3,4))+1,1,1)</f>
        <v>46023</v>
      </c>
      <c r="B40" s="320"/>
      <c r="C40" s="320"/>
      <c r="D40" s="320"/>
      <c r="E40" s="320"/>
      <c r="F40" s="25"/>
      <c r="G40" s="25">
        <f t="shared" si="3"/>
        <v>0</v>
      </c>
      <c r="H40" s="479"/>
    </row>
    <row r="41" spans="1:8" x14ac:dyDescent="0.3">
      <c r="A41" s="133">
        <f>DATE(INT(LEFT($B$3,4))+1,2,1)</f>
        <v>46054</v>
      </c>
      <c r="B41" s="25"/>
      <c r="C41" s="25"/>
      <c r="D41" s="25"/>
      <c r="E41" s="320"/>
      <c r="F41" s="25"/>
      <c r="G41" s="25">
        <f t="shared" si="3"/>
        <v>0</v>
      </c>
      <c r="H41" s="479"/>
    </row>
    <row r="42" spans="1:8" x14ac:dyDescent="0.3">
      <c r="A42" s="133">
        <f>DATE(INT(LEFT($B$3,4))+1,3,1)</f>
        <v>46082</v>
      </c>
      <c r="B42" s="320"/>
      <c r="C42" s="320"/>
      <c r="D42" s="320"/>
      <c r="E42" s="320"/>
      <c r="F42" s="25"/>
      <c r="G42" s="25">
        <f t="shared" si="3"/>
        <v>0</v>
      </c>
      <c r="H42" s="479"/>
    </row>
    <row r="43" spans="1:8" ht="15" thickBot="1" x14ac:dyDescent="0.35">
      <c r="A43" s="30"/>
      <c r="B43" s="31"/>
      <c r="C43" s="31"/>
      <c r="D43" s="31"/>
      <c r="E43" s="321">
        <f t="shared" ref="E43" si="4">D43</f>
        <v>0</v>
      </c>
      <c r="F43" s="31"/>
      <c r="G43" s="31"/>
    </row>
    <row r="44" spans="1:8" s="33" customFormat="1" ht="16.2" thickTop="1" x14ac:dyDescent="0.3">
      <c r="A44" s="32" t="s">
        <v>92</v>
      </c>
      <c r="B44" s="318">
        <f t="shared" ref="B44:G44" si="5">SUM(B31:B42)</f>
        <v>0</v>
      </c>
      <c r="C44" s="318">
        <f t="shared" si="5"/>
        <v>0</v>
      </c>
      <c r="D44" s="318">
        <f t="shared" si="5"/>
        <v>0</v>
      </c>
      <c r="E44" s="318">
        <f t="shared" si="5"/>
        <v>0</v>
      </c>
      <c r="F44" s="318">
        <f t="shared" si="5"/>
        <v>0</v>
      </c>
      <c r="G44" s="318">
        <f t="shared" si="5"/>
        <v>0</v>
      </c>
      <c r="H44" s="479"/>
    </row>
    <row r="45" spans="1:8" ht="15" customHeight="1" x14ac:dyDescent="0.3">
      <c r="A45" s="34"/>
      <c r="B45" s="35"/>
      <c r="C45" s="35"/>
      <c r="D45" s="35"/>
      <c r="E45" s="35"/>
      <c r="F45" s="35"/>
      <c r="G45" s="35"/>
    </row>
    <row r="46" spans="1:8" ht="28.8" x14ac:dyDescent="0.3">
      <c r="A46" s="43" t="str">
        <f>LEFT($B$3,4)&amp;"-"&amp;RIGHT(INT(LEFT($B$3,4)+1),2)&amp;" Supplies declared in next year"</f>
        <v>2025-26 Supplies declared in next year</v>
      </c>
      <c r="B46" s="36"/>
      <c r="C46" s="36"/>
      <c r="D46" s="36"/>
      <c r="E46" s="36"/>
      <c r="F46" s="36"/>
      <c r="G46" s="36"/>
    </row>
    <row r="47" spans="1:8" x14ac:dyDescent="0.3">
      <c r="A47" s="133">
        <f>DATE(INT(LEFT($B$3,4))+1,4,1)</f>
        <v>46113</v>
      </c>
      <c r="B47" s="25"/>
      <c r="C47" s="25"/>
      <c r="D47" s="25"/>
      <c r="E47" s="25"/>
      <c r="F47" s="25"/>
      <c r="G47" s="25">
        <f>SUM(B47:F47)</f>
        <v>0</v>
      </c>
    </row>
    <row r="48" spans="1:8" x14ac:dyDescent="0.3">
      <c r="A48" s="133">
        <f>DATE(INT(LEFT($B$3,4))+1,5,1)</f>
        <v>46143</v>
      </c>
      <c r="B48" s="25"/>
      <c r="C48" s="25"/>
      <c r="D48" s="25"/>
      <c r="E48" s="25"/>
      <c r="F48" s="25"/>
      <c r="G48" s="25">
        <f t="shared" ref="G48:G52" si="6">SUM(B48:F48)</f>
        <v>0</v>
      </c>
    </row>
    <row r="49" spans="1:9" x14ac:dyDescent="0.3">
      <c r="A49" s="133">
        <f>DATE(INT(LEFT($B$3,4))+1,6,1)</f>
        <v>46174</v>
      </c>
      <c r="B49" s="25"/>
      <c r="C49" s="25"/>
      <c r="D49" s="25"/>
      <c r="E49" s="25"/>
      <c r="F49" s="25"/>
      <c r="G49" s="25">
        <f t="shared" si="6"/>
        <v>0</v>
      </c>
    </row>
    <row r="50" spans="1:9" x14ac:dyDescent="0.3">
      <c r="A50" s="133">
        <f>DATE(INT(LEFT($B$3,4))+1,7,1)</f>
        <v>46204</v>
      </c>
      <c r="B50" s="25"/>
      <c r="C50" s="25"/>
      <c r="D50" s="25"/>
      <c r="E50" s="25"/>
      <c r="F50" s="25"/>
      <c r="G50" s="25">
        <f t="shared" si="6"/>
        <v>0</v>
      </c>
    </row>
    <row r="51" spans="1:9" x14ac:dyDescent="0.3">
      <c r="A51" s="133">
        <f>DATE(INT(LEFT($B$3,4))+1,8,1)</f>
        <v>46235</v>
      </c>
      <c r="B51" s="25"/>
      <c r="C51" s="25"/>
      <c r="D51" s="25"/>
      <c r="E51" s="25"/>
      <c r="F51" s="25"/>
      <c r="G51" s="25">
        <f t="shared" si="6"/>
        <v>0</v>
      </c>
    </row>
    <row r="52" spans="1:9" x14ac:dyDescent="0.3">
      <c r="A52" s="133">
        <f>DATE(INT(LEFT($B$3,4))+1,9,1)</f>
        <v>46266</v>
      </c>
      <c r="B52" s="25"/>
      <c r="C52" s="25"/>
      <c r="D52" s="25"/>
      <c r="E52" s="25"/>
      <c r="F52" s="25"/>
      <c r="G52" s="25">
        <f t="shared" si="6"/>
        <v>0</v>
      </c>
    </row>
    <row r="53" spans="1:9" ht="15" thickBot="1" x14ac:dyDescent="0.35">
      <c r="A53" s="30"/>
      <c r="B53" s="31"/>
      <c r="C53" s="31"/>
      <c r="D53" s="31"/>
      <c r="E53" s="31"/>
      <c r="F53" s="31"/>
      <c r="G53" s="31"/>
    </row>
    <row r="54" spans="1:9" s="33" customFormat="1" ht="16.2" thickTop="1" x14ac:dyDescent="0.3">
      <c r="A54" s="32" t="s">
        <v>92</v>
      </c>
      <c r="B54" s="318">
        <f t="shared" ref="B54:G54" si="7">SUM(B47:B52)</f>
        <v>0</v>
      </c>
      <c r="C54" s="318">
        <f t="shared" si="7"/>
        <v>0</v>
      </c>
      <c r="D54" s="318">
        <f t="shared" si="7"/>
        <v>0</v>
      </c>
      <c r="E54" s="318">
        <f t="shared" si="7"/>
        <v>0</v>
      </c>
      <c r="F54" s="318">
        <f t="shared" si="7"/>
        <v>0</v>
      </c>
      <c r="G54" s="318">
        <f t="shared" si="7"/>
        <v>0</v>
      </c>
    </row>
    <row r="55" spans="1:9" x14ac:dyDescent="0.3">
      <c r="A55" s="330"/>
      <c r="B55" s="331"/>
      <c r="C55" s="331"/>
      <c r="D55" s="331"/>
      <c r="E55" s="331"/>
      <c r="F55" s="331"/>
      <c r="G55" s="332"/>
    </row>
    <row r="56" spans="1:9" s="33" customFormat="1" ht="17.399999999999999" x14ac:dyDescent="0.3">
      <c r="A56" s="267" t="s">
        <v>91</v>
      </c>
      <c r="B56" s="333">
        <f t="shared" ref="B56:G56" si="8">B54+B44</f>
        <v>0</v>
      </c>
      <c r="C56" s="333">
        <f t="shared" si="8"/>
        <v>0</v>
      </c>
      <c r="D56" s="333">
        <f t="shared" si="8"/>
        <v>0</v>
      </c>
      <c r="E56" s="333">
        <f t="shared" si="8"/>
        <v>0</v>
      </c>
      <c r="F56" s="333">
        <f t="shared" si="8"/>
        <v>0</v>
      </c>
      <c r="G56" s="334">
        <f t="shared" si="8"/>
        <v>0</v>
      </c>
    </row>
    <row r="60" spans="1:9" ht="18" x14ac:dyDescent="0.35">
      <c r="A60" s="14" t="s">
        <v>93</v>
      </c>
    </row>
    <row r="62" spans="1:9" ht="18" customHeight="1" x14ac:dyDescent="0.3">
      <c r="A62" s="317" t="s">
        <v>81</v>
      </c>
      <c r="B62" s="16"/>
      <c r="C62" s="17"/>
      <c r="D62" s="17"/>
      <c r="E62" s="17"/>
      <c r="F62" s="40"/>
      <c r="G62" s="40"/>
      <c r="H62" s="40"/>
      <c r="I62" s="10"/>
    </row>
    <row r="63" spans="1:9" ht="23.1" customHeight="1" x14ac:dyDescent="0.3">
      <c r="A63" s="510" t="s">
        <v>82</v>
      </c>
      <c r="B63" s="512" t="s">
        <v>94</v>
      </c>
      <c r="C63" s="514" t="s">
        <v>540</v>
      </c>
      <c r="D63" s="514" t="s">
        <v>539</v>
      </c>
      <c r="E63" s="514"/>
      <c r="F63" s="514"/>
      <c r="G63" s="514"/>
      <c r="H63" s="514"/>
      <c r="I63" s="515" t="s">
        <v>95</v>
      </c>
    </row>
    <row r="64" spans="1:9" ht="23.1" customHeight="1" x14ac:dyDescent="0.3">
      <c r="A64" s="511"/>
      <c r="B64" s="513"/>
      <c r="C64" s="514"/>
      <c r="D64" s="322" t="s">
        <v>96</v>
      </c>
      <c r="E64" s="322" t="s">
        <v>87</v>
      </c>
      <c r="F64" s="322" t="s">
        <v>88</v>
      </c>
      <c r="G64" s="322" t="s">
        <v>89</v>
      </c>
      <c r="H64" s="322" t="s">
        <v>90</v>
      </c>
      <c r="I64" s="515"/>
    </row>
    <row r="65" spans="1:9" x14ac:dyDescent="0.3">
      <c r="A65" s="21">
        <f>DATE(INT(LEFT($B$3,4)),4,1)</f>
        <v>45748</v>
      </c>
      <c r="B65" s="278"/>
      <c r="C65" s="278"/>
      <c r="D65" s="278"/>
      <c r="E65" s="278"/>
      <c r="F65" s="278"/>
      <c r="G65" s="278"/>
      <c r="H65" s="278"/>
      <c r="I65" s="278"/>
    </row>
    <row r="66" spans="1:9" x14ac:dyDescent="0.3">
      <c r="A66" s="21">
        <f>DATE(INT(LEFT($B$3,4)),5,1)</f>
        <v>45778</v>
      </c>
      <c r="B66" s="278"/>
      <c r="C66" s="278"/>
      <c r="D66" s="278"/>
      <c r="E66" s="278"/>
      <c r="F66" s="278"/>
      <c r="G66" s="278"/>
      <c r="H66" s="278"/>
      <c r="I66" s="278"/>
    </row>
    <row r="67" spans="1:9" x14ac:dyDescent="0.3">
      <c r="A67" s="21">
        <f>DATE(INT(LEFT($B$3,4)),6,1)</f>
        <v>45809</v>
      </c>
      <c r="B67" s="278"/>
      <c r="C67" s="278"/>
      <c r="D67" s="278"/>
      <c r="E67" s="278"/>
      <c r="F67" s="278"/>
      <c r="G67" s="278"/>
      <c r="H67" s="278"/>
      <c r="I67" s="278"/>
    </row>
    <row r="68" spans="1:9" x14ac:dyDescent="0.3">
      <c r="A68" s="21">
        <f>DATE(INT(LEFT($B$3,4)),7,1)</f>
        <v>45839</v>
      </c>
      <c r="B68" s="278"/>
      <c r="C68" s="278"/>
      <c r="D68" s="278"/>
      <c r="E68" s="278"/>
      <c r="F68" s="278"/>
      <c r="G68" s="278"/>
      <c r="H68" s="278"/>
      <c r="I68" s="278"/>
    </row>
    <row r="69" spans="1:9" x14ac:dyDescent="0.3">
      <c r="A69" s="21">
        <f>DATE(INT(LEFT($B$3,4)),8,1)</f>
        <v>45870</v>
      </c>
      <c r="B69" s="278"/>
      <c r="C69" s="278"/>
      <c r="D69" s="278"/>
      <c r="E69" s="278"/>
      <c r="F69" s="278"/>
      <c r="G69" s="278"/>
      <c r="H69" s="278"/>
      <c r="I69" s="278"/>
    </row>
    <row r="70" spans="1:9" x14ac:dyDescent="0.3">
      <c r="A70" s="21">
        <f>DATE(INT(LEFT($B$3,4)),9,1)</f>
        <v>45901</v>
      </c>
      <c r="B70" s="278"/>
      <c r="C70" s="278"/>
      <c r="D70" s="278"/>
      <c r="E70" s="278"/>
      <c r="F70" s="278"/>
      <c r="G70" s="278"/>
      <c r="H70" s="278"/>
      <c r="I70" s="278"/>
    </row>
    <row r="71" spans="1:9" x14ac:dyDescent="0.3">
      <c r="A71" s="21">
        <f>DATE(INT(LEFT($B$3,4)),10,1)</f>
        <v>45931</v>
      </c>
      <c r="B71" s="278"/>
      <c r="C71" s="278"/>
      <c r="D71" s="278"/>
      <c r="E71" s="278"/>
      <c r="F71" s="278"/>
      <c r="G71" s="278"/>
      <c r="H71" s="278"/>
      <c r="I71" s="278"/>
    </row>
    <row r="72" spans="1:9" x14ac:dyDescent="0.3">
      <c r="A72" s="21">
        <f>DATE(INT(LEFT($B$3,4)),11,1)</f>
        <v>45962</v>
      </c>
      <c r="B72" s="278"/>
      <c r="C72" s="278"/>
      <c r="D72" s="278"/>
      <c r="E72" s="278"/>
      <c r="F72" s="278"/>
      <c r="G72" s="278"/>
      <c r="H72" s="278"/>
      <c r="I72" s="278"/>
    </row>
    <row r="73" spans="1:9" x14ac:dyDescent="0.3">
      <c r="A73" s="21">
        <f>DATE(INT(LEFT($B$3,4)),12,1)</f>
        <v>45992</v>
      </c>
      <c r="B73" s="278"/>
      <c r="C73" s="278"/>
      <c r="D73" s="278"/>
      <c r="E73" s="278"/>
      <c r="F73" s="278"/>
      <c r="G73" s="278"/>
      <c r="H73" s="278"/>
      <c r="I73" s="278"/>
    </row>
    <row r="74" spans="1:9" x14ac:dyDescent="0.3">
      <c r="A74" s="21">
        <f>DATE(INT(LEFT($B$3,4))+1,1,1)</f>
        <v>46023</v>
      </c>
      <c r="B74" s="278"/>
      <c r="C74" s="278"/>
      <c r="D74" s="278"/>
      <c r="E74" s="278"/>
      <c r="F74" s="278"/>
      <c r="G74" s="278"/>
      <c r="H74" s="278"/>
      <c r="I74" s="278"/>
    </row>
    <row r="75" spans="1:9" x14ac:dyDescent="0.3">
      <c r="A75" s="21">
        <f>DATE(INT(LEFT($B$3,4))+1,2,1)</f>
        <v>46054</v>
      </c>
      <c r="B75" s="278"/>
      <c r="C75" s="278"/>
      <c r="D75" s="278"/>
      <c r="E75" s="278"/>
      <c r="F75" s="278"/>
      <c r="G75" s="278"/>
      <c r="H75" s="278"/>
      <c r="I75" s="278"/>
    </row>
    <row r="76" spans="1:9" x14ac:dyDescent="0.3">
      <c r="A76" s="21">
        <f>DATE(INT(LEFT($B$3,4))+1,3,1)</f>
        <v>46082</v>
      </c>
      <c r="B76" s="278"/>
      <c r="C76" s="278"/>
      <c r="D76" s="278"/>
      <c r="E76" s="278"/>
      <c r="F76" s="278"/>
      <c r="G76" s="278"/>
      <c r="H76" s="278"/>
      <c r="I76" s="278"/>
    </row>
    <row r="77" spans="1:9" ht="15" thickBot="1" x14ac:dyDescent="0.35">
      <c r="A77" s="30"/>
      <c r="B77" s="31"/>
      <c r="C77" s="31"/>
      <c r="D77" s="31"/>
      <c r="E77" s="31"/>
      <c r="F77" s="31"/>
      <c r="G77" s="31"/>
      <c r="H77" s="31"/>
      <c r="I77" s="31"/>
    </row>
    <row r="78" spans="1:9" ht="16.2" thickTop="1" x14ac:dyDescent="0.3">
      <c r="A78" s="32" t="s">
        <v>92</v>
      </c>
      <c r="B78" s="318">
        <f>SUM(B65:B76)</f>
        <v>0</v>
      </c>
      <c r="C78" s="318">
        <f>SUM(C65:C76)</f>
        <v>0</v>
      </c>
      <c r="D78" s="318">
        <f>SUM(D65:D76)</f>
        <v>0</v>
      </c>
      <c r="E78" s="318">
        <f t="shared" ref="E78:H78" si="9">SUM(E65:E76)</f>
        <v>0</v>
      </c>
      <c r="F78" s="318">
        <f t="shared" si="9"/>
        <v>0</v>
      </c>
      <c r="G78" s="318">
        <f t="shared" si="9"/>
        <v>0</v>
      </c>
      <c r="H78" s="318">
        <f t="shared" si="9"/>
        <v>0</v>
      </c>
      <c r="I78" s="318">
        <f>SUM(I65:I76)</f>
        <v>0</v>
      </c>
    </row>
    <row r="79" spans="1:9" x14ac:dyDescent="0.3">
      <c r="A79" s="34"/>
      <c r="B79" s="35"/>
      <c r="C79" s="35"/>
      <c r="D79" s="35"/>
      <c r="E79" s="35"/>
      <c r="F79" s="35"/>
      <c r="G79" s="35"/>
      <c r="H79" s="35"/>
      <c r="I79" s="35"/>
    </row>
    <row r="80" spans="1:9" ht="28.8" x14ac:dyDescent="0.3">
      <c r="A80" s="43" t="str">
        <f>LEFT($B$3,4)&amp;"-"&amp;RIGHT(INT(LEFT($B$3,4)+1),2)&amp;" Supplies declared in next year"</f>
        <v>2025-26 Supplies declared in next year</v>
      </c>
      <c r="B80" s="36"/>
      <c r="C80" s="36"/>
      <c r="D80" s="36"/>
      <c r="E80" s="36"/>
      <c r="F80" s="36"/>
      <c r="G80" s="36"/>
      <c r="H80" s="36"/>
      <c r="I80" s="36"/>
    </row>
    <row r="81" spans="1:9" x14ac:dyDescent="0.3">
      <c r="A81" s="21">
        <f>DATE(INT(LEFT($B$3,4))+1,4,1)</f>
        <v>46113</v>
      </c>
      <c r="B81" s="25"/>
      <c r="C81" s="25"/>
      <c r="D81" s="25"/>
      <c r="E81" s="25"/>
      <c r="F81" s="25"/>
      <c r="G81" s="25"/>
      <c r="H81" s="25"/>
      <c r="I81" s="25"/>
    </row>
    <row r="82" spans="1:9" x14ac:dyDescent="0.3">
      <c r="A82" s="21">
        <f>DATE(INT(LEFT($B$3,4))+1,5,1)</f>
        <v>46143</v>
      </c>
      <c r="B82" s="25"/>
      <c r="C82" s="25"/>
      <c r="D82" s="25"/>
      <c r="E82" s="25"/>
      <c r="F82" s="25"/>
      <c r="G82" s="25"/>
      <c r="H82" s="25"/>
      <c r="I82" s="25"/>
    </row>
    <row r="83" spans="1:9" x14ac:dyDescent="0.3">
      <c r="A83" s="21">
        <f>DATE(INT(LEFT($B$3,4))+1,6,1)</f>
        <v>46174</v>
      </c>
      <c r="B83" s="25"/>
      <c r="C83" s="25"/>
      <c r="D83" s="25"/>
      <c r="E83" s="25"/>
      <c r="F83" s="25"/>
      <c r="G83" s="25"/>
      <c r="H83" s="25"/>
      <c r="I83" s="25"/>
    </row>
    <row r="84" spans="1:9" x14ac:dyDescent="0.3">
      <c r="A84" s="21">
        <f>DATE(INT(LEFT($B$3,4))+1,7,1)</f>
        <v>46204</v>
      </c>
      <c r="B84" s="25"/>
      <c r="C84" s="25"/>
      <c r="D84" s="25"/>
      <c r="E84" s="25"/>
      <c r="F84" s="25"/>
      <c r="G84" s="25"/>
      <c r="H84" s="25"/>
      <c r="I84" s="25"/>
    </row>
    <row r="85" spans="1:9" x14ac:dyDescent="0.3">
      <c r="A85" s="21">
        <f>DATE(INT(LEFT($B$3,4))+1,8,1)</f>
        <v>46235</v>
      </c>
      <c r="B85" s="25"/>
      <c r="C85" s="25"/>
      <c r="D85" s="25"/>
      <c r="E85" s="25"/>
      <c r="F85" s="25"/>
      <c r="G85" s="25"/>
      <c r="H85" s="25"/>
      <c r="I85" s="25"/>
    </row>
    <row r="86" spans="1:9" x14ac:dyDescent="0.3">
      <c r="A86" s="21">
        <f>DATE(INT(LEFT($B$3,4))+1,9,1)</f>
        <v>46266</v>
      </c>
      <c r="B86" s="25"/>
      <c r="C86" s="25"/>
      <c r="D86" s="25"/>
      <c r="E86" s="25"/>
      <c r="F86" s="25"/>
      <c r="G86" s="25"/>
      <c r="H86" s="25"/>
      <c r="I86" s="25"/>
    </row>
    <row r="87" spans="1:9" ht="15" thickBot="1" x14ac:dyDescent="0.35">
      <c r="A87" s="30"/>
      <c r="B87" s="31"/>
      <c r="C87" s="31"/>
      <c r="D87" s="31"/>
      <c r="E87" s="31"/>
      <c r="F87" s="31"/>
      <c r="G87" s="31"/>
      <c r="H87" s="31"/>
      <c r="I87" s="31"/>
    </row>
    <row r="88" spans="1:9" ht="16.2" thickTop="1" x14ac:dyDescent="0.3">
      <c r="A88" s="32" t="s">
        <v>92</v>
      </c>
      <c r="B88" s="318">
        <f>SUM(B81:B86)</f>
        <v>0</v>
      </c>
      <c r="C88" s="318">
        <f>SUM(C81:C86)</f>
        <v>0</v>
      </c>
      <c r="D88" s="318">
        <f>SUM(D81:D86)</f>
        <v>0</v>
      </c>
      <c r="E88" s="318">
        <f t="shared" ref="E88:H88" si="10">SUM(E81:E86)</f>
        <v>0</v>
      </c>
      <c r="F88" s="318">
        <f t="shared" si="10"/>
        <v>0</v>
      </c>
      <c r="G88" s="318">
        <f t="shared" si="10"/>
        <v>0</v>
      </c>
      <c r="H88" s="318">
        <f t="shared" si="10"/>
        <v>0</v>
      </c>
      <c r="I88" s="318">
        <f>SUM(I81:I86)</f>
        <v>0</v>
      </c>
    </row>
    <row r="89" spans="1:9" x14ac:dyDescent="0.3">
      <c r="A89" s="330"/>
      <c r="B89" s="331"/>
      <c r="C89" s="331"/>
      <c r="D89" s="331"/>
      <c r="E89" s="331"/>
      <c r="F89" s="331"/>
      <c r="G89" s="331"/>
      <c r="H89" s="331"/>
      <c r="I89" s="332"/>
    </row>
    <row r="90" spans="1:9" ht="17.399999999999999" x14ac:dyDescent="0.3">
      <c r="A90" s="267" t="s">
        <v>91</v>
      </c>
      <c r="B90" s="333">
        <f>B88+B78</f>
        <v>0</v>
      </c>
      <c r="C90" s="333">
        <f>C88+C78</f>
        <v>0</v>
      </c>
      <c r="D90" s="333">
        <f>D88+D78</f>
        <v>0</v>
      </c>
      <c r="E90" s="333">
        <f>E88+E78</f>
        <v>0</v>
      </c>
      <c r="F90" s="333">
        <f t="shared" ref="F90:H90" si="11">F88+F78</f>
        <v>0</v>
      </c>
      <c r="G90" s="333">
        <f t="shared" si="11"/>
        <v>0</v>
      </c>
      <c r="H90" s="333">
        <f t="shared" si="11"/>
        <v>0</v>
      </c>
      <c r="I90" s="334">
        <f>I88+I78</f>
        <v>0</v>
      </c>
    </row>
    <row r="95" spans="1:9" ht="18" x14ac:dyDescent="0.35">
      <c r="A95" s="14" t="s">
        <v>97</v>
      </c>
    </row>
    <row r="96" spans="1:9" ht="15.6" x14ac:dyDescent="0.3">
      <c r="A96" s="15"/>
    </row>
    <row r="97" spans="1:7" ht="18" customHeight="1" x14ac:dyDescent="0.3">
      <c r="A97" s="317" t="s">
        <v>81</v>
      </c>
      <c r="B97" s="16"/>
      <c r="C97" s="16"/>
      <c r="D97" s="16"/>
      <c r="E97" s="16"/>
      <c r="F97" s="16"/>
      <c r="G97" s="41"/>
    </row>
    <row r="98" spans="1:7" ht="23.1" customHeight="1" x14ac:dyDescent="0.3">
      <c r="A98" s="516" t="s">
        <v>82</v>
      </c>
      <c r="B98" s="514" t="s">
        <v>98</v>
      </c>
      <c r="C98" s="514"/>
      <c r="D98" s="514" t="s">
        <v>99</v>
      </c>
      <c r="E98" s="514"/>
      <c r="F98" s="514" t="s">
        <v>100</v>
      </c>
      <c r="G98" s="515"/>
    </row>
    <row r="99" spans="1:7" ht="23.1" customHeight="1" x14ac:dyDescent="0.3">
      <c r="A99" s="510"/>
      <c r="B99" s="323" t="s">
        <v>96</v>
      </c>
      <c r="C99" s="323" t="s">
        <v>101</v>
      </c>
      <c r="D99" s="323" t="s">
        <v>96</v>
      </c>
      <c r="E99" s="323" t="s">
        <v>101</v>
      </c>
      <c r="F99" s="323" t="s">
        <v>96</v>
      </c>
      <c r="G99" s="325" t="s">
        <v>101</v>
      </c>
    </row>
    <row r="100" spans="1:7" x14ac:dyDescent="0.3">
      <c r="A100" s="133">
        <f>DATE(INT(LEFT($B$3,4)),4,1)</f>
        <v>45748</v>
      </c>
      <c r="B100" s="320">
        <v>0</v>
      </c>
      <c r="C100" s="320">
        <v>0</v>
      </c>
      <c r="D100" s="320">
        <v>0</v>
      </c>
      <c r="E100" s="320">
        <v>0</v>
      </c>
      <c r="F100" s="320">
        <v>0</v>
      </c>
      <c r="G100" s="320">
        <v>0</v>
      </c>
    </row>
    <row r="101" spans="1:7" x14ac:dyDescent="0.3">
      <c r="A101" s="133">
        <f>DATE(INT(LEFT($B$3,4)),5,1)</f>
        <v>45778</v>
      </c>
      <c r="B101" s="320">
        <v>0</v>
      </c>
      <c r="C101" s="320">
        <v>0</v>
      </c>
      <c r="D101" s="320">
        <v>0</v>
      </c>
      <c r="E101" s="320">
        <v>0</v>
      </c>
      <c r="F101" s="320">
        <v>0</v>
      </c>
      <c r="G101" s="320">
        <v>0</v>
      </c>
    </row>
    <row r="102" spans="1:7" x14ac:dyDescent="0.3">
      <c r="A102" s="133">
        <f>DATE(INT(LEFT($B$3,4)),6,1)</f>
        <v>45809</v>
      </c>
      <c r="B102" s="320">
        <v>0</v>
      </c>
      <c r="C102" s="320">
        <v>0</v>
      </c>
      <c r="D102" s="320">
        <v>0</v>
      </c>
      <c r="E102" s="320">
        <v>0</v>
      </c>
      <c r="F102" s="320">
        <v>0</v>
      </c>
      <c r="G102" s="320">
        <v>0</v>
      </c>
    </row>
    <row r="103" spans="1:7" x14ac:dyDescent="0.3">
      <c r="A103" s="133">
        <f>DATE(INT(LEFT($B$3,4)),7,1)</f>
        <v>45839</v>
      </c>
      <c r="B103" s="25">
        <v>0</v>
      </c>
      <c r="C103" s="25">
        <v>0</v>
      </c>
      <c r="D103" s="25">
        <v>0</v>
      </c>
      <c r="E103" s="25">
        <v>0</v>
      </c>
      <c r="F103" s="25">
        <v>0</v>
      </c>
      <c r="G103" s="25">
        <v>0</v>
      </c>
    </row>
    <row r="104" spans="1:7" x14ac:dyDescent="0.3">
      <c r="A104" s="133">
        <f>DATE(INT(LEFT($B$3,4)),8,1)</f>
        <v>45870</v>
      </c>
      <c r="B104" s="25">
        <v>0</v>
      </c>
      <c r="C104" s="25">
        <v>0</v>
      </c>
      <c r="D104" s="25">
        <v>0</v>
      </c>
      <c r="E104" s="25">
        <v>0</v>
      </c>
      <c r="F104" s="25">
        <v>0</v>
      </c>
      <c r="G104" s="25">
        <v>0</v>
      </c>
    </row>
    <row r="105" spans="1:7" x14ac:dyDescent="0.3">
      <c r="A105" s="133">
        <f>DATE(INT(LEFT($B$3,4)),9,1)</f>
        <v>45901</v>
      </c>
      <c r="B105" s="25">
        <v>0</v>
      </c>
      <c r="C105" s="25">
        <v>0</v>
      </c>
      <c r="D105" s="25">
        <v>0</v>
      </c>
      <c r="E105" s="25">
        <v>0</v>
      </c>
      <c r="F105" s="25">
        <v>0</v>
      </c>
      <c r="G105" s="25">
        <v>0</v>
      </c>
    </row>
    <row r="106" spans="1:7" x14ac:dyDescent="0.3">
      <c r="A106" s="133">
        <f>DATE(INT(LEFT($B$3,4)),10,1)</f>
        <v>45931</v>
      </c>
      <c r="B106" s="25">
        <v>0</v>
      </c>
      <c r="C106" s="25">
        <v>0</v>
      </c>
      <c r="D106" s="25">
        <v>0</v>
      </c>
      <c r="E106" s="25">
        <v>0</v>
      </c>
      <c r="F106" s="25">
        <v>0</v>
      </c>
      <c r="G106" s="25">
        <v>0</v>
      </c>
    </row>
    <row r="107" spans="1:7" x14ac:dyDescent="0.3">
      <c r="A107" s="133">
        <f>DATE(INT(LEFT($B$3,4)),11,1)</f>
        <v>45962</v>
      </c>
      <c r="B107" s="25">
        <v>0</v>
      </c>
      <c r="C107" s="25">
        <v>0</v>
      </c>
      <c r="D107" s="25">
        <v>0</v>
      </c>
      <c r="E107" s="25">
        <v>0</v>
      </c>
      <c r="F107" s="25">
        <v>0</v>
      </c>
      <c r="G107" s="25">
        <v>0</v>
      </c>
    </row>
    <row r="108" spans="1:7" x14ac:dyDescent="0.3">
      <c r="A108" s="133">
        <f>DATE(INT(LEFT($B$3,4)),12,1)</f>
        <v>45992</v>
      </c>
      <c r="B108" s="25">
        <v>0</v>
      </c>
      <c r="C108" s="25">
        <v>0</v>
      </c>
      <c r="D108" s="25">
        <v>0</v>
      </c>
      <c r="E108" s="25">
        <v>0</v>
      </c>
      <c r="F108" s="25">
        <v>0</v>
      </c>
      <c r="G108" s="25">
        <v>0</v>
      </c>
    </row>
    <row r="109" spans="1:7" x14ac:dyDescent="0.3">
      <c r="A109" s="133">
        <f>DATE(INT(LEFT($B$3,4))+1,1,1)</f>
        <v>46023</v>
      </c>
      <c r="B109" s="25">
        <v>0</v>
      </c>
      <c r="C109" s="25">
        <v>0</v>
      </c>
      <c r="D109" s="25">
        <v>0</v>
      </c>
      <c r="E109" s="25">
        <v>0</v>
      </c>
      <c r="F109" s="25">
        <v>0</v>
      </c>
      <c r="G109" s="25">
        <v>0</v>
      </c>
    </row>
    <row r="110" spans="1:7" x14ac:dyDescent="0.3">
      <c r="A110" s="133">
        <f>DATE(INT(LEFT($B$3,4))+1,2,1)</f>
        <v>46054</v>
      </c>
      <c r="B110" s="25">
        <v>0</v>
      </c>
      <c r="C110" s="25">
        <v>0</v>
      </c>
      <c r="D110" s="25">
        <v>0</v>
      </c>
      <c r="E110" s="25">
        <v>0</v>
      </c>
      <c r="F110" s="25">
        <v>0</v>
      </c>
      <c r="G110" s="25">
        <v>0</v>
      </c>
    </row>
    <row r="111" spans="1:7" x14ac:dyDescent="0.3">
      <c r="A111" s="133">
        <f>DATE(INT(LEFT($B$3,4))+1,3,1)</f>
        <v>46082</v>
      </c>
      <c r="B111" s="25">
        <v>0</v>
      </c>
      <c r="C111" s="25">
        <v>0</v>
      </c>
      <c r="D111" s="25">
        <v>0</v>
      </c>
      <c r="E111" s="25">
        <v>0</v>
      </c>
      <c r="F111" s="25">
        <v>0</v>
      </c>
      <c r="G111" s="25">
        <v>0</v>
      </c>
    </row>
    <row r="112" spans="1:7" ht="30" customHeight="1" x14ac:dyDescent="0.3">
      <c r="A112" s="337" t="s">
        <v>91</v>
      </c>
      <c r="B112" s="335">
        <f t="shared" ref="B112:G112" si="12">SUM(B100:B111)</f>
        <v>0</v>
      </c>
      <c r="C112" s="335">
        <f t="shared" si="12"/>
        <v>0</v>
      </c>
      <c r="D112" s="335">
        <f t="shared" si="12"/>
        <v>0</v>
      </c>
      <c r="E112" s="335">
        <f t="shared" si="12"/>
        <v>0</v>
      </c>
      <c r="F112" s="335">
        <f t="shared" si="12"/>
        <v>0</v>
      </c>
      <c r="G112" s="336">
        <f t="shared" si="12"/>
        <v>0</v>
      </c>
    </row>
  </sheetData>
  <mergeCells count="10">
    <mergeCell ref="I63:I64"/>
    <mergeCell ref="A98:A99"/>
    <mergeCell ref="B98:C98"/>
    <mergeCell ref="D98:E98"/>
    <mergeCell ref="F98:G98"/>
    <mergeCell ref="B29:G29"/>
    <mergeCell ref="A63:A64"/>
    <mergeCell ref="B63:B64"/>
    <mergeCell ref="C63:C64"/>
    <mergeCell ref="D63:H6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4</xdr:col>
                <xdr:colOff>0</xdr:colOff>
                <xdr:row>2</xdr:row>
                <xdr:rowOff>152400</xdr:rowOff>
              </from>
              <to>
                <xdr:col>5</xdr:col>
                <xdr:colOff>236220</xdr:colOff>
                <xdr:row>4</xdr:row>
                <xdr:rowOff>121920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422"/>
  <sheetViews>
    <sheetView showGridLines="0" tabSelected="1" topLeftCell="B181" zoomScale="95" zoomScaleNormal="95" workbookViewId="0">
      <selection activeCell="I191" sqref="I191"/>
    </sheetView>
  </sheetViews>
  <sheetFormatPr defaultColWidth="9.109375" defaultRowHeight="14.4" x14ac:dyDescent="0.3"/>
  <cols>
    <col min="1" max="1" width="19.88671875" style="9" bestFit="1" customWidth="1"/>
    <col min="2" max="6" width="22" style="9" customWidth="1"/>
    <col min="7" max="7" width="18.33203125" style="9" customWidth="1"/>
    <col min="8" max="8" width="19.33203125" style="9" customWidth="1"/>
    <col min="9" max="9" width="19.44140625" style="9" customWidth="1"/>
    <col min="10" max="10" width="21.6640625" style="9" customWidth="1"/>
    <col min="11" max="16384" width="9.109375" style="9"/>
  </cols>
  <sheetData>
    <row r="1" spans="1:24" ht="3" customHeight="1" x14ac:dyDescent="0.3"/>
    <row r="2" spans="1:24" ht="17.399999999999999" x14ac:dyDescent="0.35">
      <c r="A2" s="311" t="s">
        <v>0</v>
      </c>
      <c r="B2" s="350">
        <f>'PREL INFO'!C2</f>
        <v>0</v>
      </c>
      <c r="C2" s="40"/>
      <c r="D2" s="10"/>
    </row>
    <row r="3" spans="1:24" ht="17.399999999999999" x14ac:dyDescent="0.35">
      <c r="A3" s="312" t="s">
        <v>9</v>
      </c>
      <c r="B3" s="351" t="str">
        <f>'PREL INFO'!C15</f>
        <v>2025-26</v>
      </c>
      <c r="D3" s="12"/>
    </row>
    <row r="4" spans="1:24" ht="17.399999999999999" x14ac:dyDescent="0.35">
      <c r="A4" s="313" t="s">
        <v>78</v>
      </c>
      <c r="B4" s="352" t="s">
        <v>102</v>
      </c>
      <c r="C4" s="44"/>
      <c r="D4" s="13"/>
    </row>
    <row r="7" spans="1:24" ht="18" x14ac:dyDescent="0.35">
      <c r="A7" s="14" t="s">
        <v>103</v>
      </c>
    </row>
    <row r="8" spans="1:24" ht="9" customHeight="1" x14ac:dyDescent="0.3">
      <c r="A8" s="15"/>
    </row>
    <row r="9" spans="1:24" ht="18" customHeight="1" x14ac:dyDescent="0.3">
      <c r="A9" s="317" t="s">
        <v>81</v>
      </c>
      <c r="B9" s="16"/>
      <c r="C9" s="16"/>
      <c r="D9" s="16"/>
      <c r="E9" s="16"/>
      <c r="F9" s="41"/>
    </row>
    <row r="10" spans="1:24" ht="24.9" customHeight="1" x14ac:dyDescent="0.3">
      <c r="A10" s="327" t="s">
        <v>104</v>
      </c>
      <c r="B10" s="328" t="s">
        <v>101</v>
      </c>
      <c r="C10" s="328" t="s">
        <v>105</v>
      </c>
      <c r="D10" s="328" t="s">
        <v>106</v>
      </c>
      <c r="E10" s="328" t="s">
        <v>90</v>
      </c>
      <c r="F10" s="329" t="s">
        <v>91</v>
      </c>
    </row>
    <row r="11" spans="1:24" x14ac:dyDescent="0.3">
      <c r="A11" s="21">
        <f>DATE(INT(LEFT($B$3,4)),4,1)</f>
        <v>45748</v>
      </c>
      <c r="B11" s="278"/>
      <c r="C11" s="278"/>
      <c r="D11" s="278"/>
      <c r="E11" s="278"/>
      <c r="F11" s="278">
        <f>SUM(B11:E11)</f>
        <v>0</v>
      </c>
      <c r="X11">
        <v>0</v>
      </c>
    </row>
    <row r="12" spans="1:24" x14ac:dyDescent="0.3">
      <c r="A12" s="21">
        <f>DATE(INT(LEFT($B$3,4)),5,1)</f>
        <v>45778</v>
      </c>
      <c r="B12" s="278"/>
      <c r="C12" s="278"/>
      <c r="D12" s="278"/>
      <c r="E12" s="278"/>
      <c r="F12" s="278">
        <f t="shared" ref="F12:F22" si="0">SUM(B12:E12)</f>
        <v>0</v>
      </c>
      <c r="X12">
        <v>0</v>
      </c>
    </row>
    <row r="13" spans="1:24" x14ac:dyDescent="0.3">
      <c r="A13" s="21">
        <f>DATE(INT(LEFT($B$3,4)),6,1)</f>
        <v>45809</v>
      </c>
      <c r="B13" s="278"/>
      <c r="C13" s="278"/>
      <c r="D13" s="278"/>
      <c r="E13" s="278"/>
      <c r="F13" s="278">
        <f t="shared" si="0"/>
        <v>0</v>
      </c>
      <c r="X13">
        <v>0</v>
      </c>
    </row>
    <row r="14" spans="1:24" x14ac:dyDescent="0.3">
      <c r="A14" s="21">
        <f>DATE(INT(LEFT($B$3,4)),7,1)</f>
        <v>45839</v>
      </c>
      <c r="B14" s="278"/>
      <c r="C14" s="278"/>
      <c r="D14" s="278"/>
      <c r="E14" s="278"/>
      <c r="F14" s="278">
        <f t="shared" si="0"/>
        <v>0</v>
      </c>
      <c r="X14">
        <v>0</v>
      </c>
    </row>
    <row r="15" spans="1:24" x14ac:dyDescent="0.3">
      <c r="A15" s="21">
        <f>DATE(INT(LEFT($B$3,4)),8,1)</f>
        <v>45870</v>
      </c>
      <c r="B15" s="278"/>
      <c r="C15" s="278"/>
      <c r="D15" s="278"/>
      <c r="E15" s="278"/>
      <c r="F15" s="278">
        <f t="shared" si="0"/>
        <v>0</v>
      </c>
      <c r="X15">
        <v>4765360</v>
      </c>
    </row>
    <row r="16" spans="1:24" x14ac:dyDescent="0.3">
      <c r="A16" s="21">
        <f>DATE(INT(LEFT($B$3,4)),9,1)</f>
        <v>45901</v>
      </c>
      <c r="B16" s="278"/>
      <c r="C16" s="278"/>
      <c r="D16" s="278"/>
      <c r="E16" s="278"/>
      <c r="F16" s="278">
        <f t="shared" si="0"/>
        <v>0</v>
      </c>
    </row>
    <row r="17" spans="1:6" x14ac:dyDescent="0.3">
      <c r="A17" s="21">
        <f>DATE(INT(LEFT($B$3,4)),10,1)</f>
        <v>45931</v>
      </c>
      <c r="B17" s="278"/>
      <c r="C17" s="22"/>
      <c r="D17" s="22"/>
      <c r="E17" s="278"/>
      <c r="F17" s="278">
        <f t="shared" si="0"/>
        <v>0</v>
      </c>
    </row>
    <row r="18" spans="1:6" x14ac:dyDescent="0.3">
      <c r="A18" s="21">
        <f>DATE(INT(LEFT($B$3,4)),11,1)</f>
        <v>45962</v>
      </c>
      <c r="B18" s="278"/>
      <c r="C18" s="278"/>
      <c r="D18" s="278"/>
      <c r="E18" s="278"/>
      <c r="F18" s="278">
        <f t="shared" si="0"/>
        <v>0</v>
      </c>
    </row>
    <row r="19" spans="1:6" x14ac:dyDescent="0.3">
      <c r="A19" s="21">
        <f>DATE(INT(LEFT($B$3,4)),12,1)</f>
        <v>45992</v>
      </c>
      <c r="B19" s="278"/>
      <c r="C19" s="22"/>
      <c r="D19" s="22"/>
      <c r="E19" s="278"/>
      <c r="F19" s="278">
        <f t="shared" si="0"/>
        <v>0</v>
      </c>
    </row>
    <row r="20" spans="1:6" x14ac:dyDescent="0.3">
      <c r="A20" s="21">
        <f>DATE(INT(LEFT($B$3,4))+1,1,1)</f>
        <v>46023</v>
      </c>
      <c r="B20" s="278"/>
      <c r="C20" s="278"/>
      <c r="D20" s="278"/>
      <c r="E20" s="278"/>
      <c r="F20" s="278">
        <f t="shared" si="0"/>
        <v>0</v>
      </c>
    </row>
    <row r="21" spans="1:6" x14ac:dyDescent="0.3">
      <c r="A21" s="21">
        <f>DATE(INT(LEFT($B$3,4))+1,2,1)</f>
        <v>46054</v>
      </c>
      <c r="B21" s="278"/>
      <c r="C21" s="278"/>
      <c r="D21" s="278"/>
      <c r="E21" s="278"/>
      <c r="F21" s="278">
        <f t="shared" si="0"/>
        <v>0</v>
      </c>
    </row>
    <row r="22" spans="1:6" x14ac:dyDescent="0.3">
      <c r="A22" s="21">
        <f>DATE(INT(LEFT($B$3,4))+1,3,1)</f>
        <v>46082</v>
      </c>
      <c r="B22" s="278"/>
      <c r="C22" s="278"/>
      <c r="D22" s="278"/>
      <c r="E22" s="278"/>
      <c r="F22" s="278">
        <f t="shared" si="0"/>
        <v>0</v>
      </c>
    </row>
    <row r="23" spans="1:6" ht="15" thickBot="1" x14ac:dyDescent="0.35">
      <c r="A23" s="30"/>
      <c r="B23" s="31"/>
      <c r="C23" s="31"/>
      <c r="D23" s="31"/>
      <c r="E23" s="31"/>
      <c r="F23" s="31"/>
    </row>
    <row r="24" spans="1:6" ht="16.2" thickTop="1" x14ac:dyDescent="0.3">
      <c r="A24" s="32" t="s">
        <v>92</v>
      </c>
      <c r="B24" s="318">
        <f>SUM(B11:B22)</f>
        <v>0</v>
      </c>
      <c r="C24" s="318">
        <f t="shared" ref="C24:F24" si="1">SUM(C11:C22)</f>
        <v>0</v>
      </c>
      <c r="D24" s="318">
        <f t="shared" si="1"/>
        <v>0</v>
      </c>
      <c r="E24" s="318">
        <f t="shared" si="1"/>
        <v>0</v>
      </c>
      <c r="F24" s="318">
        <f t="shared" si="1"/>
        <v>0</v>
      </c>
    </row>
    <row r="25" spans="1:6" x14ac:dyDescent="0.3">
      <c r="A25" s="34"/>
      <c r="B25" s="35"/>
      <c r="C25" s="35"/>
      <c r="D25" s="35"/>
      <c r="E25" s="35"/>
      <c r="F25" s="35"/>
    </row>
    <row r="26" spans="1:6" ht="28.8" x14ac:dyDescent="0.3">
      <c r="A26" s="43" t="str">
        <f>LEFT($B$3,4)&amp;"-"&amp;RIGHT(INT(LEFT($B$3,4)+1),2)&amp;" ITC availed in next year"</f>
        <v>2025-26 ITC availed in next year</v>
      </c>
      <c r="B26" s="36"/>
      <c r="C26" s="36"/>
      <c r="D26" s="36"/>
      <c r="E26" s="36"/>
      <c r="F26" s="36"/>
    </row>
    <row r="27" spans="1:6" x14ac:dyDescent="0.3">
      <c r="A27" s="21">
        <f>DATE(INT(LEFT($B$3,4))+1,4,1)</f>
        <v>46113</v>
      </c>
      <c r="B27" s="25">
        <v>0</v>
      </c>
      <c r="C27" s="25">
        <v>0</v>
      </c>
      <c r="D27" s="25">
        <v>0</v>
      </c>
      <c r="E27" s="25">
        <v>0</v>
      </c>
      <c r="F27" s="25">
        <f>SUM(B27:E27)</f>
        <v>0</v>
      </c>
    </row>
    <row r="28" spans="1:6" x14ac:dyDescent="0.3">
      <c r="A28" s="21">
        <f>DATE(INT(LEFT($B$3,4))+1,5,1)</f>
        <v>46143</v>
      </c>
      <c r="B28" s="25">
        <v>0</v>
      </c>
      <c r="C28" s="25">
        <v>0</v>
      </c>
      <c r="D28" s="25">
        <v>0</v>
      </c>
      <c r="E28" s="25">
        <v>0</v>
      </c>
      <c r="F28" s="25">
        <f t="shared" ref="F28:F38" si="2">SUM(B28:E28)</f>
        <v>0</v>
      </c>
    </row>
    <row r="29" spans="1:6" x14ac:dyDescent="0.3">
      <c r="A29" s="21">
        <f>DATE(INT(LEFT($B$3,4))+1,6,1)</f>
        <v>46174</v>
      </c>
      <c r="B29" s="25">
        <v>0</v>
      </c>
      <c r="C29" s="25">
        <v>0</v>
      </c>
      <c r="D29" s="25">
        <v>0</v>
      </c>
      <c r="E29" s="25">
        <v>0</v>
      </c>
      <c r="F29" s="25">
        <f t="shared" si="2"/>
        <v>0</v>
      </c>
    </row>
    <row r="30" spans="1:6" x14ac:dyDescent="0.3">
      <c r="A30" s="21">
        <f>DATE(INT(LEFT($B$3,4))+1,7,1)</f>
        <v>46204</v>
      </c>
      <c r="B30" s="25">
        <v>0</v>
      </c>
      <c r="C30" s="25">
        <v>0</v>
      </c>
      <c r="D30" s="25">
        <v>0</v>
      </c>
      <c r="E30" s="25">
        <v>0</v>
      </c>
      <c r="F30" s="25">
        <f t="shared" si="2"/>
        <v>0</v>
      </c>
    </row>
    <row r="31" spans="1:6" x14ac:dyDescent="0.3">
      <c r="A31" s="21">
        <f>DATE(INT(LEFT($B$3,4))+1,8,1)</f>
        <v>46235</v>
      </c>
      <c r="B31" s="25">
        <v>0</v>
      </c>
      <c r="C31" s="25">
        <v>0</v>
      </c>
      <c r="D31" s="25">
        <v>0</v>
      </c>
      <c r="E31" s="25">
        <v>0</v>
      </c>
      <c r="F31" s="25">
        <f t="shared" si="2"/>
        <v>0</v>
      </c>
    </row>
    <row r="32" spans="1:6" x14ac:dyDescent="0.3">
      <c r="A32" s="21">
        <f>DATE(INT(LEFT($B$3,4))+1,9,1)</f>
        <v>46266</v>
      </c>
      <c r="B32" s="25">
        <v>0</v>
      </c>
      <c r="C32" s="25">
        <v>0</v>
      </c>
      <c r="D32" s="25">
        <v>0</v>
      </c>
      <c r="E32" s="25">
        <v>0</v>
      </c>
      <c r="F32" s="25">
        <f t="shared" si="2"/>
        <v>0</v>
      </c>
    </row>
    <row r="33" spans="1:6" x14ac:dyDescent="0.3">
      <c r="A33" s="21">
        <f>DATE(INT(LEFT($B$3,4))+1,10,1)</f>
        <v>46296</v>
      </c>
      <c r="B33" s="25">
        <v>0</v>
      </c>
      <c r="C33" s="25">
        <v>0</v>
      </c>
      <c r="D33" s="25">
        <v>0</v>
      </c>
      <c r="E33" s="25">
        <v>0</v>
      </c>
      <c r="F33" s="25">
        <f t="shared" si="2"/>
        <v>0</v>
      </c>
    </row>
    <row r="34" spans="1:6" x14ac:dyDescent="0.3">
      <c r="A34" s="21">
        <f>DATE(INT(LEFT($B$3,4))+1,11,1)</f>
        <v>46327</v>
      </c>
      <c r="B34" s="25">
        <v>0</v>
      </c>
      <c r="C34" s="25">
        <v>0</v>
      </c>
      <c r="D34" s="25">
        <v>0</v>
      </c>
      <c r="E34" s="25">
        <v>0</v>
      </c>
      <c r="F34" s="25">
        <f t="shared" si="2"/>
        <v>0</v>
      </c>
    </row>
    <row r="35" spans="1:6" x14ac:dyDescent="0.3">
      <c r="A35" s="21">
        <f>DATE(INT(LEFT($B$3,4))+1,12,1)</f>
        <v>46357</v>
      </c>
      <c r="B35" s="25">
        <v>0</v>
      </c>
      <c r="C35" s="25">
        <v>0</v>
      </c>
      <c r="D35" s="25">
        <v>0</v>
      </c>
      <c r="E35" s="25">
        <v>0</v>
      </c>
      <c r="F35" s="25">
        <f t="shared" si="2"/>
        <v>0</v>
      </c>
    </row>
    <row r="36" spans="1:6" x14ac:dyDescent="0.3">
      <c r="A36" s="21">
        <f>DATE(INT(LEFT($B$3,4))+2,1,1)</f>
        <v>46388</v>
      </c>
      <c r="B36" s="25">
        <v>0</v>
      </c>
      <c r="C36" s="25">
        <v>0</v>
      </c>
      <c r="D36" s="25">
        <v>0</v>
      </c>
      <c r="E36" s="25">
        <v>0</v>
      </c>
      <c r="F36" s="25">
        <f t="shared" si="2"/>
        <v>0</v>
      </c>
    </row>
    <row r="37" spans="1:6" x14ac:dyDescent="0.3">
      <c r="A37" s="21">
        <f>DATE(INT(LEFT($B$3,4))+2,2,1)</f>
        <v>46419</v>
      </c>
      <c r="B37" s="25">
        <v>0</v>
      </c>
      <c r="C37" s="25">
        <v>0</v>
      </c>
      <c r="D37" s="25">
        <v>0</v>
      </c>
      <c r="E37" s="25">
        <v>0</v>
      </c>
      <c r="F37" s="25">
        <f t="shared" si="2"/>
        <v>0</v>
      </c>
    </row>
    <row r="38" spans="1:6" x14ac:dyDescent="0.3">
      <c r="A38" s="21">
        <f>DATE(INT(LEFT($B$3,4))+2,3,1)</f>
        <v>46447</v>
      </c>
      <c r="B38" s="25">
        <v>0</v>
      </c>
      <c r="C38" s="25">
        <v>0</v>
      </c>
      <c r="D38" s="25">
        <v>0</v>
      </c>
      <c r="E38" s="25">
        <v>0</v>
      </c>
      <c r="F38" s="25">
        <f t="shared" si="2"/>
        <v>0</v>
      </c>
    </row>
    <row r="39" spans="1:6" ht="15" thickBot="1" x14ac:dyDescent="0.35">
      <c r="A39" s="30"/>
      <c r="B39" s="31"/>
      <c r="C39" s="31"/>
      <c r="D39" s="31"/>
      <c r="E39" s="31"/>
      <c r="F39" s="31"/>
    </row>
    <row r="40" spans="1:6" ht="16.2" thickTop="1" x14ac:dyDescent="0.3">
      <c r="A40" s="32" t="s">
        <v>92</v>
      </c>
      <c r="B40" s="318">
        <f>SUM(B27:B39)</f>
        <v>0</v>
      </c>
      <c r="C40" s="318">
        <f t="shared" ref="C40:F40" si="3">SUM(C27:C38)</f>
        <v>0</v>
      </c>
      <c r="D40" s="318">
        <f t="shared" si="3"/>
        <v>0</v>
      </c>
      <c r="E40" s="318">
        <f t="shared" si="3"/>
        <v>0</v>
      </c>
      <c r="F40" s="318">
        <f t="shared" si="3"/>
        <v>0</v>
      </c>
    </row>
    <row r="41" spans="1:6" x14ac:dyDescent="0.3">
      <c r="A41" s="330"/>
      <c r="B41" s="331"/>
      <c r="C41" s="331"/>
      <c r="D41" s="331"/>
      <c r="E41" s="331"/>
      <c r="F41" s="332"/>
    </row>
    <row r="42" spans="1:6" ht="17.399999999999999" x14ac:dyDescent="0.3">
      <c r="A42" s="267" t="s">
        <v>91</v>
      </c>
      <c r="B42" s="333">
        <f>B24+B40</f>
        <v>0</v>
      </c>
      <c r="C42" s="333">
        <f t="shared" ref="C42:F42" si="4">C24+C40</f>
        <v>0</v>
      </c>
      <c r="D42" s="333">
        <f t="shared" si="4"/>
        <v>0</v>
      </c>
      <c r="E42" s="333">
        <f t="shared" si="4"/>
        <v>0</v>
      </c>
      <c r="F42" s="334">
        <f t="shared" si="4"/>
        <v>0</v>
      </c>
    </row>
    <row r="46" spans="1:6" ht="18" x14ac:dyDescent="0.35">
      <c r="A46" s="14" t="s">
        <v>107</v>
      </c>
    </row>
    <row r="48" spans="1:6" ht="18" customHeight="1" x14ac:dyDescent="0.3">
      <c r="A48" s="317" t="s">
        <v>81</v>
      </c>
      <c r="B48" s="16"/>
      <c r="C48" s="16"/>
      <c r="D48" s="16"/>
      <c r="E48" s="16"/>
      <c r="F48" s="41"/>
    </row>
    <row r="49" spans="1:24" ht="24.9" customHeight="1" x14ac:dyDescent="0.3">
      <c r="A49" s="327" t="s">
        <v>108</v>
      </c>
      <c r="B49" s="328" t="s">
        <v>101</v>
      </c>
      <c r="C49" s="328" t="s">
        <v>105</v>
      </c>
      <c r="D49" s="328" t="s">
        <v>106</v>
      </c>
      <c r="E49" s="328" t="s">
        <v>90</v>
      </c>
      <c r="F49" s="329" t="s">
        <v>91</v>
      </c>
    </row>
    <row r="50" spans="1:24" x14ac:dyDescent="0.3">
      <c r="A50" s="21">
        <f>DATE(INT(LEFT($B$3,4)),4,1)</f>
        <v>45748</v>
      </c>
      <c r="B50" s="278">
        <v>0</v>
      </c>
      <c r="C50" s="278">
        <v>0</v>
      </c>
      <c r="D50" s="278">
        <v>0</v>
      </c>
      <c r="E50" s="278">
        <v>0</v>
      </c>
      <c r="F50" s="278">
        <f>SUM(B50:E50)</f>
        <v>0</v>
      </c>
      <c r="X50">
        <v>0</v>
      </c>
    </row>
    <row r="51" spans="1:24" x14ac:dyDescent="0.3">
      <c r="A51" s="21">
        <f>DATE(INT(LEFT($B$3,4)),5,1)</f>
        <v>45778</v>
      </c>
      <c r="B51" s="278">
        <v>0</v>
      </c>
      <c r="C51" s="278">
        <v>0</v>
      </c>
      <c r="D51" s="278">
        <v>0</v>
      </c>
      <c r="E51" s="278">
        <v>0</v>
      </c>
      <c r="F51" s="278">
        <f t="shared" ref="F51:F61" si="5">SUM(B51:E51)</f>
        <v>0</v>
      </c>
      <c r="X51">
        <v>0</v>
      </c>
    </row>
    <row r="52" spans="1:24" x14ac:dyDescent="0.3">
      <c r="A52" s="21">
        <f>DATE(INT(LEFT($B$3,4)),6,1)</f>
        <v>45809</v>
      </c>
      <c r="B52" s="278">
        <v>0</v>
      </c>
      <c r="C52" s="278">
        <v>0</v>
      </c>
      <c r="D52" s="278">
        <v>0</v>
      </c>
      <c r="E52" s="278">
        <v>0</v>
      </c>
      <c r="F52" s="278">
        <f t="shared" si="5"/>
        <v>0</v>
      </c>
    </row>
    <row r="53" spans="1:24" x14ac:dyDescent="0.3">
      <c r="A53" s="21">
        <f>DATE(INT(LEFT($B$3,4)),7,1)</f>
        <v>45839</v>
      </c>
      <c r="B53" s="22">
        <v>0</v>
      </c>
      <c r="C53" s="22">
        <v>0</v>
      </c>
      <c r="D53" s="22">
        <v>0</v>
      </c>
      <c r="E53" s="22">
        <v>0</v>
      </c>
      <c r="F53" s="22">
        <f t="shared" si="5"/>
        <v>0</v>
      </c>
    </row>
    <row r="54" spans="1:24" x14ac:dyDescent="0.3">
      <c r="A54" s="21">
        <f>DATE(INT(LEFT($B$3,4)),8,1)</f>
        <v>45870</v>
      </c>
      <c r="B54" s="22">
        <v>0</v>
      </c>
      <c r="C54" s="22">
        <v>0</v>
      </c>
      <c r="D54" s="22">
        <v>0</v>
      </c>
      <c r="E54" s="22">
        <v>0</v>
      </c>
      <c r="F54" s="22">
        <f t="shared" si="5"/>
        <v>0</v>
      </c>
    </row>
    <row r="55" spans="1:24" x14ac:dyDescent="0.3">
      <c r="A55" s="21">
        <f>DATE(INT(LEFT($B$3,4)),9,1)</f>
        <v>45901</v>
      </c>
      <c r="B55" s="22">
        <v>0</v>
      </c>
      <c r="C55" s="22">
        <v>0</v>
      </c>
      <c r="D55" s="22">
        <v>0</v>
      </c>
      <c r="E55" s="22">
        <v>0</v>
      </c>
      <c r="F55" s="22">
        <f t="shared" si="5"/>
        <v>0</v>
      </c>
    </row>
    <row r="56" spans="1:24" x14ac:dyDescent="0.3">
      <c r="A56" s="21">
        <f>DATE(INT(LEFT($B$3,4)),10,1)</f>
        <v>45931</v>
      </c>
      <c r="B56" s="22">
        <v>0</v>
      </c>
      <c r="C56" s="22">
        <v>0</v>
      </c>
      <c r="D56" s="22">
        <v>0</v>
      </c>
      <c r="E56" s="22">
        <v>0</v>
      </c>
      <c r="F56" s="22">
        <f t="shared" si="5"/>
        <v>0</v>
      </c>
    </row>
    <row r="57" spans="1:24" x14ac:dyDescent="0.3">
      <c r="A57" s="21">
        <f>DATE(INT(LEFT($B$3,4)),11,1)</f>
        <v>45962</v>
      </c>
      <c r="B57" s="22">
        <v>0</v>
      </c>
      <c r="C57" s="22">
        <v>0</v>
      </c>
      <c r="D57" s="22">
        <v>0</v>
      </c>
      <c r="E57" s="22">
        <v>0</v>
      </c>
      <c r="F57" s="22">
        <f t="shared" si="5"/>
        <v>0</v>
      </c>
    </row>
    <row r="58" spans="1:24" x14ac:dyDescent="0.3">
      <c r="A58" s="21">
        <f>DATE(INT(LEFT($B$3,4)),12,1)</f>
        <v>45992</v>
      </c>
      <c r="B58" s="22">
        <v>0</v>
      </c>
      <c r="C58" s="22">
        <v>0</v>
      </c>
      <c r="D58" s="22">
        <v>0</v>
      </c>
      <c r="E58" s="22">
        <v>0</v>
      </c>
      <c r="F58" s="22">
        <f t="shared" si="5"/>
        <v>0</v>
      </c>
    </row>
    <row r="59" spans="1:24" x14ac:dyDescent="0.3">
      <c r="A59" s="21">
        <f>DATE(INT(LEFT($B$3,4))+1,1,1)</f>
        <v>46023</v>
      </c>
      <c r="B59" s="22">
        <v>0</v>
      </c>
      <c r="C59" s="22">
        <v>0</v>
      </c>
      <c r="D59" s="22">
        <v>0</v>
      </c>
      <c r="E59" s="22">
        <v>0</v>
      </c>
      <c r="F59" s="22">
        <f t="shared" si="5"/>
        <v>0</v>
      </c>
    </row>
    <row r="60" spans="1:24" x14ac:dyDescent="0.3">
      <c r="A60" s="21">
        <f>DATE(INT(LEFT($B$3,4))+1,2,1)</f>
        <v>46054</v>
      </c>
      <c r="B60" s="22">
        <v>0</v>
      </c>
      <c r="C60" s="22">
        <v>0</v>
      </c>
      <c r="D60" s="22">
        <v>0</v>
      </c>
      <c r="E60" s="22">
        <v>0</v>
      </c>
      <c r="F60" s="22">
        <f t="shared" si="5"/>
        <v>0</v>
      </c>
    </row>
    <row r="61" spans="1:24" x14ac:dyDescent="0.3">
      <c r="A61" s="21">
        <f>DATE(INT(LEFT($B$3,4))+1,3,1)</f>
        <v>46082</v>
      </c>
      <c r="B61" s="22">
        <v>0</v>
      </c>
      <c r="C61" s="22">
        <v>0</v>
      </c>
      <c r="D61" s="22">
        <v>0</v>
      </c>
      <c r="E61" s="22">
        <v>0</v>
      </c>
      <c r="F61" s="22">
        <f t="shared" si="5"/>
        <v>0</v>
      </c>
    </row>
    <row r="62" spans="1:24" ht="15" thickBot="1" x14ac:dyDescent="0.35">
      <c r="A62" s="30"/>
      <c r="B62" s="31"/>
      <c r="C62" s="31"/>
      <c r="D62" s="31"/>
      <c r="E62" s="31"/>
      <c r="F62" s="31"/>
    </row>
    <row r="63" spans="1:24" ht="16.2" thickTop="1" x14ac:dyDescent="0.3">
      <c r="A63" s="32" t="s">
        <v>92</v>
      </c>
      <c r="B63" s="318">
        <f>SUM(B50:B61)</f>
        <v>0</v>
      </c>
      <c r="C63" s="318">
        <f t="shared" ref="C63:F63" si="6">SUM(C50:C61)</f>
        <v>0</v>
      </c>
      <c r="D63" s="318">
        <f t="shared" si="6"/>
        <v>0</v>
      </c>
      <c r="E63" s="318">
        <f t="shared" si="6"/>
        <v>0</v>
      </c>
      <c r="F63" s="318">
        <f t="shared" si="6"/>
        <v>0</v>
      </c>
    </row>
    <row r="64" spans="1:24" x14ac:dyDescent="0.3">
      <c r="A64" s="34"/>
      <c r="B64" s="35"/>
      <c r="C64" s="35"/>
      <c r="D64" s="35"/>
      <c r="E64" s="35"/>
      <c r="F64" s="35"/>
    </row>
    <row r="65" spans="1:6" ht="28.8" x14ac:dyDescent="0.3">
      <c r="A65" s="43" t="str">
        <f>LEFT($B$3,4)&amp;"-"&amp;RIGHT(INT(LEFT($B$3,4)+1),2)&amp;" ITC availed in next year"</f>
        <v>2025-26 ITC availed in next year</v>
      </c>
      <c r="B65" s="36"/>
      <c r="C65" s="36"/>
      <c r="D65" s="36"/>
      <c r="E65" s="36"/>
      <c r="F65" s="36"/>
    </row>
    <row r="66" spans="1:6" x14ac:dyDescent="0.3">
      <c r="A66" s="21">
        <f>DATE(INT(LEFT($B$3,4))+1,4,1)</f>
        <v>46113</v>
      </c>
      <c r="B66" s="25">
        <v>0</v>
      </c>
      <c r="C66" s="25">
        <v>0</v>
      </c>
      <c r="D66" s="25">
        <v>0</v>
      </c>
      <c r="E66" s="25">
        <v>0</v>
      </c>
      <c r="F66" s="25">
        <f>SUM(B66:E66)</f>
        <v>0</v>
      </c>
    </row>
    <row r="67" spans="1:6" x14ac:dyDescent="0.3">
      <c r="A67" s="21">
        <f>DATE(INT(LEFT($B$3,4))+1,5,1)</f>
        <v>46143</v>
      </c>
      <c r="B67" s="25">
        <v>0</v>
      </c>
      <c r="C67" s="25">
        <v>0</v>
      </c>
      <c r="D67" s="25">
        <v>0</v>
      </c>
      <c r="E67" s="25">
        <v>0</v>
      </c>
      <c r="F67" s="25">
        <f t="shared" ref="F67:F77" si="7">SUM(B67:E67)</f>
        <v>0</v>
      </c>
    </row>
    <row r="68" spans="1:6" x14ac:dyDescent="0.3">
      <c r="A68" s="21">
        <f>DATE(INT(LEFT($B$3,4))+1,6,1)</f>
        <v>46174</v>
      </c>
      <c r="B68" s="25">
        <v>0</v>
      </c>
      <c r="C68" s="25">
        <v>0</v>
      </c>
      <c r="D68" s="25">
        <v>0</v>
      </c>
      <c r="E68" s="25">
        <v>0</v>
      </c>
      <c r="F68" s="25">
        <f t="shared" si="7"/>
        <v>0</v>
      </c>
    </row>
    <row r="69" spans="1:6" x14ac:dyDescent="0.3">
      <c r="A69" s="21">
        <f>DATE(INT(LEFT($B$3,4))+1,7,1)</f>
        <v>46204</v>
      </c>
      <c r="B69" s="25">
        <v>0</v>
      </c>
      <c r="C69" s="25">
        <v>0</v>
      </c>
      <c r="D69" s="25">
        <v>0</v>
      </c>
      <c r="E69" s="25">
        <v>0</v>
      </c>
      <c r="F69" s="25">
        <f t="shared" si="7"/>
        <v>0</v>
      </c>
    </row>
    <row r="70" spans="1:6" x14ac:dyDescent="0.3">
      <c r="A70" s="21">
        <f>DATE(INT(LEFT($B$3,4))+1,8,1)</f>
        <v>46235</v>
      </c>
      <c r="B70" s="25">
        <v>0</v>
      </c>
      <c r="C70" s="25">
        <v>0</v>
      </c>
      <c r="D70" s="25">
        <v>0</v>
      </c>
      <c r="E70" s="25">
        <v>0</v>
      </c>
      <c r="F70" s="25">
        <f t="shared" si="7"/>
        <v>0</v>
      </c>
    </row>
    <row r="71" spans="1:6" x14ac:dyDescent="0.3">
      <c r="A71" s="21">
        <f>DATE(INT(LEFT($B$3,4))+1,9,1)</f>
        <v>46266</v>
      </c>
      <c r="B71" s="25">
        <v>0</v>
      </c>
      <c r="C71" s="25">
        <v>0</v>
      </c>
      <c r="D71" s="25">
        <v>0</v>
      </c>
      <c r="E71" s="25">
        <v>0</v>
      </c>
      <c r="F71" s="25">
        <f t="shared" si="7"/>
        <v>0</v>
      </c>
    </row>
    <row r="72" spans="1:6" x14ac:dyDescent="0.3">
      <c r="A72" s="21">
        <f>DATE(INT(LEFT($B$3,4))+1,10,1)</f>
        <v>46296</v>
      </c>
      <c r="B72" s="25">
        <v>0</v>
      </c>
      <c r="C72" s="25">
        <v>0</v>
      </c>
      <c r="D72" s="25">
        <v>0</v>
      </c>
      <c r="E72" s="25">
        <v>0</v>
      </c>
      <c r="F72" s="25">
        <f t="shared" si="7"/>
        <v>0</v>
      </c>
    </row>
    <row r="73" spans="1:6" x14ac:dyDescent="0.3">
      <c r="A73" s="21">
        <f>DATE(INT(LEFT($B$3,4))+1,11,1)</f>
        <v>46327</v>
      </c>
      <c r="B73" s="25">
        <v>0</v>
      </c>
      <c r="C73" s="25">
        <v>0</v>
      </c>
      <c r="D73" s="25">
        <v>0</v>
      </c>
      <c r="E73" s="25">
        <v>0</v>
      </c>
      <c r="F73" s="25">
        <f t="shared" si="7"/>
        <v>0</v>
      </c>
    </row>
    <row r="74" spans="1:6" x14ac:dyDescent="0.3">
      <c r="A74" s="21">
        <f>DATE(INT(LEFT($B$3,4))+1,12,1)</f>
        <v>46357</v>
      </c>
      <c r="B74" s="25">
        <v>0</v>
      </c>
      <c r="C74" s="25">
        <v>0</v>
      </c>
      <c r="D74" s="25">
        <v>0</v>
      </c>
      <c r="E74" s="25">
        <v>0</v>
      </c>
      <c r="F74" s="25">
        <f t="shared" si="7"/>
        <v>0</v>
      </c>
    </row>
    <row r="75" spans="1:6" x14ac:dyDescent="0.3">
      <c r="A75" s="21">
        <f>DATE(INT(LEFT($B$3,4))+2,1,1)</f>
        <v>46388</v>
      </c>
      <c r="B75" s="25">
        <v>0</v>
      </c>
      <c r="C75" s="25">
        <v>0</v>
      </c>
      <c r="D75" s="25">
        <v>0</v>
      </c>
      <c r="E75" s="25">
        <v>0</v>
      </c>
      <c r="F75" s="25">
        <f t="shared" si="7"/>
        <v>0</v>
      </c>
    </row>
    <row r="76" spans="1:6" x14ac:dyDescent="0.3">
      <c r="A76" s="21">
        <f>DATE(INT(LEFT($B$3,4))+2,2,1)</f>
        <v>46419</v>
      </c>
      <c r="B76" s="25">
        <v>0</v>
      </c>
      <c r="C76" s="25">
        <v>0</v>
      </c>
      <c r="D76" s="25">
        <v>0</v>
      </c>
      <c r="E76" s="25">
        <v>0</v>
      </c>
      <c r="F76" s="25">
        <f t="shared" si="7"/>
        <v>0</v>
      </c>
    </row>
    <row r="77" spans="1:6" x14ac:dyDescent="0.3">
      <c r="A77" s="21">
        <f>DATE(INT(LEFT($B$3,4))+2,3,1)</f>
        <v>46447</v>
      </c>
      <c r="B77" s="25">
        <v>0</v>
      </c>
      <c r="C77" s="25">
        <v>0</v>
      </c>
      <c r="D77" s="25">
        <v>0</v>
      </c>
      <c r="E77" s="25">
        <v>0</v>
      </c>
      <c r="F77" s="25">
        <f t="shared" si="7"/>
        <v>0</v>
      </c>
    </row>
    <row r="78" spans="1:6" ht="15" thickBot="1" x14ac:dyDescent="0.35">
      <c r="A78" s="30"/>
      <c r="B78" s="31"/>
      <c r="C78" s="31"/>
      <c r="D78" s="31"/>
      <c r="E78" s="31"/>
      <c r="F78" s="31"/>
    </row>
    <row r="79" spans="1:6" ht="16.2" thickTop="1" x14ac:dyDescent="0.3">
      <c r="A79" s="32" t="s">
        <v>92</v>
      </c>
      <c r="B79" s="318">
        <f>SUM(B66:B77)</f>
        <v>0</v>
      </c>
      <c r="C79" s="318">
        <f t="shared" ref="C79:F79" si="8">SUM(C66:C77)</f>
        <v>0</v>
      </c>
      <c r="D79" s="318">
        <f t="shared" si="8"/>
        <v>0</v>
      </c>
      <c r="E79" s="318">
        <f t="shared" si="8"/>
        <v>0</v>
      </c>
      <c r="F79" s="318">
        <f t="shared" si="8"/>
        <v>0</v>
      </c>
    </row>
    <row r="80" spans="1:6" x14ac:dyDescent="0.3">
      <c r="A80" s="330"/>
      <c r="B80" s="331"/>
      <c r="C80" s="331"/>
      <c r="D80" s="331"/>
      <c r="E80" s="331"/>
      <c r="F80" s="332"/>
    </row>
    <row r="81" spans="1:6" ht="17.399999999999999" x14ac:dyDescent="0.3">
      <c r="A81" s="267" t="s">
        <v>91</v>
      </c>
      <c r="B81" s="333">
        <f>B63+B79</f>
        <v>0</v>
      </c>
      <c r="C81" s="333">
        <f t="shared" ref="C81:F81" si="9">C63+C79</f>
        <v>0</v>
      </c>
      <c r="D81" s="333">
        <f t="shared" si="9"/>
        <v>0</v>
      </c>
      <c r="E81" s="333">
        <f t="shared" si="9"/>
        <v>0</v>
      </c>
      <c r="F81" s="334">
        <f t="shared" si="9"/>
        <v>0</v>
      </c>
    </row>
    <row r="85" spans="1:6" ht="18" x14ac:dyDescent="0.35">
      <c r="A85" s="14" t="s">
        <v>109</v>
      </c>
    </row>
    <row r="87" spans="1:6" ht="18" customHeight="1" x14ac:dyDescent="0.3">
      <c r="A87" s="317" t="s">
        <v>81</v>
      </c>
      <c r="B87" s="16"/>
      <c r="C87" s="16"/>
      <c r="D87" s="16"/>
      <c r="E87" s="16"/>
      <c r="F87" s="41"/>
    </row>
    <row r="88" spans="1:6" ht="24.9" customHeight="1" x14ac:dyDescent="0.3">
      <c r="A88" s="327" t="s">
        <v>110</v>
      </c>
      <c r="B88" s="328" t="s">
        <v>101</v>
      </c>
      <c r="C88" s="328" t="s">
        <v>105</v>
      </c>
      <c r="D88" s="328" t="s">
        <v>106</v>
      </c>
      <c r="E88" s="328" t="s">
        <v>90</v>
      </c>
      <c r="F88" s="329" t="s">
        <v>91</v>
      </c>
    </row>
    <row r="89" spans="1:6" x14ac:dyDescent="0.3">
      <c r="A89" s="21">
        <f>DATE(INT(LEFT($B$3,4)),4,1)</f>
        <v>45748</v>
      </c>
      <c r="B89" s="278">
        <f>B11-B50</f>
        <v>0</v>
      </c>
      <c r="C89" s="278">
        <f t="shared" ref="C89:E89" si="10">C11-C50</f>
        <v>0</v>
      </c>
      <c r="D89" s="278">
        <f t="shared" si="10"/>
        <v>0</v>
      </c>
      <c r="E89" s="278">
        <f t="shared" si="10"/>
        <v>0</v>
      </c>
      <c r="F89" s="278">
        <f>SUM(B89:E89)</f>
        <v>0</v>
      </c>
    </row>
    <row r="90" spans="1:6" x14ac:dyDescent="0.3">
      <c r="A90" s="21">
        <f>DATE(INT(LEFT($B$3,4)),5,1)</f>
        <v>45778</v>
      </c>
      <c r="B90" s="278">
        <f t="shared" ref="B90:D90" si="11">B12-B51</f>
        <v>0</v>
      </c>
      <c r="C90" s="278">
        <f t="shared" si="11"/>
        <v>0</v>
      </c>
      <c r="D90" s="278">
        <f t="shared" si="11"/>
        <v>0</v>
      </c>
      <c r="E90" s="278">
        <f t="shared" ref="E90:E100" si="12">E12-E51</f>
        <v>0</v>
      </c>
      <c r="F90" s="278">
        <f t="shared" ref="F90:F100" si="13">SUM(B90:E90)</f>
        <v>0</v>
      </c>
    </row>
    <row r="91" spans="1:6" x14ac:dyDescent="0.3">
      <c r="A91" s="21">
        <f>DATE(INT(LEFT($B$3,4)),6,1)</f>
        <v>45809</v>
      </c>
      <c r="B91" s="278">
        <f t="shared" ref="B91:D91" si="14">B13-B52</f>
        <v>0</v>
      </c>
      <c r="C91" s="278">
        <f t="shared" si="14"/>
        <v>0</v>
      </c>
      <c r="D91" s="278">
        <f t="shared" si="14"/>
        <v>0</v>
      </c>
      <c r="E91" s="278">
        <f t="shared" si="12"/>
        <v>0</v>
      </c>
      <c r="F91" s="278">
        <f t="shared" si="13"/>
        <v>0</v>
      </c>
    </row>
    <row r="92" spans="1:6" x14ac:dyDescent="0.3">
      <c r="A92" s="21">
        <f>DATE(INT(LEFT($B$3,4)),7,1)</f>
        <v>45839</v>
      </c>
      <c r="B92" s="278">
        <f t="shared" ref="B92:D92" si="15">B14-B53</f>
        <v>0</v>
      </c>
      <c r="C92" s="278">
        <f t="shared" si="15"/>
        <v>0</v>
      </c>
      <c r="D92" s="278">
        <f t="shared" si="15"/>
        <v>0</v>
      </c>
      <c r="E92" s="22">
        <f t="shared" si="12"/>
        <v>0</v>
      </c>
      <c r="F92" s="22">
        <f t="shared" si="13"/>
        <v>0</v>
      </c>
    </row>
    <row r="93" spans="1:6" x14ac:dyDescent="0.3">
      <c r="A93" s="21">
        <f>DATE(INT(LEFT($B$3,4)),8,1)</f>
        <v>45870</v>
      </c>
      <c r="B93" s="278">
        <f t="shared" ref="B93:D93" si="16">B15-B54</f>
        <v>0</v>
      </c>
      <c r="C93" s="278">
        <f t="shared" si="16"/>
        <v>0</v>
      </c>
      <c r="D93" s="278">
        <f t="shared" si="16"/>
        <v>0</v>
      </c>
      <c r="E93" s="22">
        <f t="shared" si="12"/>
        <v>0</v>
      </c>
      <c r="F93" s="22">
        <f t="shared" si="13"/>
        <v>0</v>
      </c>
    </row>
    <row r="94" spans="1:6" x14ac:dyDescent="0.3">
      <c r="A94" s="21">
        <f>DATE(INT(LEFT($B$3,4)),9,1)</f>
        <v>45901</v>
      </c>
      <c r="B94" s="278">
        <f t="shared" ref="B94:D94" si="17">B16-B55</f>
        <v>0</v>
      </c>
      <c r="C94" s="278">
        <f t="shared" si="17"/>
        <v>0</v>
      </c>
      <c r="D94" s="278">
        <f t="shared" si="17"/>
        <v>0</v>
      </c>
      <c r="E94" s="22">
        <f t="shared" si="12"/>
        <v>0</v>
      </c>
      <c r="F94" s="22">
        <f t="shared" si="13"/>
        <v>0</v>
      </c>
    </row>
    <row r="95" spans="1:6" x14ac:dyDescent="0.3">
      <c r="A95" s="21">
        <f>DATE(INT(LEFT($B$3,4)),10,1)</f>
        <v>45931</v>
      </c>
      <c r="B95" s="278">
        <f t="shared" ref="B95:D95" si="18">B17-B56</f>
        <v>0</v>
      </c>
      <c r="C95" s="278">
        <f t="shared" si="18"/>
        <v>0</v>
      </c>
      <c r="D95" s="278">
        <f t="shared" si="18"/>
        <v>0</v>
      </c>
      <c r="E95" s="22">
        <f t="shared" si="12"/>
        <v>0</v>
      </c>
      <c r="F95" s="22">
        <f t="shared" si="13"/>
        <v>0</v>
      </c>
    </row>
    <row r="96" spans="1:6" x14ac:dyDescent="0.3">
      <c r="A96" s="21">
        <f>DATE(INT(LEFT($B$3,4)),11,1)</f>
        <v>45962</v>
      </c>
      <c r="B96" s="278">
        <f t="shared" ref="B96:D96" si="19">B18-B57</f>
        <v>0</v>
      </c>
      <c r="C96" s="278">
        <f t="shared" si="19"/>
        <v>0</v>
      </c>
      <c r="D96" s="278">
        <f t="shared" si="19"/>
        <v>0</v>
      </c>
      <c r="E96" s="22">
        <f t="shared" si="12"/>
        <v>0</v>
      </c>
      <c r="F96" s="22">
        <f t="shared" si="13"/>
        <v>0</v>
      </c>
    </row>
    <row r="97" spans="1:6" x14ac:dyDescent="0.3">
      <c r="A97" s="21">
        <f>DATE(INT(LEFT($B$3,4)),12,1)</f>
        <v>45992</v>
      </c>
      <c r="B97" s="278">
        <f t="shared" ref="B97:D98" si="20">B19-B58</f>
        <v>0</v>
      </c>
      <c r="C97" s="278">
        <f t="shared" si="20"/>
        <v>0</v>
      </c>
      <c r="D97" s="278">
        <f t="shared" si="20"/>
        <v>0</v>
      </c>
      <c r="E97" s="22">
        <f t="shared" si="12"/>
        <v>0</v>
      </c>
      <c r="F97" s="22">
        <f t="shared" si="13"/>
        <v>0</v>
      </c>
    </row>
    <row r="98" spans="1:6" x14ac:dyDescent="0.3">
      <c r="A98" s="21">
        <f>DATE(INT(LEFT($B$3,4))+1,1,1)</f>
        <v>46023</v>
      </c>
      <c r="B98" s="278">
        <f t="shared" ref="B98" si="21">B20-B59</f>
        <v>0</v>
      </c>
      <c r="C98" s="278">
        <f t="shared" si="20"/>
        <v>0</v>
      </c>
      <c r="D98" s="278">
        <f t="shared" si="20"/>
        <v>0</v>
      </c>
      <c r="E98" s="22">
        <f t="shared" si="12"/>
        <v>0</v>
      </c>
      <c r="F98" s="22">
        <f t="shared" si="13"/>
        <v>0</v>
      </c>
    </row>
    <row r="99" spans="1:6" x14ac:dyDescent="0.3">
      <c r="A99" s="21">
        <f>DATE(INT(LEFT($B$3,4))+1,2,1)</f>
        <v>46054</v>
      </c>
      <c r="B99" s="278">
        <f t="shared" ref="B99:D99" si="22">B21-B60</f>
        <v>0</v>
      </c>
      <c r="C99" s="278">
        <f t="shared" si="22"/>
        <v>0</v>
      </c>
      <c r="D99" s="278">
        <f t="shared" si="22"/>
        <v>0</v>
      </c>
      <c r="E99" s="22">
        <f t="shared" si="12"/>
        <v>0</v>
      </c>
      <c r="F99" s="22">
        <f t="shared" si="13"/>
        <v>0</v>
      </c>
    </row>
    <row r="100" spans="1:6" x14ac:dyDescent="0.3">
      <c r="A100" s="21">
        <f>DATE(INT(LEFT($B$3,4))+1,3,1)</f>
        <v>46082</v>
      </c>
      <c r="B100" s="278">
        <f t="shared" ref="B100:D100" si="23">B22-B61</f>
        <v>0</v>
      </c>
      <c r="C100" s="278">
        <f t="shared" si="23"/>
        <v>0</v>
      </c>
      <c r="D100" s="278">
        <f t="shared" si="23"/>
        <v>0</v>
      </c>
      <c r="E100" s="22">
        <f t="shared" si="12"/>
        <v>0</v>
      </c>
      <c r="F100" s="22">
        <f t="shared" si="13"/>
        <v>0</v>
      </c>
    </row>
    <row r="101" spans="1:6" ht="15" thickBot="1" x14ac:dyDescent="0.35">
      <c r="A101" s="30"/>
      <c r="B101" s="31"/>
      <c r="C101" s="31"/>
      <c r="D101" s="31"/>
      <c r="E101" s="31"/>
      <c r="F101" s="31"/>
    </row>
    <row r="102" spans="1:6" ht="16.2" thickTop="1" x14ac:dyDescent="0.3">
      <c r="A102" s="32" t="s">
        <v>92</v>
      </c>
      <c r="B102" s="318">
        <f>SUM(B89:B100)</f>
        <v>0</v>
      </c>
      <c r="C102" s="318">
        <f t="shared" ref="C102:F102" si="24">SUM(C89:C100)</f>
        <v>0</v>
      </c>
      <c r="D102" s="318">
        <f t="shared" si="24"/>
        <v>0</v>
      </c>
      <c r="E102" s="318">
        <f t="shared" si="24"/>
        <v>0</v>
      </c>
      <c r="F102" s="318">
        <f t="shared" si="24"/>
        <v>0</v>
      </c>
    </row>
    <row r="103" spans="1:6" x14ac:dyDescent="0.3">
      <c r="A103" s="34"/>
      <c r="B103" s="35"/>
      <c r="C103" s="35"/>
      <c r="D103" s="35"/>
      <c r="E103" s="35"/>
      <c r="F103" s="35"/>
    </row>
    <row r="104" spans="1:6" ht="28.8" x14ac:dyDescent="0.3">
      <c r="A104" s="43" t="str">
        <f>LEFT($B$3,4)&amp;"-"&amp;RIGHT(INT(LEFT($B$3,4)+1),2)&amp;" ITC availed in next year"</f>
        <v>2025-26 ITC availed in next year</v>
      </c>
      <c r="B104" s="36"/>
      <c r="C104" s="36"/>
      <c r="D104" s="36"/>
      <c r="E104" s="36"/>
      <c r="F104" s="36"/>
    </row>
    <row r="105" spans="1:6" x14ac:dyDescent="0.3">
      <c r="A105" s="21">
        <f>DATE(INT(LEFT($B$3,4))+1,4,1)</f>
        <v>46113</v>
      </c>
      <c r="B105" s="25">
        <f>B27-B66</f>
        <v>0</v>
      </c>
      <c r="C105" s="25">
        <f t="shared" ref="C105:E105" si="25">C27-C66</f>
        <v>0</v>
      </c>
      <c r="D105" s="25">
        <f t="shared" si="25"/>
        <v>0</v>
      </c>
      <c r="E105" s="25">
        <f t="shared" si="25"/>
        <v>0</v>
      </c>
      <c r="F105" s="25">
        <f>SUM(B105:E105)</f>
        <v>0</v>
      </c>
    </row>
    <row r="106" spans="1:6" x14ac:dyDescent="0.3">
      <c r="A106" s="21">
        <f>DATE(INT(LEFT($B$3,4))+1,5,1)</f>
        <v>46143</v>
      </c>
      <c r="B106" s="25">
        <f t="shared" ref="B106:E116" si="26">B28-B67</f>
        <v>0</v>
      </c>
      <c r="C106" s="25">
        <f t="shared" si="26"/>
        <v>0</v>
      </c>
      <c r="D106" s="25">
        <f t="shared" si="26"/>
        <v>0</v>
      </c>
      <c r="E106" s="25">
        <f t="shared" si="26"/>
        <v>0</v>
      </c>
      <c r="F106" s="25">
        <f t="shared" ref="F106:F116" si="27">SUM(B106:E106)</f>
        <v>0</v>
      </c>
    </row>
    <row r="107" spans="1:6" x14ac:dyDescent="0.3">
      <c r="A107" s="21">
        <f>DATE(INT(LEFT($B$3,4))+1,6,1)</f>
        <v>46174</v>
      </c>
      <c r="B107" s="25">
        <f t="shared" si="26"/>
        <v>0</v>
      </c>
      <c r="C107" s="25">
        <f t="shared" si="26"/>
        <v>0</v>
      </c>
      <c r="D107" s="25">
        <f t="shared" si="26"/>
        <v>0</v>
      </c>
      <c r="E107" s="25">
        <f t="shared" si="26"/>
        <v>0</v>
      </c>
      <c r="F107" s="25">
        <f t="shared" si="27"/>
        <v>0</v>
      </c>
    </row>
    <row r="108" spans="1:6" x14ac:dyDescent="0.3">
      <c r="A108" s="21">
        <f>DATE(INT(LEFT($B$3,4))+1,7,1)</f>
        <v>46204</v>
      </c>
      <c r="B108" s="25">
        <f t="shared" si="26"/>
        <v>0</v>
      </c>
      <c r="C108" s="25">
        <f t="shared" si="26"/>
        <v>0</v>
      </c>
      <c r="D108" s="25">
        <f t="shared" si="26"/>
        <v>0</v>
      </c>
      <c r="E108" s="25">
        <f t="shared" si="26"/>
        <v>0</v>
      </c>
      <c r="F108" s="25">
        <f t="shared" si="27"/>
        <v>0</v>
      </c>
    </row>
    <row r="109" spans="1:6" x14ac:dyDescent="0.3">
      <c r="A109" s="21">
        <f>DATE(INT(LEFT($B$3,4))+1,8,1)</f>
        <v>46235</v>
      </c>
      <c r="B109" s="25">
        <f t="shared" si="26"/>
        <v>0</v>
      </c>
      <c r="C109" s="25">
        <f t="shared" si="26"/>
        <v>0</v>
      </c>
      <c r="D109" s="25">
        <f t="shared" si="26"/>
        <v>0</v>
      </c>
      <c r="E109" s="25">
        <f t="shared" si="26"/>
        <v>0</v>
      </c>
      <c r="F109" s="25">
        <f t="shared" si="27"/>
        <v>0</v>
      </c>
    </row>
    <row r="110" spans="1:6" x14ac:dyDescent="0.3">
      <c r="A110" s="21">
        <f>DATE(INT(LEFT($B$3,4))+1,9,1)</f>
        <v>46266</v>
      </c>
      <c r="B110" s="25">
        <f t="shared" si="26"/>
        <v>0</v>
      </c>
      <c r="C110" s="25">
        <f t="shared" si="26"/>
        <v>0</v>
      </c>
      <c r="D110" s="25">
        <f t="shared" si="26"/>
        <v>0</v>
      </c>
      <c r="E110" s="25">
        <f t="shared" si="26"/>
        <v>0</v>
      </c>
      <c r="F110" s="25">
        <f t="shared" si="27"/>
        <v>0</v>
      </c>
    </row>
    <row r="111" spans="1:6" x14ac:dyDescent="0.3">
      <c r="A111" s="21">
        <f>DATE(INT(LEFT($B$3,4))+1,10,1)</f>
        <v>46296</v>
      </c>
      <c r="B111" s="25">
        <f t="shared" si="26"/>
        <v>0</v>
      </c>
      <c r="C111" s="25">
        <f t="shared" si="26"/>
        <v>0</v>
      </c>
      <c r="D111" s="25">
        <f t="shared" si="26"/>
        <v>0</v>
      </c>
      <c r="E111" s="25">
        <f t="shared" si="26"/>
        <v>0</v>
      </c>
      <c r="F111" s="25">
        <f t="shared" si="27"/>
        <v>0</v>
      </c>
    </row>
    <row r="112" spans="1:6" x14ac:dyDescent="0.3">
      <c r="A112" s="21">
        <f>DATE(INT(LEFT($B$3,4))+1,11,1)</f>
        <v>46327</v>
      </c>
      <c r="B112" s="25">
        <f t="shared" si="26"/>
        <v>0</v>
      </c>
      <c r="C112" s="25">
        <f t="shared" si="26"/>
        <v>0</v>
      </c>
      <c r="D112" s="25">
        <f t="shared" si="26"/>
        <v>0</v>
      </c>
      <c r="E112" s="25">
        <f t="shared" si="26"/>
        <v>0</v>
      </c>
      <c r="F112" s="25">
        <f t="shared" si="27"/>
        <v>0</v>
      </c>
    </row>
    <row r="113" spans="1:24" x14ac:dyDescent="0.3">
      <c r="A113" s="21">
        <f>DATE(INT(LEFT($B$3,4))+1,12,1)</f>
        <v>46357</v>
      </c>
      <c r="B113" s="25">
        <f t="shared" si="26"/>
        <v>0</v>
      </c>
      <c r="C113" s="25">
        <f t="shared" si="26"/>
        <v>0</v>
      </c>
      <c r="D113" s="25">
        <f t="shared" si="26"/>
        <v>0</v>
      </c>
      <c r="E113" s="25">
        <f t="shared" si="26"/>
        <v>0</v>
      </c>
      <c r="F113" s="25">
        <f t="shared" si="27"/>
        <v>0</v>
      </c>
    </row>
    <row r="114" spans="1:24" x14ac:dyDescent="0.3">
      <c r="A114" s="21">
        <f>DATE(INT(LEFT($B$3,4))+2,1,1)</f>
        <v>46388</v>
      </c>
      <c r="B114" s="25">
        <f t="shared" si="26"/>
        <v>0</v>
      </c>
      <c r="C114" s="25">
        <f t="shared" si="26"/>
        <v>0</v>
      </c>
      <c r="D114" s="25">
        <f t="shared" si="26"/>
        <v>0</v>
      </c>
      <c r="E114" s="25">
        <f t="shared" si="26"/>
        <v>0</v>
      </c>
      <c r="F114" s="25">
        <f t="shared" si="27"/>
        <v>0</v>
      </c>
    </row>
    <row r="115" spans="1:24" x14ac:dyDescent="0.3">
      <c r="A115" s="21">
        <f>DATE(INT(LEFT($B$3,4))+2,2,1)</f>
        <v>46419</v>
      </c>
      <c r="B115" s="25">
        <f t="shared" si="26"/>
        <v>0</v>
      </c>
      <c r="C115" s="25">
        <f t="shared" si="26"/>
        <v>0</v>
      </c>
      <c r="D115" s="25">
        <f t="shared" si="26"/>
        <v>0</v>
      </c>
      <c r="E115" s="25">
        <f t="shared" si="26"/>
        <v>0</v>
      </c>
      <c r="F115" s="25">
        <f t="shared" si="27"/>
        <v>0</v>
      </c>
    </row>
    <row r="116" spans="1:24" x14ac:dyDescent="0.3">
      <c r="A116" s="21">
        <f>DATE(INT(LEFT($B$3,4))+2,3,1)</f>
        <v>46447</v>
      </c>
      <c r="B116" s="25">
        <f t="shared" si="26"/>
        <v>0</v>
      </c>
      <c r="C116" s="25">
        <f t="shared" si="26"/>
        <v>0</v>
      </c>
      <c r="D116" s="25">
        <f t="shared" si="26"/>
        <v>0</v>
      </c>
      <c r="E116" s="25">
        <f t="shared" si="26"/>
        <v>0</v>
      </c>
      <c r="F116" s="25">
        <f t="shared" si="27"/>
        <v>0</v>
      </c>
    </row>
    <row r="117" spans="1:24" ht="15" thickBot="1" x14ac:dyDescent="0.35">
      <c r="A117" s="30"/>
      <c r="B117" s="31"/>
      <c r="C117" s="31"/>
      <c r="D117" s="31"/>
      <c r="E117" s="31"/>
      <c r="F117" s="31"/>
    </row>
    <row r="118" spans="1:24" ht="16.2" thickTop="1" x14ac:dyDescent="0.3">
      <c r="A118" s="32" t="s">
        <v>92</v>
      </c>
      <c r="B118" s="318">
        <f>SUM(B105:B116)</f>
        <v>0</v>
      </c>
      <c r="C118" s="318">
        <f t="shared" ref="C118:F118" si="28">SUM(C105:C116)</f>
        <v>0</v>
      </c>
      <c r="D118" s="318">
        <f t="shared" si="28"/>
        <v>0</v>
      </c>
      <c r="E118" s="318">
        <f t="shared" si="28"/>
        <v>0</v>
      </c>
      <c r="F118" s="318">
        <f t="shared" si="28"/>
        <v>0</v>
      </c>
    </row>
    <row r="119" spans="1:24" x14ac:dyDescent="0.3">
      <c r="A119" s="330"/>
      <c r="B119" s="331"/>
      <c r="C119" s="331"/>
      <c r="D119" s="331"/>
      <c r="E119" s="331"/>
      <c r="F119" s="332"/>
    </row>
    <row r="120" spans="1:24" ht="17.399999999999999" x14ac:dyDescent="0.3">
      <c r="A120" s="267" t="s">
        <v>91</v>
      </c>
      <c r="B120" s="333">
        <f>B118+B102</f>
        <v>0</v>
      </c>
      <c r="C120" s="333">
        <f t="shared" ref="C120:F120" si="29">C118+C102</f>
        <v>0</v>
      </c>
      <c r="D120" s="333">
        <f t="shared" si="29"/>
        <v>0</v>
      </c>
      <c r="E120" s="333">
        <f t="shared" si="29"/>
        <v>0</v>
      </c>
      <c r="F120" s="334">
        <f t="shared" si="29"/>
        <v>0</v>
      </c>
    </row>
    <row r="124" spans="1:24" ht="18" x14ac:dyDescent="0.35">
      <c r="A124" s="14" t="s">
        <v>111</v>
      </c>
    </row>
    <row r="126" spans="1:24" ht="18" customHeight="1" x14ac:dyDescent="0.3">
      <c r="A126" s="317" t="s">
        <v>81</v>
      </c>
      <c r="B126" s="16"/>
      <c r="C126" s="16"/>
      <c r="D126" s="16"/>
      <c r="E126" s="16"/>
      <c r="F126" s="41"/>
    </row>
    <row r="127" spans="1:24" ht="24.9" customHeight="1" x14ac:dyDescent="0.3">
      <c r="A127" s="306" t="s">
        <v>112</v>
      </c>
      <c r="B127" s="307" t="s">
        <v>101</v>
      </c>
      <c r="C127" s="307" t="s">
        <v>105</v>
      </c>
      <c r="D127" s="307" t="s">
        <v>106</v>
      </c>
      <c r="E127" s="307" t="s">
        <v>90</v>
      </c>
      <c r="F127" s="308" t="s">
        <v>91</v>
      </c>
    </row>
    <row r="128" spans="1:24" x14ac:dyDescent="0.3">
      <c r="A128" s="133">
        <f>DATE(INT(LEFT($B$3,4)),4,1)</f>
        <v>45748</v>
      </c>
      <c r="B128" s="320">
        <v>0</v>
      </c>
      <c r="C128" s="320">
        <v>0</v>
      </c>
      <c r="D128" s="320">
        <v>0</v>
      </c>
      <c r="E128" s="320">
        <v>0</v>
      </c>
      <c r="F128" s="320">
        <f>SUM(B128:E128)</f>
        <v>0</v>
      </c>
      <c r="X128">
        <v>0</v>
      </c>
    </row>
    <row r="129" spans="1:24" x14ac:dyDescent="0.3">
      <c r="A129" s="133">
        <f>DATE(INT(LEFT($B$3,4)),5,1)</f>
        <v>45778</v>
      </c>
      <c r="B129" s="320">
        <v>0</v>
      </c>
      <c r="C129" s="320">
        <v>0</v>
      </c>
      <c r="D129" s="320">
        <v>0</v>
      </c>
      <c r="E129" s="320">
        <v>0</v>
      </c>
      <c r="F129" s="320">
        <f t="shared" ref="F129:F135" si="30">SUM(B129:E129)</f>
        <v>0</v>
      </c>
      <c r="X129">
        <v>0</v>
      </c>
    </row>
    <row r="130" spans="1:24" x14ac:dyDescent="0.3">
      <c r="A130" s="133">
        <f>DATE(INT(LEFT($B$3,4)),6,1)</f>
        <v>45809</v>
      </c>
      <c r="B130" s="320">
        <v>0</v>
      </c>
      <c r="C130" s="320">
        <v>0</v>
      </c>
      <c r="D130" s="320">
        <v>0</v>
      </c>
      <c r="E130" s="320">
        <v>0</v>
      </c>
      <c r="F130" s="320">
        <f t="shared" si="30"/>
        <v>0</v>
      </c>
    </row>
    <row r="131" spans="1:24" x14ac:dyDescent="0.3">
      <c r="A131" s="133">
        <f>DATE(INT(LEFT($B$3,4)),7,1)</f>
        <v>45839</v>
      </c>
      <c r="B131" s="25">
        <v>0</v>
      </c>
      <c r="C131" s="25">
        <v>0</v>
      </c>
      <c r="D131" s="320">
        <v>0</v>
      </c>
      <c r="E131" s="25">
        <v>0</v>
      </c>
      <c r="F131" s="25">
        <f t="shared" si="30"/>
        <v>0</v>
      </c>
    </row>
    <row r="132" spans="1:24" x14ac:dyDescent="0.3">
      <c r="A132" s="133">
        <f>DATE(INT(LEFT($B$3,4)),8,1)</f>
        <v>45870</v>
      </c>
      <c r="B132" s="25">
        <v>0</v>
      </c>
      <c r="C132" s="25">
        <v>0</v>
      </c>
      <c r="D132" s="320">
        <v>0</v>
      </c>
      <c r="E132" s="25">
        <v>0</v>
      </c>
      <c r="F132" s="25">
        <f t="shared" si="30"/>
        <v>0</v>
      </c>
    </row>
    <row r="133" spans="1:24" x14ac:dyDescent="0.3">
      <c r="A133" s="133">
        <f>DATE(INT(LEFT($B$3,4)),9,1)</f>
        <v>45901</v>
      </c>
      <c r="B133" s="25">
        <v>0</v>
      </c>
      <c r="C133" s="25">
        <v>0</v>
      </c>
      <c r="D133" s="320">
        <v>0</v>
      </c>
      <c r="E133" s="25">
        <v>0</v>
      </c>
      <c r="F133" s="25">
        <f t="shared" si="30"/>
        <v>0</v>
      </c>
    </row>
    <row r="134" spans="1:24" x14ac:dyDescent="0.3">
      <c r="A134" s="133">
        <f>DATE(INT(LEFT($B$3,4)),10,1)</f>
        <v>45931</v>
      </c>
      <c r="B134" s="25">
        <v>0</v>
      </c>
      <c r="C134" s="25">
        <v>0</v>
      </c>
      <c r="D134" s="320">
        <v>0</v>
      </c>
      <c r="E134" s="25">
        <v>0</v>
      </c>
      <c r="F134" s="25">
        <f t="shared" si="30"/>
        <v>0</v>
      </c>
    </row>
    <row r="135" spans="1:24" x14ac:dyDescent="0.3">
      <c r="A135" s="133">
        <f>DATE(INT(LEFT($B$3,4)),11,1)</f>
        <v>45962</v>
      </c>
      <c r="B135" s="25">
        <v>0</v>
      </c>
      <c r="C135" s="25">
        <v>0</v>
      </c>
      <c r="D135" s="320">
        <v>0</v>
      </c>
      <c r="E135" s="25">
        <v>0</v>
      </c>
      <c r="F135" s="25">
        <f t="shared" si="30"/>
        <v>0</v>
      </c>
    </row>
    <row r="136" spans="1:24" x14ac:dyDescent="0.3">
      <c r="A136" s="133">
        <f>DATE(INT(LEFT($B$3,4)),12,1)</f>
        <v>45992</v>
      </c>
      <c r="B136" s="25">
        <v>0</v>
      </c>
      <c r="C136" s="25">
        <v>0</v>
      </c>
      <c r="D136" s="320">
        <v>0</v>
      </c>
      <c r="E136" s="25">
        <v>0</v>
      </c>
      <c r="F136" s="25">
        <f t="shared" ref="F136:F139" si="31">SUM(B136:E136)</f>
        <v>0</v>
      </c>
    </row>
    <row r="137" spans="1:24" x14ac:dyDescent="0.3">
      <c r="A137" s="133">
        <f>DATE(INT(LEFT($B$3,4))+1,1,1)</f>
        <v>46023</v>
      </c>
      <c r="B137" s="25">
        <v>0</v>
      </c>
      <c r="C137" s="25">
        <v>0</v>
      </c>
      <c r="D137" s="320">
        <v>0</v>
      </c>
      <c r="E137" s="25">
        <v>0</v>
      </c>
      <c r="F137" s="25">
        <f t="shared" si="31"/>
        <v>0</v>
      </c>
    </row>
    <row r="138" spans="1:24" x14ac:dyDescent="0.3">
      <c r="A138" s="133">
        <f>DATE(INT(LEFT($B$3,4))+1,2,1)</f>
        <v>46054</v>
      </c>
      <c r="B138" s="25">
        <v>0</v>
      </c>
      <c r="C138" s="25">
        <v>0</v>
      </c>
      <c r="D138" s="320">
        <v>0</v>
      </c>
      <c r="E138" s="25">
        <v>0</v>
      </c>
      <c r="F138" s="25">
        <f t="shared" si="31"/>
        <v>0</v>
      </c>
    </row>
    <row r="139" spans="1:24" x14ac:dyDescent="0.3">
      <c r="A139" s="133">
        <f>DATE(INT(LEFT($B$3,4))+1,3,1)</f>
        <v>46082</v>
      </c>
      <c r="B139" s="25">
        <v>0</v>
      </c>
      <c r="C139" s="25">
        <v>0</v>
      </c>
      <c r="D139" s="320">
        <v>0</v>
      </c>
      <c r="E139" s="25">
        <v>0</v>
      </c>
      <c r="F139" s="25">
        <f t="shared" si="31"/>
        <v>0</v>
      </c>
    </row>
    <row r="140" spans="1:24" ht="30" customHeight="1" x14ac:dyDescent="0.3">
      <c r="A140" s="338" t="s">
        <v>91</v>
      </c>
      <c r="B140" s="339">
        <f>SUM(B128:B139)</f>
        <v>0</v>
      </c>
      <c r="C140" s="339">
        <f>SUM(C128:C139)</f>
        <v>0</v>
      </c>
      <c r="D140" s="339">
        <f>SUM(D128:D139)</f>
        <v>0</v>
      </c>
      <c r="E140" s="339">
        <f>SUM(E128:E139)</f>
        <v>0</v>
      </c>
      <c r="F140" s="340">
        <f>SUM(F128:F139)</f>
        <v>0</v>
      </c>
    </row>
    <row r="144" spans="1:24" ht="18" x14ac:dyDescent="0.35">
      <c r="A144" s="14" t="s">
        <v>113</v>
      </c>
    </row>
    <row r="146" spans="1:7" ht="18" customHeight="1" x14ac:dyDescent="0.3">
      <c r="A146" s="317" t="s">
        <v>81</v>
      </c>
      <c r="B146" s="16"/>
      <c r="C146" s="16"/>
      <c r="D146" s="16"/>
      <c r="E146" s="16"/>
      <c r="F146" s="16"/>
      <c r="G146" s="41"/>
    </row>
    <row r="147" spans="1:7" ht="20.100000000000001" customHeight="1" x14ac:dyDescent="0.3">
      <c r="A147" s="501" t="s">
        <v>114</v>
      </c>
      <c r="B147" s="503" t="s">
        <v>115</v>
      </c>
      <c r="C147" s="504"/>
      <c r="D147" s="503" t="s">
        <v>116</v>
      </c>
      <c r="E147" s="504"/>
      <c r="F147" s="503" t="s">
        <v>91</v>
      </c>
      <c r="G147" s="505"/>
    </row>
    <row r="148" spans="1:7" ht="20.100000000000001" customHeight="1" x14ac:dyDescent="0.3">
      <c r="A148" s="502"/>
      <c r="B148" s="328" t="s">
        <v>117</v>
      </c>
      <c r="C148" s="328" t="s">
        <v>118</v>
      </c>
      <c r="D148" s="328" t="s">
        <v>117</v>
      </c>
      <c r="E148" s="328" t="s">
        <v>118</v>
      </c>
      <c r="F148" s="328" t="s">
        <v>117</v>
      </c>
      <c r="G148" s="329" t="s">
        <v>118</v>
      </c>
    </row>
    <row r="149" spans="1:7" x14ac:dyDescent="0.3">
      <c r="A149" s="21">
        <f>DATE(INT(LEFT($B$3,4)),4,1)</f>
        <v>45748</v>
      </c>
      <c r="B149" s="278">
        <v>0</v>
      </c>
      <c r="C149" s="278">
        <v>0</v>
      </c>
      <c r="D149" s="278">
        <v>0</v>
      </c>
      <c r="E149" s="278">
        <v>0</v>
      </c>
      <c r="F149" s="278">
        <f>B149+D149</f>
        <v>0</v>
      </c>
      <c r="G149" s="278">
        <f>C149+E149</f>
        <v>0</v>
      </c>
    </row>
    <row r="150" spans="1:7" x14ac:dyDescent="0.3">
      <c r="A150" s="21">
        <f>DATE(INT(LEFT($B$3,4)),5,1)</f>
        <v>45778</v>
      </c>
      <c r="B150" s="278">
        <v>0</v>
      </c>
      <c r="C150" s="278">
        <v>0</v>
      </c>
      <c r="D150" s="278">
        <v>0</v>
      </c>
      <c r="E150" s="278">
        <v>0</v>
      </c>
      <c r="F150" s="278">
        <f t="shared" ref="F150:F160" si="32">B150+D150</f>
        <v>0</v>
      </c>
      <c r="G150" s="278">
        <f t="shared" ref="G150:G160" si="33">C150+E150</f>
        <v>0</v>
      </c>
    </row>
    <row r="151" spans="1:7" x14ac:dyDescent="0.3">
      <c r="A151" s="21">
        <f>DATE(INT(LEFT($B$3,4)),6,1)</f>
        <v>45809</v>
      </c>
      <c r="B151" s="278">
        <v>0</v>
      </c>
      <c r="C151" s="278">
        <v>0</v>
      </c>
      <c r="D151" s="278">
        <v>0</v>
      </c>
      <c r="E151" s="278">
        <v>0</v>
      </c>
      <c r="F151" s="278">
        <f t="shared" si="32"/>
        <v>0</v>
      </c>
      <c r="G151" s="278">
        <f t="shared" si="33"/>
        <v>0</v>
      </c>
    </row>
    <row r="152" spans="1:7" x14ac:dyDescent="0.3">
      <c r="A152" s="21">
        <f>DATE(INT(LEFT($B$3,4)),7,1)</f>
        <v>45839</v>
      </c>
      <c r="B152" s="278">
        <v>0</v>
      </c>
      <c r="C152" s="278">
        <v>0</v>
      </c>
      <c r="D152" s="278">
        <v>0</v>
      </c>
      <c r="E152" s="278">
        <v>0</v>
      </c>
      <c r="F152" s="278">
        <f t="shared" si="32"/>
        <v>0</v>
      </c>
      <c r="G152" s="278">
        <f t="shared" si="33"/>
        <v>0</v>
      </c>
    </row>
    <row r="153" spans="1:7" x14ac:dyDescent="0.3">
      <c r="A153" s="21">
        <f>DATE(INT(LEFT($B$3,4)),8,1)</f>
        <v>45870</v>
      </c>
      <c r="B153" s="278">
        <v>0</v>
      </c>
      <c r="C153" s="278">
        <v>0</v>
      </c>
      <c r="D153" s="278">
        <v>0</v>
      </c>
      <c r="E153" s="278">
        <v>0</v>
      </c>
      <c r="F153" s="278">
        <f t="shared" si="32"/>
        <v>0</v>
      </c>
      <c r="G153" s="278">
        <f t="shared" si="33"/>
        <v>0</v>
      </c>
    </row>
    <row r="154" spans="1:7" x14ac:dyDescent="0.3">
      <c r="A154" s="21">
        <f>DATE(INT(LEFT($B$3,4)),9,1)</f>
        <v>45901</v>
      </c>
      <c r="B154" s="278">
        <v>0</v>
      </c>
      <c r="C154" s="278">
        <v>0</v>
      </c>
      <c r="D154" s="278">
        <v>0</v>
      </c>
      <c r="E154" s="278">
        <v>0</v>
      </c>
      <c r="F154" s="278">
        <f t="shared" si="32"/>
        <v>0</v>
      </c>
      <c r="G154" s="278">
        <f t="shared" si="33"/>
        <v>0</v>
      </c>
    </row>
    <row r="155" spans="1:7" x14ac:dyDescent="0.3">
      <c r="A155" s="21">
        <f>DATE(INT(LEFT($B$3,4)),10,1)</f>
        <v>45931</v>
      </c>
      <c r="B155" s="278">
        <v>0</v>
      </c>
      <c r="C155" s="278">
        <v>0</v>
      </c>
      <c r="D155" s="278">
        <v>0</v>
      </c>
      <c r="E155" s="278">
        <v>0</v>
      </c>
      <c r="F155" s="278">
        <f t="shared" si="32"/>
        <v>0</v>
      </c>
      <c r="G155" s="278">
        <f t="shared" si="33"/>
        <v>0</v>
      </c>
    </row>
    <row r="156" spans="1:7" x14ac:dyDescent="0.3">
      <c r="A156" s="21">
        <f>DATE(INT(LEFT($B$3,4)),11,1)</f>
        <v>45962</v>
      </c>
      <c r="B156" s="278">
        <v>0</v>
      </c>
      <c r="C156" s="278">
        <v>0</v>
      </c>
      <c r="D156" s="278">
        <v>0</v>
      </c>
      <c r="E156" s="278">
        <v>0</v>
      </c>
      <c r="F156" s="278">
        <f t="shared" si="32"/>
        <v>0</v>
      </c>
      <c r="G156" s="278">
        <f t="shared" si="33"/>
        <v>0</v>
      </c>
    </row>
    <row r="157" spans="1:7" x14ac:dyDescent="0.3">
      <c r="A157" s="21">
        <f>DATE(INT(LEFT($B$3,4)),12,1)</f>
        <v>45992</v>
      </c>
      <c r="B157" s="278">
        <v>0</v>
      </c>
      <c r="C157" s="278">
        <v>0</v>
      </c>
      <c r="D157" s="278">
        <v>0</v>
      </c>
      <c r="E157" s="278">
        <v>0</v>
      </c>
      <c r="F157" s="278">
        <f t="shared" si="32"/>
        <v>0</v>
      </c>
      <c r="G157" s="278">
        <f t="shared" si="33"/>
        <v>0</v>
      </c>
    </row>
    <row r="158" spans="1:7" x14ac:dyDescent="0.3">
      <c r="A158" s="21">
        <f>DATE(INT(LEFT($B$3,4))+1,1,1)</f>
        <v>46023</v>
      </c>
      <c r="B158" s="278">
        <v>0</v>
      </c>
      <c r="C158" s="278">
        <v>0</v>
      </c>
      <c r="D158" s="278">
        <v>0</v>
      </c>
      <c r="E158" s="278">
        <v>0</v>
      </c>
      <c r="F158" s="278">
        <f t="shared" si="32"/>
        <v>0</v>
      </c>
      <c r="G158" s="278">
        <f t="shared" si="33"/>
        <v>0</v>
      </c>
    </row>
    <row r="159" spans="1:7" x14ac:dyDescent="0.3">
      <c r="A159" s="21">
        <f>DATE(INT(LEFT($B$3,4))+1,2,1)</f>
        <v>46054</v>
      </c>
      <c r="B159" s="278">
        <v>0</v>
      </c>
      <c r="C159" s="278">
        <v>0</v>
      </c>
      <c r="D159" s="278">
        <v>0</v>
      </c>
      <c r="E159" s="278">
        <v>0</v>
      </c>
      <c r="F159" s="278">
        <f t="shared" si="32"/>
        <v>0</v>
      </c>
      <c r="G159" s="278">
        <f t="shared" si="33"/>
        <v>0</v>
      </c>
    </row>
    <row r="160" spans="1:7" x14ac:dyDescent="0.3">
      <c r="A160" s="21">
        <f>DATE(INT(LEFT($B$3,4))+1,3,1)</f>
        <v>46082</v>
      </c>
      <c r="B160" s="278">
        <v>0</v>
      </c>
      <c r="C160" s="278">
        <v>0</v>
      </c>
      <c r="D160" s="278">
        <v>0</v>
      </c>
      <c r="E160" s="278">
        <v>0</v>
      </c>
      <c r="F160" s="278">
        <f t="shared" si="32"/>
        <v>0</v>
      </c>
      <c r="G160" s="278">
        <f t="shared" si="33"/>
        <v>0</v>
      </c>
    </row>
    <row r="161" spans="1:7" ht="15" thickBot="1" x14ac:dyDescent="0.35">
      <c r="A161" s="30"/>
      <c r="B161" s="31"/>
      <c r="C161" s="31"/>
      <c r="D161" s="31"/>
      <c r="E161" s="31"/>
      <c r="F161" s="31"/>
      <c r="G161" s="31"/>
    </row>
    <row r="162" spans="1:7" ht="16.2" thickTop="1" x14ac:dyDescent="0.3">
      <c r="A162" s="32" t="s">
        <v>92</v>
      </c>
      <c r="B162" s="318">
        <f>SUM(B149:B160)</f>
        <v>0</v>
      </c>
      <c r="C162" s="318">
        <f t="shared" ref="C162:G162" si="34">SUM(C149:C160)</f>
        <v>0</v>
      </c>
      <c r="D162" s="318">
        <f t="shared" si="34"/>
        <v>0</v>
      </c>
      <c r="E162" s="318">
        <f t="shared" si="34"/>
        <v>0</v>
      </c>
      <c r="F162" s="318">
        <f t="shared" si="34"/>
        <v>0</v>
      </c>
      <c r="G162" s="318">
        <f t="shared" si="34"/>
        <v>0</v>
      </c>
    </row>
    <row r="163" spans="1:7" x14ac:dyDescent="0.3">
      <c r="A163" s="34"/>
      <c r="B163" s="35"/>
      <c r="C163" s="35"/>
      <c r="D163" s="35"/>
      <c r="E163" s="35"/>
      <c r="F163" s="35"/>
      <c r="G163" s="35"/>
    </row>
    <row r="164" spans="1:7" ht="28.8" x14ac:dyDescent="0.3">
      <c r="A164" s="43" t="str">
        <f>LEFT($B$3,4)&amp;"-"&amp;RIGHT(INT(LEFT($B$3,4)+1),2)&amp;" ITC availed in next year"</f>
        <v>2025-26 ITC availed in next year</v>
      </c>
      <c r="B164" s="36"/>
      <c r="C164" s="36"/>
      <c r="D164" s="36"/>
      <c r="E164" s="36"/>
      <c r="F164" s="36"/>
      <c r="G164" s="36"/>
    </row>
    <row r="165" spans="1:7" x14ac:dyDescent="0.3">
      <c r="A165" s="21">
        <f>DATE(INT(LEFT($B$3,4))+1,4,1)</f>
        <v>46113</v>
      </c>
      <c r="B165" s="25">
        <v>0</v>
      </c>
      <c r="C165" s="25">
        <v>0</v>
      </c>
      <c r="D165" s="25">
        <v>0</v>
      </c>
      <c r="E165" s="25">
        <v>0</v>
      </c>
      <c r="F165" s="22">
        <f>B165+D165</f>
        <v>0</v>
      </c>
      <c r="G165" s="22">
        <f t="shared" ref="G165:G176" si="35">C165+E165</f>
        <v>0</v>
      </c>
    </row>
    <row r="166" spans="1:7" x14ac:dyDescent="0.3">
      <c r="A166" s="21">
        <f>DATE(INT(LEFT($B$3,4))+1,5,1)</f>
        <v>46143</v>
      </c>
      <c r="B166" s="25">
        <v>0</v>
      </c>
      <c r="C166" s="25">
        <v>0</v>
      </c>
      <c r="D166" s="25">
        <v>0</v>
      </c>
      <c r="E166" s="25">
        <v>0</v>
      </c>
      <c r="F166" s="22">
        <f t="shared" ref="F166:F176" si="36">B166+D166</f>
        <v>0</v>
      </c>
      <c r="G166" s="22">
        <f t="shared" si="35"/>
        <v>0</v>
      </c>
    </row>
    <row r="167" spans="1:7" x14ac:dyDescent="0.3">
      <c r="A167" s="21">
        <f>DATE(INT(LEFT($B$3,4))+1,6,1)</f>
        <v>46174</v>
      </c>
      <c r="B167" s="25">
        <v>0</v>
      </c>
      <c r="C167" s="25">
        <v>0</v>
      </c>
      <c r="D167" s="25">
        <v>0</v>
      </c>
      <c r="E167" s="25">
        <v>0</v>
      </c>
      <c r="F167" s="22">
        <f t="shared" si="36"/>
        <v>0</v>
      </c>
      <c r="G167" s="22">
        <f t="shared" si="35"/>
        <v>0</v>
      </c>
    </row>
    <row r="168" spans="1:7" x14ac:dyDescent="0.3">
      <c r="A168" s="21">
        <f>DATE(INT(LEFT($B$3,4))+1,7,1)</f>
        <v>46204</v>
      </c>
      <c r="B168" s="25">
        <v>0</v>
      </c>
      <c r="C168" s="25">
        <v>0</v>
      </c>
      <c r="D168" s="25">
        <v>0</v>
      </c>
      <c r="E168" s="25">
        <v>0</v>
      </c>
      <c r="F168" s="22">
        <f t="shared" si="36"/>
        <v>0</v>
      </c>
      <c r="G168" s="22">
        <f t="shared" si="35"/>
        <v>0</v>
      </c>
    </row>
    <row r="169" spans="1:7" x14ac:dyDescent="0.3">
      <c r="A169" s="21">
        <f>DATE(INT(LEFT($B$3,4))+1,8,1)</f>
        <v>46235</v>
      </c>
      <c r="B169" s="25">
        <v>0</v>
      </c>
      <c r="C169" s="25">
        <v>0</v>
      </c>
      <c r="D169" s="25">
        <v>0</v>
      </c>
      <c r="E169" s="25">
        <v>0</v>
      </c>
      <c r="F169" s="22">
        <f t="shared" si="36"/>
        <v>0</v>
      </c>
      <c r="G169" s="22">
        <f t="shared" si="35"/>
        <v>0</v>
      </c>
    </row>
    <row r="170" spans="1:7" x14ac:dyDescent="0.3">
      <c r="A170" s="21">
        <f>DATE(INT(LEFT($B$3,4))+1,9,1)</f>
        <v>46266</v>
      </c>
      <c r="B170" s="25">
        <v>0</v>
      </c>
      <c r="C170" s="25">
        <v>0</v>
      </c>
      <c r="D170" s="25">
        <v>0</v>
      </c>
      <c r="E170" s="25">
        <v>0</v>
      </c>
      <c r="F170" s="22">
        <f t="shared" si="36"/>
        <v>0</v>
      </c>
      <c r="G170" s="22">
        <f t="shared" si="35"/>
        <v>0</v>
      </c>
    </row>
    <row r="171" spans="1:7" x14ac:dyDescent="0.3">
      <c r="A171" s="21">
        <f>DATE(INT(LEFT($B$3,4))+1,10,1)</f>
        <v>46296</v>
      </c>
      <c r="B171" s="25">
        <v>0</v>
      </c>
      <c r="C171" s="25">
        <v>0</v>
      </c>
      <c r="D171" s="25">
        <v>0</v>
      </c>
      <c r="E171" s="25">
        <v>0</v>
      </c>
      <c r="F171" s="22">
        <f t="shared" si="36"/>
        <v>0</v>
      </c>
      <c r="G171" s="22">
        <f t="shared" si="35"/>
        <v>0</v>
      </c>
    </row>
    <row r="172" spans="1:7" x14ac:dyDescent="0.3">
      <c r="A172" s="21">
        <f>DATE(INT(LEFT($B$3,4))+1,11,1)</f>
        <v>46327</v>
      </c>
      <c r="B172" s="25">
        <v>0</v>
      </c>
      <c r="C172" s="25">
        <v>0</v>
      </c>
      <c r="D172" s="25">
        <v>0</v>
      </c>
      <c r="E172" s="25">
        <v>0</v>
      </c>
      <c r="F172" s="22">
        <f t="shared" si="36"/>
        <v>0</v>
      </c>
      <c r="G172" s="22">
        <f t="shared" si="35"/>
        <v>0</v>
      </c>
    </row>
    <row r="173" spans="1:7" x14ac:dyDescent="0.3">
      <c r="A173" s="21">
        <f>DATE(INT(LEFT($B$3,4))+1,12,1)</f>
        <v>46357</v>
      </c>
      <c r="B173" s="25">
        <v>0</v>
      </c>
      <c r="C173" s="25">
        <v>0</v>
      </c>
      <c r="D173" s="25">
        <v>0</v>
      </c>
      <c r="E173" s="25">
        <v>0</v>
      </c>
      <c r="F173" s="22">
        <f t="shared" si="36"/>
        <v>0</v>
      </c>
      <c r="G173" s="22">
        <f t="shared" si="35"/>
        <v>0</v>
      </c>
    </row>
    <row r="174" spans="1:7" x14ac:dyDescent="0.3">
      <c r="A174" s="21">
        <f>DATE(INT(LEFT($B$3,4))+2,1,1)</f>
        <v>46388</v>
      </c>
      <c r="B174" s="25">
        <v>0</v>
      </c>
      <c r="C174" s="25">
        <v>0</v>
      </c>
      <c r="D174" s="25">
        <v>0</v>
      </c>
      <c r="E174" s="25">
        <v>0</v>
      </c>
      <c r="F174" s="22">
        <f t="shared" si="36"/>
        <v>0</v>
      </c>
      <c r="G174" s="22">
        <f t="shared" si="35"/>
        <v>0</v>
      </c>
    </row>
    <row r="175" spans="1:7" x14ac:dyDescent="0.3">
      <c r="A175" s="21">
        <f>DATE(INT(LEFT($B$3,4))+2,2,1)</f>
        <v>46419</v>
      </c>
      <c r="B175" s="25">
        <v>0</v>
      </c>
      <c r="C175" s="25">
        <v>0</v>
      </c>
      <c r="D175" s="25">
        <v>0</v>
      </c>
      <c r="E175" s="25">
        <v>0</v>
      </c>
      <c r="F175" s="22">
        <f t="shared" si="36"/>
        <v>0</v>
      </c>
      <c r="G175" s="22">
        <f t="shared" si="35"/>
        <v>0</v>
      </c>
    </row>
    <row r="176" spans="1:7" x14ac:dyDescent="0.3">
      <c r="A176" s="21">
        <f>DATE(INT(LEFT($B$3,4))+2,3,1)</f>
        <v>46447</v>
      </c>
      <c r="B176" s="25">
        <v>0</v>
      </c>
      <c r="C176" s="25">
        <v>0</v>
      </c>
      <c r="D176" s="25">
        <v>0</v>
      </c>
      <c r="E176" s="25">
        <v>0</v>
      </c>
      <c r="F176" s="22">
        <f t="shared" si="36"/>
        <v>0</v>
      </c>
      <c r="G176" s="22">
        <f t="shared" si="35"/>
        <v>0</v>
      </c>
    </row>
    <row r="177" spans="1:24" ht="15" thickBot="1" x14ac:dyDescent="0.35">
      <c r="A177" s="30"/>
      <c r="B177" s="31"/>
      <c r="C177" s="31"/>
      <c r="D177" s="31"/>
      <c r="E177" s="31"/>
      <c r="F177" s="31"/>
      <c r="G177" s="31"/>
    </row>
    <row r="178" spans="1:24" ht="16.2" thickTop="1" x14ac:dyDescent="0.3">
      <c r="A178" s="32" t="s">
        <v>92</v>
      </c>
      <c r="B178" s="318">
        <f>SUM(B165:B176)</f>
        <v>0</v>
      </c>
      <c r="C178" s="318">
        <f t="shared" ref="C178:G178" si="37">SUM(C165:C176)</f>
        <v>0</v>
      </c>
      <c r="D178" s="318">
        <f t="shared" si="37"/>
        <v>0</v>
      </c>
      <c r="E178" s="318">
        <f t="shared" si="37"/>
        <v>0</v>
      </c>
      <c r="F178" s="318">
        <f t="shared" si="37"/>
        <v>0</v>
      </c>
      <c r="G178" s="318">
        <f t="shared" si="37"/>
        <v>0</v>
      </c>
    </row>
    <row r="179" spans="1:24" x14ac:dyDescent="0.3">
      <c r="A179" s="330"/>
      <c r="B179" s="331"/>
      <c r="C179" s="331"/>
      <c r="D179" s="331"/>
      <c r="E179" s="331"/>
      <c r="F179" s="331"/>
      <c r="G179" s="332"/>
    </row>
    <row r="180" spans="1:24" ht="17.399999999999999" x14ac:dyDescent="0.3">
      <c r="A180" s="267" t="s">
        <v>91</v>
      </c>
      <c r="B180" s="333">
        <f>B178+B162</f>
        <v>0</v>
      </c>
      <c r="C180" s="333">
        <f t="shared" ref="C180:G180" si="38">C178+C162</f>
        <v>0</v>
      </c>
      <c r="D180" s="333">
        <f t="shared" si="38"/>
        <v>0</v>
      </c>
      <c r="E180" s="333">
        <f t="shared" si="38"/>
        <v>0</v>
      </c>
      <c r="F180" s="333">
        <f t="shared" si="38"/>
        <v>0</v>
      </c>
      <c r="G180" s="334">
        <f t="shared" si="38"/>
        <v>0</v>
      </c>
    </row>
    <row r="184" spans="1:24" ht="18" x14ac:dyDescent="0.35">
      <c r="A184" s="14" t="s">
        <v>467</v>
      </c>
    </row>
    <row r="186" spans="1:24" ht="17.399999999999999" x14ac:dyDescent="0.3">
      <c r="A186" s="317" t="s">
        <v>81</v>
      </c>
      <c r="B186" s="16"/>
      <c r="C186" s="16"/>
      <c r="D186" s="16"/>
      <c r="E186" s="16"/>
      <c r="F186" s="16"/>
      <c r="G186" s="16"/>
      <c r="H186" s="41"/>
    </row>
    <row r="187" spans="1:24" ht="20.100000000000001" customHeight="1" x14ac:dyDescent="0.3">
      <c r="A187" s="501" t="s">
        <v>82</v>
      </c>
      <c r="B187" s="503" t="s">
        <v>469</v>
      </c>
      <c r="C187" s="506"/>
      <c r="D187" s="504"/>
      <c r="E187" s="503" t="s">
        <v>468</v>
      </c>
      <c r="F187" s="506"/>
      <c r="G187" s="506"/>
      <c r="H187" s="505"/>
      <c r="I187"/>
      <c r="J187"/>
    </row>
    <row r="188" spans="1:24" ht="20.100000000000001" customHeight="1" x14ac:dyDescent="0.3">
      <c r="A188" s="502"/>
      <c r="B188" s="328" t="s">
        <v>101</v>
      </c>
      <c r="C188" s="328" t="s">
        <v>105</v>
      </c>
      <c r="D188" s="328" t="s">
        <v>106</v>
      </c>
      <c r="E188" s="328" t="s">
        <v>101</v>
      </c>
      <c r="F188" s="328" t="s">
        <v>105</v>
      </c>
      <c r="G188" s="328" t="s">
        <v>106</v>
      </c>
      <c r="H188" s="329" t="s">
        <v>90</v>
      </c>
      <c r="I188"/>
      <c r="J188"/>
    </row>
    <row r="189" spans="1:24" ht="3.75" customHeight="1" x14ac:dyDescent="0.3">
      <c r="A189" s="347"/>
      <c r="B189" s="348"/>
      <c r="C189" s="348"/>
      <c r="D189" s="348"/>
      <c r="E189" s="348"/>
      <c r="F189" s="348"/>
      <c r="G189" s="348"/>
      <c r="H189" s="349"/>
      <c r="I189"/>
      <c r="J189"/>
    </row>
    <row r="190" spans="1:24" x14ac:dyDescent="0.3">
      <c r="A190" s="496">
        <f>DATE(INT(LEFT($B$3,4)),4,1)</f>
        <v>45748</v>
      </c>
      <c r="B190" s="278">
        <f>'[1]Summary Report'!$B$143</f>
        <v>3177080</v>
      </c>
      <c r="C190" s="278">
        <f>'[1]Summary Report'!$B$147</f>
        <v>0</v>
      </c>
      <c r="D190" s="278">
        <f>'[1]Summary Report'!$B$150</f>
        <v>0</v>
      </c>
      <c r="E190" s="499">
        <f>'[1]Summary Report'!$B$137+'[1]Summary Report'!$B$158+'[1]Summary Report'!$B$165</f>
        <v>1117014</v>
      </c>
      <c r="F190" s="499">
        <f>'[1]Summary Report'!$B$138+'[1]Summary Report'!$B$159+'[1]Summary Report'!$B$166+'[1]Summary Report'!$B$172</f>
        <v>157796</v>
      </c>
      <c r="G190" s="499">
        <f>'[1]Summary Report'!$B$139+'[1]Summary Report'!$B$160+'[1]Summary Report'!$B$167+'[1]Summary Report'!$B$173</f>
        <v>157796</v>
      </c>
      <c r="H190" s="499">
        <f>'[1]Summary Report'!$B$140+'[1]Summary Report'!$B$161+'[1]Summary Report'!$B$168</f>
        <v>0</v>
      </c>
      <c r="I190"/>
      <c r="J190"/>
    </row>
    <row r="191" spans="1:24" x14ac:dyDescent="0.3">
      <c r="A191" s="496"/>
      <c r="B191" s="278">
        <f>'[1]Summary Report'!$B$144</f>
        <v>9125974</v>
      </c>
      <c r="C191" s="278">
        <f>'[1]Summary Report'!$B$148</f>
        <v>3612168</v>
      </c>
      <c r="D191" s="278"/>
      <c r="E191" s="499"/>
      <c r="F191" s="499"/>
      <c r="G191" s="499"/>
      <c r="H191" s="499"/>
      <c r="I191" s="100">
        <f>SUM(E190:G192)</f>
        <v>1432606</v>
      </c>
      <c r="J191"/>
      <c r="X191" s="300">
        <v>0</v>
      </c>
    </row>
    <row r="192" spans="1:24" x14ac:dyDescent="0.3">
      <c r="A192" s="497"/>
      <c r="B192" s="278">
        <f>'[1]Summary Report'!$B$145</f>
        <v>9125974</v>
      </c>
      <c r="C192" s="284"/>
      <c r="D192" s="284">
        <f>'[1]Summary Report'!$B$151</f>
        <v>3612168</v>
      </c>
      <c r="E192" s="500"/>
      <c r="F192" s="500"/>
      <c r="G192" s="500"/>
      <c r="H192" s="500"/>
      <c r="I192" s="100"/>
      <c r="J192"/>
      <c r="X192" s="300">
        <v>0</v>
      </c>
    </row>
    <row r="193" spans="1:24" x14ac:dyDescent="0.3">
      <c r="A193" s="288"/>
      <c r="B193" s="289"/>
      <c r="C193" s="289"/>
      <c r="D193" s="289"/>
      <c r="E193" s="289"/>
      <c r="F193" s="289"/>
      <c r="G193" s="289"/>
      <c r="H193" s="290"/>
      <c r="I193" s="100"/>
      <c r="J193"/>
    </row>
    <row r="194" spans="1:24" x14ac:dyDescent="0.3">
      <c r="A194" s="285"/>
      <c r="B194" s="286"/>
      <c r="C194" s="286"/>
      <c r="D194" s="286"/>
      <c r="E194" s="286"/>
      <c r="F194" s="286"/>
      <c r="G194" s="286"/>
      <c r="H194" s="287"/>
      <c r="I194" s="100"/>
      <c r="J194"/>
    </row>
    <row r="195" spans="1:24" x14ac:dyDescent="0.3">
      <c r="A195" s="495">
        <f>DATE(INT(LEFT($B$3,4)),5,1)</f>
        <v>45778</v>
      </c>
      <c r="B195" s="278">
        <f>'[1]Summary Report'!$C$143</f>
        <v>1301413</v>
      </c>
      <c r="C195" s="278">
        <f>'[1]Summary Report'!$C$147</f>
        <v>0</v>
      </c>
      <c r="D195" s="278">
        <f>'[1]Summary Report'!$C$150</f>
        <v>0</v>
      </c>
      <c r="E195" s="498">
        <f>'[1]Summary Report'!$C$137+'[1]Summary Report'!$C$158+'[1]Summary Report'!$C$165</f>
        <v>2173347</v>
      </c>
      <c r="F195" s="498">
        <f>'[1]Summary Report'!$C$138+'[1]Summary Report'!$C$159+'[1]Summary Report'!$C$166+'[1]Summary Report'!$C$172</f>
        <v>44494</v>
      </c>
      <c r="G195" s="498">
        <f>'[1]Summary Report'!$C$139+'[1]Summary Report'!$C$160+'[1]Summary Report'!$C$167+'[1]Summary Report'!$C$173</f>
        <v>44494</v>
      </c>
      <c r="H195" s="498">
        <f>'[1]Summary Report'!$C$140+'[1]Summary Report'!$C$161+'[1]Summary Report'!$C$168</f>
        <v>16768</v>
      </c>
      <c r="I195" s="100"/>
      <c r="J195"/>
    </row>
    <row r="196" spans="1:24" x14ac:dyDescent="0.3">
      <c r="A196" s="496"/>
      <c r="B196" s="278">
        <f>'[1]Summary Report'!$C$144</f>
        <v>11661030</v>
      </c>
      <c r="C196" s="278">
        <f>'[1]Summary Report'!$C$148</f>
        <v>1863481</v>
      </c>
      <c r="D196" s="278"/>
      <c r="E196" s="499"/>
      <c r="F196" s="499"/>
      <c r="G196" s="499"/>
      <c r="H196" s="499"/>
      <c r="I196" s="100">
        <f t="shared" ref="I192:I250" si="39">SUM(E195:G197)</f>
        <v>2262335</v>
      </c>
      <c r="J196"/>
      <c r="X196" s="9">
        <v>0</v>
      </c>
    </row>
    <row r="197" spans="1:24" x14ac:dyDescent="0.3">
      <c r="A197" s="497"/>
      <c r="B197" s="284">
        <f>'[1]Summary Report'!$C$145</f>
        <v>11661030</v>
      </c>
      <c r="C197" s="284"/>
      <c r="D197" s="284">
        <f>'[1]Summary Report'!$C$151</f>
        <v>1863481</v>
      </c>
      <c r="E197" s="500"/>
      <c r="F197" s="500"/>
      <c r="G197" s="500"/>
      <c r="H197" s="500"/>
      <c r="I197" s="100"/>
      <c r="J197"/>
      <c r="X197" s="300">
        <v>0</v>
      </c>
    </row>
    <row r="198" spans="1:24" x14ac:dyDescent="0.3">
      <c r="A198" s="288"/>
      <c r="B198" s="289"/>
      <c r="C198" s="289"/>
      <c r="D198" s="289"/>
      <c r="E198" s="289"/>
      <c r="F198" s="289"/>
      <c r="G198" s="289"/>
      <c r="H198" s="290"/>
      <c r="I198" s="100"/>
      <c r="J198"/>
    </row>
    <row r="199" spans="1:24" x14ac:dyDescent="0.3">
      <c r="A199" s="285"/>
      <c r="B199" s="286"/>
      <c r="C199" s="286"/>
      <c r="D199" s="286"/>
      <c r="E199" s="286"/>
      <c r="F199" s="286"/>
      <c r="G199" s="286"/>
      <c r="H199" s="287"/>
      <c r="I199" s="100"/>
      <c r="J199"/>
    </row>
    <row r="200" spans="1:24" x14ac:dyDescent="0.3">
      <c r="A200" s="495">
        <f>DATE(INT(LEFT($B$3,4)),6,1)</f>
        <v>45809</v>
      </c>
      <c r="B200" s="278">
        <f>'[1]Summary Report'!$D$143</f>
        <v>1273732</v>
      </c>
      <c r="C200" s="278">
        <f>'[1]Summary Report'!$D$147</f>
        <v>0</v>
      </c>
      <c r="D200" s="278">
        <f>'[1]Summary Report'!$D$150</f>
        <v>0</v>
      </c>
      <c r="E200" s="498">
        <f>'[1]Summary Report'!$D$158+'[1]Summary Report'!$D$137+'[1]Summary Report'!$D$165</f>
        <v>1490752</v>
      </c>
      <c r="F200" s="498">
        <f>'[1]Summary Report'!$D$138+'[1]Summary Report'!$D$159+'[1]Summary Report'!$D$166+'[1]Summary Report'!$D$172</f>
        <v>3175</v>
      </c>
      <c r="G200" s="498">
        <f>'[1]Summary Report'!$D$139+'[1]Summary Report'!$D$160+'[1]Summary Report'!$D$167+'[1]Summary Report'!$D$173</f>
        <v>3175</v>
      </c>
      <c r="H200" s="498">
        <f>'[1]Summary Report'!$D$140+'[1]Summary Report'!$D$161+'[1]Summary Report'!$D$168</f>
        <v>0</v>
      </c>
      <c r="I200" s="100"/>
      <c r="J200"/>
    </row>
    <row r="201" spans="1:24" x14ac:dyDescent="0.3">
      <c r="A201" s="496"/>
      <c r="B201" s="278">
        <f>'[1]Summary Report'!$D$144</f>
        <v>2420617</v>
      </c>
      <c r="C201" s="278">
        <f>'[1]Summary Report'!$D$148</f>
        <v>1068400</v>
      </c>
      <c r="D201" s="278"/>
      <c r="E201" s="499"/>
      <c r="F201" s="499"/>
      <c r="G201" s="499"/>
      <c r="H201" s="499"/>
      <c r="I201" s="100">
        <f t="shared" si="39"/>
        <v>1497102</v>
      </c>
      <c r="J201"/>
      <c r="X201" s="9">
        <v>0</v>
      </c>
    </row>
    <row r="202" spans="1:24" x14ac:dyDescent="0.3">
      <c r="A202" s="497"/>
      <c r="B202" s="284">
        <f>'[1]Summary Report'!$D$145</f>
        <v>2420617</v>
      </c>
      <c r="C202" s="284"/>
      <c r="D202" s="284">
        <f>'[1]Summary Report'!$D$151</f>
        <v>1068400</v>
      </c>
      <c r="E202" s="500"/>
      <c r="F202" s="500"/>
      <c r="G202" s="500"/>
      <c r="H202" s="500"/>
      <c r="I202" s="100"/>
      <c r="J202"/>
      <c r="X202" s="300">
        <v>0</v>
      </c>
    </row>
    <row r="203" spans="1:24" x14ac:dyDescent="0.3">
      <c r="A203" s="288"/>
      <c r="B203" s="289"/>
      <c r="C203" s="289"/>
      <c r="D203" s="289"/>
      <c r="E203" s="289"/>
      <c r="F203" s="289"/>
      <c r="G203" s="289"/>
      <c r="H203" s="290"/>
      <c r="I203" s="100"/>
      <c r="J203"/>
    </row>
    <row r="204" spans="1:24" x14ac:dyDescent="0.3">
      <c r="A204" s="285"/>
      <c r="B204" s="286"/>
      <c r="C204" s="286"/>
      <c r="D204" s="286"/>
      <c r="E204" s="286"/>
      <c r="F204" s="286"/>
      <c r="G204" s="286"/>
      <c r="H204" s="287"/>
      <c r="I204" s="100"/>
      <c r="J204"/>
    </row>
    <row r="205" spans="1:24" x14ac:dyDescent="0.3">
      <c r="A205" s="495">
        <f>DATE(INT(LEFT($B$3,4)),7,1)</f>
        <v>45839</v>
      </c>
      <c r="B205" s="278">
        <f>'[1]Summary Report'!$E$143</f>
        <v>1384174</v>
      </c>
      <c r="C205" s="278">
        <f>'[1]Summary Report'!$E$147</f>
        <v>0</v>
      </c>
      <c r="D205" s="278">
        <f>'[1]Summary Report'!$E$150</f>
        <v>0</v>
      </c>
      <c r="E205" s="498">
        <f>'[1]Summary Report'!$E$137+'[1]Summary Report'!$E$158+'[1]Summary Report'!$E$165</f>
        <v>0</v>
      </c>
      <c r="F205" s="498">
        <f>'[1]Summary Report'!$E$138+'[1]Summary Report'!$E$159+'[1]Summary Report'!$E$166+'[1]Summary Report'!$E$172</f>
        <v>4050</v>
      </c>
      <c r="G205" s="498">
        <f>'[1]Summary Report'!$E$139+'[1]Summary Report'!$E$160+'[1]Summary Report'!$E$167+'[1]Summary Report'!$E$173</f>
        <v>4050</v>
      </c>
      <c r="H205" s="498">
        <f>'[1]Summary Report'!$E$140+'[1]Summary Report'!$E$161+'[1]Summary Report'!$E$168</f>
        <v>0</v>
      </c>
      <c r="I205" s="100"/>
      <c r="J205"/>
    </row>
    <row r="206" spans="1:24" x14ac:dyDescent="0.3">
      <c r="A206" s="496"/>
      <c r="B206" s="278">
        <f>'[1]Summary Report'!$E$144</f>
        <v>1645904</v>
      </c>
      <c r="C206" s="278">
        <f>'[1]Summary Report'!$E$148</f>
        <v>194184</v>
      </c>
      <c r="D206" s="278"/>
      <c r="E206" s="499"/>
      <c r="F206" s="499"/>
      <c r="G206" s="499"/>
      <c r="H206" s="499"/>
      <c r="I206" s="100">
        <f t="shared" si="39"/>
        <v>8100</v>
      </c>
      <c r="J206"/>
      <c r="X206" s="9">
        <v>0</v>
      </c>
    </row>
    <row r="207" spans="1:24" x14ac:dyDescent="0.3">
      <c r="A207" s="497"/>
      <c r="B207" s="284">
        <f>'[1]Summary Report'!$E$145</f>
        <v>1545915</v>
      </c>
      <c r="C207" s="284"/>
      <c r="D207" s="284">
        <f>'[1]Summary Report'!$E$151</f>
        <v>194184</v>
      </c>
      <c r="E207" s="500"/>
      <c r="F207" s="500"/>
      <c r="G207" s="500"/>
      <c r="H207" s="500"/>
      <c r="I207" s="100"/>
      <c r="J207"/>
      <c r="X207" s="300">
        <v>0</v>
      </c>
    </row>
    <row r="208" spans="1:24" x14ac:dyDescent="0.3">
      <c r="A208" s="288"/>
      <c r="B208" s="289"/>
      <c r="C208" s="289"/>
      <c r="D208" s="289"/>
      <c r="E208" s="289"/>
      <c r="F208" s="289"/>
      <c r="G208" s="289"/>
      <c r="H208" s="290"/>
      <c r="I208" s="100"/>
      <c r="J208"/>
    </row>
    <row r="209" spans="1:24" x14ac:dyDescent="0.3">
      <c r="A209" s="285"/>
      <c r="B209" s="286"/>
      <c r="C209" s="286"/>
      <c r="D209" s="286"/>
      <c r="E209" s="286"/>
      <c r="F209" s="286"/>
      <c r="G209" s="286"/>
      <c r="H209" s="287"/>
      <c r="I209" s="100"/>
      <c r="J209"/>
    </row>
    <row r="210" spans="1:24" x14ac:dyDescent="0.3">
      <c r="A210" s="495">
        <f>DATE(INT(LEFT($B$3,4)),8,1)</f>
        <v>45870</v>
      </c>
      <c r="B210" s="278">
        <f>'[1]Summary Report'!$F$143</f>
        <v>3366129</v>
      </c>
      <c r="C210" s="278">
        <f>'[1]Summary Report'!$F$147</f>
        <v>0</v>
      </c>
      <c r="D210" s="278">
        <f>'[1]Summary Report'!$F$150</f>
        <v>0</v>
      </c>
      <c r="E210" s="498">
        <f>'[1]Summary Report'!$F$137+'[1]Summary Report'!$F$158+'[1]Summary Report'!$F$165</f>
        <v>0</v>
      </c>
      <c r="F210" s="498">
        <f>'[1]Summary Report'!$F$137+'[1]Summary Report'!$F$159+'[1]Summary Report'!$F$166+'[1]Summary Report'!$F$172</f>
        <v>0</v>
      </c>
      <c r="G210" s="498">
        <f>'[1]Summary Report'!$F$139+'[1]Summary Report'!$F$160+'[1]Summary Report'!$F$167+'[1]Summary Report'!$F$173</f>
        <v>0</v>
      </c>
      <c r="H210" s="498">
        <f>'[1]Summary Report'!$F$140+'[1]Summary Report'!$F$161+'[1]Summary Report'!$F$168</f>
        <v>0</v>
      </c>
      <c r="I210" s="100"/>
      <c r="J210"/>
    </row>
    <row r="211" spans="1:24" x14ac:dyDescent="0.3">
      <c r="A211" s="496"/>
      <c r="B211" s="278">
        <f>'[1]Summary Report'!$F$144</f>
        <v>2949360</v>
      </c>
      <c r="C211" s="278">
        <f>'[1]Summary Report'!$F$148</f>
        <v>1097099</v>
      </c>
      <c r="D211" s="278"/>
      <c r="E211" s="499"/>
      <c r="F211" s="499"/>
      <c r="G211" s="499"/>
      <c r="H211" s="499"/>
      <c r="I211" s="100">
        <f t="shared" si="39"/>
        <v>0</v>
      </c>
      <c r="J211"/>
      <c r="X211" s="9">
        <v>0</v>
      </c>
    </row>
    <row r="212" spans="1:24" x14ac:dyDescent="0.3">
      <c r="A212" s="497"/>
      <c r="B212" s="284">
        <f>'[1]Summary Report'!$F$145</f>
        <v>2971859</v>
      </c>
      <c r="C212" s="284"/>
      <c r="D212" s="284">
        <f>'[1]Summary Report'!$F$151</f>
        <v>1097099</v>
      </c>
      <c r="E212" s="500"/>
      <c r="F212" s="500"/>
      <c r="G212" s="500"/>
      <c r="H212" s="500"/>
      <c r="I212" s="100"/>
      <c r="J212"/>
      <c r="X212" s="300">
        <v>0</v>
      </c>
    </row>
    <row r="213" spans="1:24" x14ac:dyDescent="0.3">
      <c r="A213" s="288"/>
      <c r="B213" s="289"/>
      <c r="C213" s="289"/>
      <c r="D213" s="289"/>
      <c r="E213" s="289"/>
      <c r="F213" s="289"/>
      <c r="G213" s="289"/>
      <c r="H213" s="290"/>
      <c r="I213" s="100"/>
      <c r="J213"/>
    </row>
    <row r="214" spans="1:24" x14ac:dyDescent="0.3">
      <c r="A214" s="285"/>
      <c r="B214" s="286"/>
      <c r="C214" s="286"/>
      <c r="D214" s="286"/>
      <c r="E214" s="286"/>
      <c r="F214" s="286"/>
      <c r="G214" s="286"/>
      <c r="H214" s="287"/>
      <c r="I214" s="100"/>
      <c r="J214"/>
    </row>
    <row r="215" spans="1:24" x14ac:dyDescent="0.3">
      <c r="A215" s="495">
        <f>DATE(INT(LEFT($B$3,4)),9,1)</f>
        <v>45901</v>
      </c>
      <c r="B215" s="278">
        <f>'[1]Summary Report'!$G$143</f>
        <v>1048022</v>
      </c>
      <c r="C215" s="278">
        <f>'[1]Summary Report'!$G$147</f>
        <v>0</v>
      </c>
      <c r="D215" s="278">
        <f>'[1]Summary Report'!$G$150</f>
        <v>0</v>
      </c>
      <c r="E215" s="498">
        <f>'[1]Summary Report'!$G$137+'[1]Summary Report'!$G$158+'[1]Summary Report'!$G$165</f>
        <v>67431</v>
      </c>
      <c r="F215" s="498">
        <f>'[1]Summary Report'!$G$138+'[1]Summary Report'!$G$159+'[1]Summary Report'!$G$166+'[1]Summary Report'!$G$172</f>
        <v>4050</v>
      </c>
      <c r="G215" s="498">
        <f>'[1]Summary Report'!$G$139+'[1]Summary Report'!$G$160+'[1]Summary Report'!$G$167+'[1]Summary Report'!$G$173</f>
        <v>4050</v>
      </c>
      <c r="H215" s="498">
        <f>'[1]Summary Report'!$G$140+'[1]Summary Report'!$G$161+'[1]Summary Report'!$G$168</f>
        <v>0</v>
      </c>
      <c r="I215" s="100"/>
      <c r="J215"/>
    </row>
    <row r="216" spans="1:24" x14ac:dyDescent="0.3">
      <c r="A216" s="496"/>
      <c r="B216" s="278">
        <f>'[1]Summary Report'!$G$144</f>
        <v>2719940</v>
      </c>
      <c r="C216" s="278">
        <f>'[1]Summary Report'!$G$148</f>
        <v>671677</v>
      </c>
      <c r="D216" s="278"/>
      <c r="E216" s="499"/>
      <c r="F216" s="499"/>
      <c r="G216" s="499"/>
      <c r="H216" s="499"/>
      <c r="I216" s="100">
        <f t="shared" si="39"/>
        <v>75531</v>
      </c>
      <c r="J216"/>
      <c r="X216" s="9">
        <v>0</v>
      </c>
    </row>
    <row r="217" spans="1:24" x14ac:dyDescent="0.3">
      <c r="A217" s="497"/>
      <c r="B217" s="284">
        <f>'[1]Summary Report'!$G$145</f>
        <v>2797430</v>
      </c>
      <c r="C217" s="284"/>
      <c r="D217" s="284">
        <f>'[1]Summary Report'!$G$151</f>
        <v>671677</v>
      </c>
      <c r="E217" s="500"/>
      <c r="F217" s="500"/>
      <c r="G217" s="500"/>
      <c r="H217" s="500"/>
      <c r="I217" s="100"/>
      <c r="J217"/>
      <c r="X217" s="300">
        <v>0</v>
      </c>
    </row>
    <row r="218" spans="1:24" x14ac:dyDescent="0.3">
      <c r="A218" s="288"/>
      <c r="B218" s="289"/>
      <c r="C218" s="289"/>
      <c r="D218" s="289"/>
      <c r="E218" s="289"/>
      <c r="F218" s="289"/>
      <c r="G218" s="289"/>
      <c r="H218" s="290"/>
      <c r="I218" s="100"/>
      <c r="J218"/>
    </row>
    <row r="219" spans="1:24" x14ac:dyDescent="0.3">
      <c r="A219" s="285"/>
      <c r="B219" s="286"/>
      <c r="C219" s="286"/>
      <c r="D219" s="286"/>
      <c r="E219" s="286"/>
      <c r="F219" s="286"/>
      <c r="G219" s="286"/>
      <c r="H219" s="287"/>
      <c r="I219" s="100"/>
      <c r="J219"/>
    </row>
    <row r="220" spans="1:24" x14ac:dyDescent="0.3">
      <c r="A220" s="495">
        <f>DATE(INT(LEFT($B$3,4)),10,1)</f>
        <v>45931</v>
      </c>
      <c r="B220" s="278">
        <f>'[1]Summary Report'!$H$143</f>
        <v>9438362</v>
      </c>
      <c r="C220" s="278">
        <f>'[1]Summary Report'!$H$147</f>
        <v>45661</v>
      </c>
      <c r="D220" s="278">
        <f>'[1]Summary Report'!$H$150</f>
        <v>45662</v>
      </c>
      <c r="E220" s="498">
        <f>'[1]Summary Report'!$H$137+'[1]Summary Report'!$H$158+'[1]Summary Report'!$H$165</f>
        <v>0</v>
      </c>
      <c r="F220" s="498">
        <f>'[1]Summary Report'!$H$138+'[1]Summary Report'!$H$159+'[1]Summary Report'!$H$166+'[1]Summary Report'!$H$172</f>
        <v>195604</v>
      </c>
      <c r="G220" s="498">
        <f>'[1]Summary Report'!$H$139+'[1]Summary Report'!$H$160+'[1]Summary Report'!$H$167+'[1]Summary Report'!$H$173</f>
        <v>195603</v>
      </c>
      <c r="H220" s="498">
        <f>'[1]Summary Report'!$H$140+'[1]Summary Report'!$H$161+'[1]Summary Report'!$H$168</f>
        <v>0</v>
      </c>
      <c r="I220" s="100"/>
      <c r="J220"/>
    </row>
    <row r="221" spans="1:24" x14ac:dyDescent="0.3">
      <c r="A221" s="496"/>
      <c r="B221" s="278">
        <f>'[1]Summary Report'!$H$144</f>
        <v>0</v>
      </c>
      <c r="C221" s="278">
        <f>'[1]Summary Report'!$H$148</f>
        <v>4157855</v>
      </c>
      <c r="D221" s="278"/>
      <c r="E221" s="499"/>
      <c r="F221" s="499"/>
      <c r="G221" s="499"/>
      <c r="H221" s="499"/>
      <c r="I221" s="100">
        <f t="shared" si="39"/>
        <v>391207</v>
      </c>
      <c r="J221"/>
      <c r="X221" s="9">
        <v>800</v>
      </c>
    </row>
    <row r="222" spans="1:24" x14ac:dyDescent="0.3">
      <c r="A222" s="497"/>
      <c r="B222" s="284">
        <f>'[1]Summary Report'!$H$145</f>
        <v>0</v>
      </c>
      <c r="C222" s="284"/>
      <c r="D222" s="284">
        <f>'[1]Summary Report'!$H$151</f>
        <v>4157855</v>
      </c>
      <c r="E222" s="500"/>
      <c r="F222" s="500"/>
      <c r="G222" s="500"/>
      <c r="H222" s="500"/>
      <c r="I222" s="100"/>
      <c r="J222"/>
      <c r="X222" s="300">
        <v>0</v>
      </c>
    </row>
    <row r="223" spans="1:24" x14ac:dyDescent="0.3">
      <c r="A223" s="288"/>
      <c r="B223" s="289"/>
      <c r="C223" s="289"/>
      <c r="D223" s="289"/>
      <c r="E223" s="289"/>
      <c r="F223" s="289"/>
      <c r="G223" s="289"/>
      <c r="H223" s="290"/>
      <c r="I223" s="100"/>
      <c r="J223"/>
    </row>
    <row r="224" spans="1:24" x14ac:dyDescent="0.3">
      <c r="A224" s="285"/>
      <c r="B224" s="286"/>
      <c r="C224" s="286"/>
      <c r="D224" s="286"/>
      <c r="E224" s="286"/>
      <c r="F224" s="286"/>
      <c r="G224" s="286"/>
      <c r="H224" s="287"/>
      <c r="I224" s="100"/>
      <c r="J224"/>
    </row>
    <row r="225" spans="1:24" x14ac:dyDescent="0.3">
      <c r="A225" s="495">
        <f>DATE(INT(LEFT($B$3,4)),11,1)</f>
        <v>45962</v>
      </c>
      <c r="B225" s="278">
        <f>'[1]Summary Report'!$I$143</f>
        <v>2513337</v>
      </c>
      <c r="C225" s="278">
        <f>'[1]Summary Report'!$I$147</f>
        <v>0</v>
      </c>
      <c r="D225" s="278">
        <f>'[1]Summary Report'!$I$150</f>
        <v>0</v>
      </c>
      <c r="E225" s="498">
        <f>'[1]Summary Report'!$I$137+'[1]Summary Report'!$I$158+'[1]Summary Report'!$I$165</f>
        <v>96886</v>
      </c>
      <c r="F225" s="498">
        <f>'[1]Summary Report'!$I$138+'[1]Summary Report'!$I$159+'[1]Summary Report'!$I$166+'[1]Summary Report'!$I$172</f>
        <v>8586</v>
      </c>
      <c r="G225" s="498">
        <f>'[1]Summary Report'!$I$139+'[1]Summary Report'!$I$160+'[1]Summary Report'!$I$167+'[1]Summary Report'!$I$173</f>
        <v>8586</v>
      </c>
      <c r="H225" s="498">
        <f>'[1]Summary Report'!$I$140+'[1]Summary Report'!$I$161+'[1]Summary Report'!$I$168</f>
        <v>0</v>
      </c>
      <c r="I225" s="100"/>
      <c r="J225"/>
    </row>
    <row r="226" spans="1:24" x14ac:dyDescent="0.3">
      <c r="A226" s="496"/>
      <c r="B226" s="278">
        <f>'[1]Summary Report'!$I$144</f>
        <v>1738263</v>
      </c>
      <c r="C226" s="278">
        <f>'[1]Summary Report'!$I$148</f>
        <v>857037</v>
      </c>
      <c r="D226" s="278"/>
      <c r="E226" s="499"/>
      <c r="F226" s="499"/>
      <c r="G226" s="499"/>
      <c r="H226" s="499"/>
      <c r="I226" s="100">
        <f t="shared" si="39"/>
        <v>114058</v>
      </c>
      <c r="J226"/>
      <c r="X226" s="300">
        <v>0</v>
      </c>
    </row>
    <row r="227" spans="1:24" x14ac:dyDescent="0.3">
      <c r="A227" s="497"/>
      <c r="B227" s="284">
        <f>'[1]Summary Report'!$I$145</f>
        <v>1738263</v>
      </c>
      <c r="C227" s="284"/>
      <c r="D227" s="284">
        <f>'[1]Summary Report'!$I$151</f>
        <v>857037</v>
      </c>
      <c r="E227" s="500"/>
      <c r="F227" s="500"/>
      <c r="G227" s="500"/>
      <c r="H227" s="500"/>
      <c r="I227" s="100"/>
      <c r="J227"/>
      <c r="X227" s="300">
        <v>0</v>
      </c>
    </row>
    <row r="228" spans="1:24" x14ac:dyDescent="0.3">
      <c r="A228" s="288"/>
      <c r="B228" s="289"/>
      <c r="C228" s="289"/>
      <c r="D228" s="289"/>
      <c r="E228" s="289"/>
      <c r="F228" s="289"/>
      <c r="G228" s="289"/>
      <c r="H228" s="290"/>
      <c r="I228" s="100"/>
      <c r="J228"/>
    </row>
    <row r="229" spans="1:24" x14ac:dyDescent="0.3">
      <c r="A229" s="285"/>
      <c r="B229" s="286"/>
      <c r="C229" s="286"/>
      <c r="D229" s="286"/>
      <c r="E229" s="286"/>
      <c r="F229" s="286"/>
      <c r="G229" s="286"/>
      <c r="H229" s="287"/>
      <c r="I229" s="100"/>
      <c r="J229"/>
    </row>
    <row r="230" spans="1:24" x14ac:dyDescent="0.3">
      <c r="A230" s="495">
        <f>DATE(INT(LEFT($B$3,4)),12,1)</f>
        <v>45992</v>
      </c>
      <c r="B230" s="278">
        <f>'[1]Summary Report'!$J$143</f>
        <v>9571464</v>
      </c>
      <c r="C230" s="278">
        <f>'[1]Summary Report'!$J$147</f>
        <v>0</v>
      </c>
      <c r="D230" s="278">
        <f>'[1]Summary Report'!$J$150</f>
        <v>0</v>
      </c>
      <c r="E230" s="498">
        <f>'[1]Summary Report'!$J$137+'[1]Summary Report'!$J$158+'[1]Summary Report'!$J$165</f>
        <v>0</v>
      </c>
      <c r="F230" s="498">
        <f>'[1]Summary Report'!$J$138+'[1]Summary Report'!$J$159+'[1]Summary Report'!$J$166+'[1]Summary Report'!$J$172</f>
        <v>1125</v>
      </c>
      <c r="G230" s="498">
        <f>'[1]Summary Report'!$J$139+'[1]Summary Report'!$J$160+'[1]Summary Report'!$J$167+'[1]Summary Report'!$J$173</f>
        <v>1125</v>
      </c>
      <c r="H230" s="498">
        <f>'[1]Summary Report'!$J$140+'[1]Summary Report'!$J$161+'[1]Summary Report'!$J$168</f>
        <v>0</v>
      </c>
      <c r="I230" s="100"/>
      <c r="J230"/>
    </row>
    <row r="231" spans="1:24" x14ac:dyDescent="0.3">
      <c r="A231" s="496"/>
      <c r="B231" s="278">
        <f>'[1]Summary Report'!$J$144</f>
        <v>3984249</v>
      </c>
      <c r="C231" s="278">
        <f>'[1]Summary Report'!$J$148</f>
        <v>5363665</v>
      </c>
      <c r="D231" s="278"/>
      <c r="E231" s="499"/>
      <c r="F231" s="499"/>
      <c r="G231" s="499"/>
      <c r="H231" s="499"/>
      <c r="I231" s="100">
        <f t="shared" si="39"/>
        <v>2250</v>
      </c>
      <c r="J231"/>
      <c r="X231" s="300">
        <v>0</v>
      </c>
    </row>
    <row r="232" spans="1:24" x14ac:dyDescent="0.3">
      <c r="A232" s="497"/>
      <c r="B232" s="284">
        <f>'[1]Summary Report'!$J$145</f>
        <v>3953009</v>
      </c>
      <c r="C232" s="284"/>
      <c r="D232" s="284">
        <f>'[1]Summary Report'!$J$151</f>
        <v>5363665</v>
      </c>
      <c r="E232" s="500"/>
      <c r="F232" s="500"/>
      <c r="G232" s="500"/>
      <c r="H232" s="500"/>
      <c r="I232" s="100"/>
      <c r="J232"/>
      <c r="X232" s="300">
        <v>0</v>
      </c>
    </row>
    <row r="233" spans="1:24" x14ac:dyDescent="0.3">
      <c r="A233" s="288"/>
      <c r="B233" s="289"/>
      <c r="C233" s="289"/>
      <c r="D233" s="289"/>
      <c r="E233" s="289"/>
      <c r="F233" s="289"/>
      <c r="G233" s="289"/>
      <c r="H233" s="290"/>
      <c r="I233" s="100"/>
      <c r="J233"/>
    </row>
    <row r="234" spans="1:24" x14ac:dyDescent="0.3">
      <c r="A234" s="285"/>
      <c r="B234" s="286"/>
      <c r="C234" s="286"/>
      <c r="D234" s="286"/>
      <c r="E234" s="286"/>
      <c r="F234" s="286"/>
      <c r="G234" s="286"/>
      <c r="H234" s="287"/>
      <c r="I234" s="100"/>
      <c r="J234"/>
    </row>
    <row r="235" spans="1:24" x14ac:dyDescent="0.3">
      <c r="A235" s="495">
        <f>DATE(INT(LEFT($B$3,4))+1,1,1)</f>
        <v>46023</v>
      </c>
      <c r="B235" s="278">
        <f>'[1]Summary Report'!$K$143</f>
        <v>11369453</v>
      </c>
      <c r="C235" s="278">
        <f>'[1]Summary Report'!$K$147</f>
        <v>0</v>
      </c>
      <c r="D235" s="278">
        <f>'[1]Summary Report'!$K$150</f>
        <v>0</v>
      </c>
      <c r="E235" s="498">
        <f>'[1]Summary Report'!$K$137+'[1]Summary Report'!$K$158+'[1]Summary Report'!$K$165</f>
        <v>897248</v>
      </c>
      <c r="F235" s="498">
        <f>'[1]Summary Report'!$K$138+'[1]Summary Report'!$K$159+'[1]Summary Report'!$K$166+'[1]Summary Report'!$K$172</f>
        <v>4050</v>
      </c>
      <c r="G235" s="498">
        <f>'[1]Summary Report'!$K$139+'[1]Summary Report'!$K$160+'[1]Summary Report'!$K$167+'[1]Summary Report'!$K$173</f>
        <v>4050</v>
      </c>
      <c r="H235" s="498">
        <f>'[1]Summary Report'!$K$140+'[1]Summary Report'!$K$161+'[1]Summary Report'!$K$168</f>
        <v>0</v>
      </c>
      <c r="I235" s="100"/>
      <c r="J235"/>
    </row>
    <row r="236" spans="1:24" x14ac:dyDescent="0.3">
      <c r="A236" s="496"/>
      <c r="B236" s="278">
        <f>'[1]Summary Report'!$K$144</f>
        <v>4557837</v>
      </c>
      <c r="C236" s="278">
        <f>'[1]Summary Report'!$K$148</f>
        <v>6252243</v>
      </c>
      <c r="D236" s="278"/>
      <c r="E236" s="499"/>
      <c r="F236" s="499"/>
      <c r="G236" s="499"/>
      <c r="H236" s="499"/>
      <c r="I236" s="100">
        <f t="shared" si="39"/>
        <v>905348</v>
      </c>
      <c r="J236"/>
      <c r="X236" s="9">
        <v>0</v>
      </c>
    </row>
    <row r="237" spans="1:24" x14ac:dyDescent="0.3">
      <c r="A237" s="497"/>
      <c r="B237" s="284">
        <f>'[1]Summary Report'!$K$145</f>
        <v>4589077</v>
      </c>
      <c r="C237" s="284"/>
      <c r="D237" s="284">
        <f>'[1]Summary Report'!$K$151</f>
        <v>6252243</v>
      </c>
      <c r="E237" s="500"/>
      <c r="F237" s="500"/>
      <c r="G237" s="500"/>
      <c r="H237" s="500"/>
      <c r="I237" s="100"/>
      <c r="J237"/>
      <c r="X237" s="300">
        <v>0</v>
      </c>
    </row>
    <row r="238" spans="1:24" x14ac:dyDescent="0.3">
      <c r="A238" s="288"/>
      <c r="B238" s="289"/>
      <c r="C238" s="289"/>
      <c r="D238" s="289"/>
      <c r="E238" s="289"/>
      <c r="F238" s="289"/>
      <c r="G238" s="289"/>
      <c r="H238" s="290"/>
      <c r="I238" s="100"/>
      <c r="J238"/>
    </row>
    <row r="239" spans="1:24" x14ac:dyDescent="0.3">
      <c r="A239" s="285"/>
      <c r="B239" s="286"/>
      <c r="C239" s="286"/>
      <c r="D239" s="286"/>
      <c r="E239" s="286"/>
      <c r="F239" s="286"/>
      <c r="G239" s="286"/>
      <c r="H239" s="287"/>
      <c r="I239" s="100"/>
      <c r="J239"/>
    </row>
    <row r="240" spans="1:24" x14ac:dyDescent="0.3">
      <c r="A240" s="495">
        <f>DATE(INT(LEFT($B$3,4))+1,2,1)</f>
        <v>46054</v>
      </c>
      <c r="B240" s="278">
        <f>'[1]Summary Report'!$L$143</f>
        <v>2864184</v>
      </c>
      <c r="C240" s="278">
        <f>'[1]Summary Report'!$L$147</f>
        <v>2118080</v>
      </c>
      <c r="D240" s="278">
        <f>'[1]Summary Report'!$L$150</f>
        <v>2118080</v>
      </c>
      <c r="E240" s="498">
        <f>'[1]Summary Report'!$L$137+'[1]Summary Report'!$L$158+'[1]Summary Report'!$L$165</f>
        <v>0</v>
      </c>
      <c r="F240" s="498">
        <f>'[1]Summary Report'!$L$138+'[1]Summary Report'!$L$159++'[1]Summary Report'!$L$166+'[1]Summary Report'!$L$172</f>
        <v>105616</v>
      </c>
      <c r="G240" s="498">
        <f>'[1]Summary Report'!$L$139+'[1]Summary Report'!$L$160+'[1]Summary Report'!$L$167+'[1]Summary Report'!$L$173</f>
        <v>105616</v>
      </c>
      <c r="H240" s="498">
        <f>'[1]Summary Report'!$L$140+'[1]Summary Report'!$L$161+'[1]Summary Report'!$L$168</f>
        <v>0</v>
      </c>
      <c r="I240" s="100"/>
      <c r="J240"/>
    </row>
    <row r="241" spans="1:24" x14ac:dyDescent="0.3">
      <c r="A241" s="496"/>
      <c r="B241" s="278">
        <f>'[1]Summary Report'!$L$144</f>
        <v>0</v>
      </c>
      <c r="C241" s="278">
        <f>'[1]Summary Report'!$L$148</f>
        <v>3193848</v>
      </c>
      <c r="D241" s="278"/>
      <c r="E241" s="499"/>
      <c r="F241" s="499"/>
      <c r="G241" s="499"/>
      <c r="H241" s="499"/>
      <c r="I241" s="100">
        <f t="shared" si="39"/>
        <v>211232</v>
      </c>
      <c r="J241"/>
      <c r="X241" s="9">
        <v>0</v>
      </c>
    </row>
    <row r="242" spans="1:24" x14ac:dyDescent="0.3">
      <c r="A242" s="497"/>
      <c r="B242" s="284">
        <f>'[1]Summary Report'!$L$145</f>
        <v>0</v>
      </c>
      <c r="C242" s="284"/>
      <c r="D242" s="284">
        <f>'[1]Summary Report'!$L$151</f>
        <v>3193848</v>
      </c>
      <c r="E242" s="500"/>
      <c r="F242" s="500"/>
      <c r="G242" s="500"/>
      <c r="H242" s="500"/>
      <c r="I242" s="100"/>
      <c r="J242"/>
      <c r="X242" s="300">
        <v>0</v>
      </c>
    </row>
    <row r="243" spans="1:24" x14ac:dyDescent="0.3">
      <c r="A243" s="288"/>
      <c r="B243" s="289"/>
      <c r="C243" s="289"/>
      <c r="D243" s="289"/>
      <c r="E243" s="289"/>
      <c r="F243" s="289"/>
      <c r="G243" s="289"/>
      <c r="H243" s="290"/>
      <c r="I243" s="100"/>
      <c r="J243"/>
    </row>
    <row r="244" spans="1:24" x14ac:dyDescent="0.3">
      <c r="A244" s="285"/>
      <c r="B244" s="286"/>
      <c r="C244" s="286"/>
      <c r="D244" s="286"/>
      <c r="E244" s="286"/>
      <c r="F244" s="286"/>
      <c r="G244" s="286"/>
      <c r="H244" s="287"/>
      <c r="I244" s="100"/>
      <c r="J244"/>
    </row>
    <row r="245" spans="1:24" x14ac:dyDescent="0.3">
      <c r="A245" s="495">
        <f>DATE(INT(LEFT($B$3,4))+1,3,1)</f>
        <v>46082</v>
      </c>
      <c r="B245" s="278">
        <f>'[1]Summary Report'!$M$143</f>
        <v>2283989</v>
      </c>
      <c r="C245" s="278">
        <f>'[1]Summary Report'!$M$147</f>
        <v>3098761</v>
      </c>
      <c r="D245" s="278">
        <f>'[1]Summary Report'!$M$150</f>
        <v>3098761</v>
      </c>
      <c r="E245" s="498">
        <f>'[1]Summary Report'!$M$137+'[1]Summary Report'!$M$158+'[1]Summary Report'!$M$165</f>
        <v>0</v>
      </c>
      <c r="F245" s="498">
        <f>'[1]Summary Report'!$M$138+'[1]Summary Report'!$M$159+'[1]Summary Report'!$M$166+'[1]Summary Report'!$M$172</f>
        <v>4050</v>
      </c>
      <c r="G245" s="498">
        <f>'[1]Summary Report'!$M$139+'[1]Summary Report'!$M$160+'[1]Summary Report'!$M$167+'[1]Summary Report'!$M$173</f>
        <v>4050</v>
      </c>
      <c r="H245" s="498">
        <f>'[1]Summary Report'!$M$140+'[1]Summary Report'!$M$161+'[1]Summary Report'!$M$168</f>
        <v>0</v>
      </c>
      <c r="I245" s="100"/>
      <c r="J245"/>
    </row>
    <row r="246" spans="1:24" x14ac:dyDescent="0.3">
      <c r="A246" s="496"/>
      <c r="B246" s="278">
        <f>'[1]Summary Report'!$M$144</f>
        <v>0</v>
      </c>
      <c r="C246" s="278">
        <f>'[1]Summary Report'!$M$148</f>
        <v>1292959</v>
      </c>
      <c r="D246" s="278"/>
      <c r="E246" s="499"/>
      <c r="F246" s="499"/>
      <c r="G246" s="499"/>
      <c r="H246" s="499"/>
      <c r="I246" s="100">
        <f t="shared" si="39"/>
        <v>8100</v>
      </c>
      <c r="J246"/>
      <c r="X246" s="9">
        <v>0</v>
      </c>
    </row>
    <row r="247" spans="1:24" x14ac:dyDescent="0.3">
      <c r="A247" s="497"/>
      <c r="B247" s="284">
        <f>'[1]Summary Report'!$M$145</f>
        <v>0</v>
      </c>
      <c r="C247" s="284"/>
      <c r="D247" s="284">
        <f>'[1]Summary Report'!$M$151</f>
        <v>1292959</v>
      </c>
      <c r="E247" s="500"/>
      <c r="F247" s="500"/>
      <c r="G247" s="500"/>
      <c r="H247" s="500"/>
      <c r="I247" s="100"/>
      <c r="J247"/>
      <c r="X247" s="300">
        <v>0</v>
      </c>
    </row>
    <row r="248" spans="1:24" x14ac:dyDescent="0.3">
      <c r="A248" s="288"/>
      <c r="B248" s="289"/>
      <c r="C248" s="289"/>
      <c r="D248" s="289"/>
      <c r="E248" s="289"/>
      <c r="F248" s="289"/>
      <c r="G248" s="289"/>
      <c r="H248" s="290"/>
      <c r="I248" s="100"/>
      <c r="J248"/>
    </row>
    <row r="249" spans="1:24" x14ac:dyDescent="0.3">
      <c r="A249" s="344"/>
      <c r="B249" s="345"/>
      <c r="C249" s="345"/>
      <c r="D249" s="345"/>
      <c r="E249" s="345"/>
      <c r="F249" s="345"/>
      <c r="G249" s="345"/>
      <c r="H249" s="346"/>
      <c r="I249" s="100"/>
      <c r="J249"/>
    </row>
    <row r="250" spans="1:24" ht="15" customHeight="1" x14ac:dyDescent="0.3">
      <c r="A250" s="341"/>
      <c r="B250" s="342">
        <f>SUM(B190:B247)</f>
        <v>131197687</v>
      </c>
      <c r="C250" s="342">
        <f t="shared" ref="C250:H250" si="40">SUM(C190:C247)</f>
        <v>34887118</v>
      </c>
      <c r="D250" s="342">
        <f t="shared" si="40"/>
        <v>34887119</v>
      </c>
      <c r="E250" s="342">
        <f t="shared" si="40"/>
        <v>5842678</v>
      </c>
      <c r="F250" s="342">
        <f t="shared" si="40"/>
        <v>532596</v>
      </c>
      <c r="G250" s="342">
        <f t="shared" si="40"/>
        <v>532595</v>
      </c>
      <c r="H250" s="343">
        <f t="shared" si="40"/>
        <v>16768</v>
      </c>
      <c r="I250" s="646">
        <f>SUM(E249:H251)</f>
        <v>6924637</v>
      </c>
      <c r="J250" s="647">
        <f>'[1]Summary Report'!$N$174+'[1]Summary Report'!$N$169+'[1]Summary Report'!$N$162+'[1]Summary Report'!$N$141</f>
        <v>6924637</v>
      </c>
    </row>
    <row r="252" spans="1:24" x14ac:dyDescent="0.3">
      <c r="I252" s="649" t="s">
        <v>563</v>
      </c>
      <c r="J252" s="648">
        <f>I250-J250</f>
        <v>0</v>
      </c>
    </row>
    <row r="362" spans="7:10" x14ac:dyDescent="0.3">
      <c r="G362" s="9">
        <v>2044661.9</v>
      </c>
      <c r="H362" s="9">
        <v>6292.08</v>
      </c>
      <c r="I362" s="9">
        <v>180873.57</v>
      </c>
      <c r="J362" s="9">
        <v>180873.57</v>
      </c>
    </row>
    <row r="422" spans="7:10" x14ac:dyDescent="0.3">
      <c r="G422" s="9">
        <v>1778975</v>
      </c>
      <c r="H422" s="9">
        <v>8661</v>
      </c>
      <c r="I422" s="9">
        <v>155776</v>
      </c>
      <c r="J422" s="9">
        <v>155776</v>
      </c>
    </row>
  </sheetData>
  <mergeCells count="67">
    <mergeCell ref="A147:A148"/>
    <mergeCell ref="B147:C147"/>
    <mergeCell ref="D147:E147"/>
    <mergeCell ref="F147:G147"/>
    <mergeCell ref="A187:A188"/>
    <mergeCell ref="E187:H187"/>
    <mergeCell ref="B187:D187"/>
    <mergeCell ref="A190:A192"/>
    <mergeCell ref="A195:A197"/>
    <mergeCell ref="E190:E192"/>
    <mergeCell ref="F190:F192"/>
    <mergeCell ref="G190:G192"/>
    <mergeCell ref="H190:H192"/>
    <mergeCell ref="E195:E197"/>
    <mergeCell ref="F195:F197"/>
    <mergeCell ref="G195:G197"/>
    <mergeCell ref="H195:H197"/>
    <mergeCell ref="A200:A202"/>
    <mergeCell ref="E200:E202"/>
    <mergeCell ref="F200:F202"/>
    <mergeCell ref="G200:G202"/>
    <mergeCell ref="H200:H202"/>
    <mergeCell ref="A205:A207"/>
    <mergeCell ref="E205:E207"/>
    <mergeCell ref="F205:F207"/>
    <mergeCell ref="G205:G207"/>
    <mergeCell ref="H205:H207"/>
    <mergeCell ref="A210:A212"/>
    <mergeCell ref="E210:E212"/>
    <mergeCell ref="F210:F212"/>
    <mergeCell ref="G210:G212"/>
    <mergeCell ref="H210:H212"/>
    <mergeCell ref="A215:A217"/>
    <mergeCell ref="E215:E217"/>
    <mergeCell ref="F215:F217"/>
    <mergeCell ref="G215:G217"/>
    <mergeCell ref="H215:H217"/>
    <mergeCell ref="A220:A222"/>
    <mergeCell ref="E220:E222"/>
    <mergeCell ref="F220:F222"/>
    <mergeCell ref="G220:G222"/>
    <mergeCell ref="H220:H222"/>
    <mergeCell ref="A225:A227"/>
    <mergeCell ref="E225:E227"/>
    <mergeCell ref="F225:F227"/>
    <mergeCell ref="G225:G227"/>
    <mergeCell ref="H225:H227"/>
    <mergeCell ref="A230:A232"/>
    <mergeCell ref="E230:E232"/>
    <mergeCell ref="F230:F232"/>
    <mergeCell ref="G230:G232"/>
    <mergeCell ref="H230:H232"/>
    <mergeCell ref="A235:A237"/>
    <mergeCell ref="E235:E237"/>
    <mergeCell ref="F235:F237"/>
    <mergeCell ref="G235:G237"/>
    <mergeCell ref="H235:H237"/>
    <mergeCell ref="A240:A242"/>
    <mergeCell ref="E240:E242"/>
    <mergeCell ref="F240:F242"/>
    <mergeCell ref="G240:G242"/>
    <mergeCell ref="H240:H242"/>
    <mergeCell ref="A245:A247"/>
    <mergeCell ref="E245:E247"/>
    <mergeCell ref="F245:F247"/>
    <mergeCell ref="G245:G247"/>
    <mergeCell ref="H245:H247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451"/>
  <sheetViews>
    <sheetView showGridLines="0" topLeftCell="A534" zoomScaleNormal="100" workbookViewId="0">
      <selection activeCell="B19" sqref="B19"/>
    </sheetView>
  </sheetViews>
  <sheetFormatPr defaultColWidth="9.109375" defaultRowHeight="14.4" x14ac:dyDescent="0.3"/>
  <cols>
    <col min="1" max="1" width="19.88671875" bestFit="1" customWidth="1"/>
    <col min="2" max="2" width="27.33203125" bestFit="1" customWidth="1"/>
    <col min="3" max="3" width="28.44140625" bestFit="1" customWidth="1"/>
    <col min="4" max="7" width="24.109375" bestFit="1" customWidth="1"/>
    <col min="8" max="8" width="19" bestFit="1" customWidth="1"/>
    <col min="9" max="9" width="19.33203125" customWidth="1"/>
    <col min="10" max="10" width="19.44140625" customWidth="1"/>
    <col min="11" max="11" width="21.6640625" customWidth="1"/>
    <col min="12" max="13" width="9.109375" hidden="1" customWidth="1"/>
    <col min="14" max="14" width="9.109375" style="46"/>
  </cols>
  <sheetData>
    <row r="1" spans="1:4" ht="3" customHeight="1" x14ac:dyDescent="0.3">
      <c r="A1">
        <v>7</v>
      </c>
    </row>
    <row r="2" spans="1:4" ht="17.399999999999999" x14ac:dyDescent="0.35">
      <c r="A2" s="311" t="s">
        <v>0</v>
      </c>
      <c r="B2" s="350">
        <f>'PREL INFO'!C2</f>
        <v>0</v>
      </c>
      <c r="C2" s="47"/>
    </row>
    <row r="3" spans="1:4" ht="17.399999999999999" x14ac:dyDescent="0.35">
      <c r="A3" s="312" t="s">
        <v>9</v>
      </c>
      <c r="B3" s="351" t="str">
        <f>'PREL INFO'!C15</f>
        <v>2025-26</v>
      </c>
      <c r="C3" s="48"/>
    </row>
    <row r="4" spans="1:4" ht="17.399999999999999" x14ac:dyDescent="0.35">
      <c r="A4" s="313" t="s">
        <v>78</v>
      </c>
      <c r="B4" s="352" t="s">
        <v>119</v>
      </c>
      <c r="C4" s="49"/>
    </row>
    <row r="7" spans="1:4" ht="18" x14ac:dyDescent="0.35">
      <c r="A7" s="14" t="s">
        <v>120</v>
      </c>
    </row>
    <row r="8" spans="1:4" ht="9" customHeight="1" x14ac:dyDescent="0.3"/>
    <row r="9" spans="1:4" ht="18" customHeight="1" x14ac:dyDescent="0.3">
      <c r="A9" s="314" t="s">
        <v>81</v>
      </c>
      <c r="B9" s="16"/>
      <c r="C9" s="16"/>
      <c r="D9" s="41"/>
    </row>
    <row r="10" spans="1:4" ht="24.9" customHeight="1" x14ac:dyDescent="0.3">
      <c r="A10" s="327" t="s">
        <v>82</v>
      </c>
      <c r="B10" s="328" t="s">
        <v>122</v>
      </c>
      <c r="C10" s="328" t="s">
        <v>121</v>
      </c>
      <c r="D10" s="329" t="s">
        <v>85</v>
      </c>
    </row>
    <row r="11" spans="1:4" x14ac:dyDescent="0.3">
      <c r="A11" s="50">
        <f>DATE(INT(LEFT($B$3,4)),4,1)</f>
        <v>45748</v>
      </c>
      <c r="B11" s="432">
        <v>45788</v>
      </c>
      <c r="C11" s="432"/>
      <c r="D11" s="277">
        <f>IF(C11&lt;&gt;0,IF((C11-B11)&gt;0,(C11-B11),0),0)</f>
        <v>0</v>
      </c>
    </row>
    <row r="12" spans="1:4" x14ac:dyDescent="0.3">
      <c r="A12" s="50">
        <f>DATE(INT(LEFT($B$3,4)),5,1)</f>
        <v>45778</v>
      </c>
      <c r="B12" s="432">
        <v>45819</v>
      </c>
      <c r="C12" s="432"/>
      <c r="D12" s="277">
        <f t="shared" ref="D12:D22" si="0">IF(C12&lt;&gt;0,IF((C12-B12)&gt;0,(C12-B12),0),0)</f>
        <v>0</v>
      </c>
    </row>
    <row r="13" spans="1:4" x14ac:dyDescent="0.3">
      <c r="A13" s="50">
        <f>DATE(INT(LEFT($B$3,4)),6,1)</f>
        <v>45809</v>
      </c>
      <c r="B13" s="432">
        <v>45849</v>
      </c>
      <c r="C13" s="432"/>
      <c r="D13" s="277">
        <f t="shared" si="0"/>
        <v>0</v>
      </c>
    </row>
    <row r="14" spans="1:4" x14ac:dyDescent="0.3">
      <c r="A14" s="50">
        <f>DATE(INT(LEFT($B$3,4)),7,1)</f>
        <v>45839</v>
      </c>
      <c r="B14" s="433">
        <v>45880</v>
      </c>
      <c r="C14" s="433"/>
      <c r="D14" s="277">
        <f t="shared" si="0"/>
        <v>0</v>
      </c>
    </row>
    <row r="15" spans="1:4" x14ac:dyDescent="0.3">
      <c r="A15" s="50">
        <f>DATE(INT(LEFT($B$3,4)),8,1)</f>
        <v>45870</v>
      </c>
      <c r="B15" s="433">
        <v>45911</v>
      </c>
      <c r="C15" s="433"/>
      <c r="D15" s="277">
        <f t="shared" si="0"/>
        <v>0</v>
      </c>
    </row>
    <row r="16" spans="1:4" x14ac:dyDescent="0.3">
      <c r="A16" s="50">
        <f>DATE(INT(LEFT($B$3,4)),9,1)</f>
        <v>45901</v>
      </c>
      <c r="B16" s="433">
        <v>45941</v>
      </c>
      <c r="C16" s="434"/>
      <c r="D16" s="277">
        <f t="shared" si="0"/>
        <v>0</v>
      </c>
    </row>
    <row r="17" spans="1:14" x14ac:dyDescent="0.3">
      <c r="A17" s="50">
        <f>DATE(INT(LEFT($B$3,4)),10,1)</f>
        <v>45931</v>
      </c>
      <c r="B17" s="433">
        <v>45972</v>
      </c>
      <c r="C17" s="434"/>
      <c r="D17" s="277">
        <f t="shared" si="0"/>
        <v>0</v>
      </c>
    </row>
    <row r="18" spans="1:14" x14ac:dyDescent="0.3">
      <c r="A18" s="50">
        <f>DATE(INT(LEFT($B$3,4)),11,1)</f>
        <v>45962</v>
      </c>
      <c r="B18" s="433">
        <v>46002</v>
      </c>
      <c r="C18" s="434"/>
      <c r="D18" s="277">
        <f t="shared" si="0"/>
        <v>0</v>
      </c>
    </row>
    <row r="19" spans="1:14" x14ac:dyDescent="0.3">
      <c r="A19" s="50">
        <f>DATE(INT(LEFT($B$3,4)),12,1)</f>
        <v>45992</v>
      </c>
      <c r="B19" s="433">
        <v>46033</v>
      </c>
      <c r="C19" s="434"/>
      <c r="D19" s="277">
        <f t="shared" si="0"/>
        <v>0</v>
      </c>
    </row>
    <row r="20" spans="1:14" x14ac:dyDescent="0.3">
      <c r="A20" s="50">
        <f>DATE(INT(LEFT($B$3,4))+1,1,1)</f>
        <v>46023</v>
      </c>
      <c r="B20" s="433">
        <v>46064</v>
      </c>
      <c r="C20" s="434"/>
      <c r="D20" s="277">
        <f t="shared" si="0"/>
        <v>0</v>
      </c>
    </row>
    <row r="21" spans="1:14" x14ac:dyDescent="0.3">
      <c r="A21" s="50">
        <f>DATE(INT(LEFT($B$3,4))+1,2,1)</f>
        <v>46054</v>
      </c>
      <c r="B21" s="433">
        <v>46092</v>
      </c>
      <c r="C21" s="434"/>
      <c r="D21" s="277">
        <f t="shared" si="0"/>
        <v>0</v>
      </c>
    </row>
    <row r="22" spans="1:14" x14ac:dyDescent="0.3">
      <c r="A22" s="426">
        <f>DATE(INT(LEFT($B$3,4))+1,3,1)</f>
        <v>46082</v>
      </c>
      <c r="B22" s="435">
        <v>46123</v>
      </c>
      <c r="C22" s="436"/>
      <c r="D22" s="277">
        <f t="shared" si="0"/>
        <v>0</v>
      </c>
    </row>
    <row r="23" spans="1:14" x14ac:dyDescent="0.3">
      <c r="A23" s="427"/>
      <c r="B23" s="428"/>
      <c r="C23" s="428"/>
      <c r="D23" s="372"/>
    </row>
    <row r="24" spans="1:14" x14ac:dyDescent="0.3">
      <c r="A24" s="429"/>
      <c r="B24" s="430"/>
      <c r="C24" s="430"/>
      <c r="D24" s="431"/>
    </row>
    <row r="25" spans="1:14" x14ac:dyDescent="0.3">
      <c r="A25" s="46"/>
      <c r="B25" s="54"/>
      <c r="C25" s="54"/>
    </row>
    <row r="26" spans="1:14" x14ac:dyDescent="0.3">
      <c r="A26" s="46"/>
      <c r="B26" s="54"/>
      <c r="C26" s="54"/>
    </row>
    <row r="27" spans="1:14" x14ac:dyDescent="0.3">
      <c r="A27" s="46"/>
      <c r="B27" s="54"/>
      <c r="C27" s="54"/>
    </row>
    <row r="28" spans="1:14" ht="18" x14ac:dyDescent="0.35">
      <c r="A28" s="14" t="s">
        <v>123</v>
      </c>
    </row>
    <row r="30" spans="1:14" ht="18" customHeight="1" x14ac:dyDescent="0.3">
      <c r="A30" s="438" t="s">
        <v>81</v>
      </c>
      <c r="B30" s="16"/>
      <c r="C30" s="16"/>
      <c r="D30" s="16"/>
      <c r="E30" s="16"/>
      <c r="F30" s="16"/>
      <c r="G30" s="41"/>
    </row>
    <row r="31" spans="1:14" ht="24.9" customHeight="1" x14ac:dyDescent="0.3">
      <c r="A31" s="367" t="s">
        <v>82</v>
      </c>
      <c r="B31" s="322" t="s">
        <v>96</v>
      </c>
      <c r="C31" s="322" t="s">
        <v>101</v>
      </c>
      <c r="D31" s="322" t="s">
        <v>105</v>
      </c>
      <c r="E31" s="322" t="s">
        <v>106</v>
      </c>
      <c r="F31" s="322" t="s">
        <v>90</v>
      </c>
      <c r="G31" s="359" t="s">
        <v>91</v>
      </c>
    </row>
    <row r="32" spans="1:14" x14ac:dyDescent="0.3">
      <c r="A32" s="21">
        <f>DATE(INT(LEFT($B$3,4)),4,1)</f>
        <v>45748</v>
      </c>
      <c r="B32" s="477"/>
      <c r="C32" s="477"/>
      <c r="D32" s="477"/>
      <c r="E32" s="477"/>
      <c r="F32" s="477"/>
      <c r="G32" s="477">
        <f t="shared" ref="G32:G53" si="1">SUM(B32:F32)</f>
        <v>0</v>
      </c>
      <c r="I32" s="447">
        <f>G32-H32</f>
        <v>0</v>
      </c>
      <c r="M32" s="46"/>
      <c r="N32"/>
    </row>
    <row r="33" spans="1:14" x14ac:dyDescent="0.3">
      <c r="A33" s="21">
        <f>DATE(INT(LEFT($B$3,4)),5,1)</f>
        <v>45778</v>
      </c>
      <c r="B33" s="477"/>
      <c r="C33" s="477"/>
      <c r="D33" s="477"/>
      <c r="E33" s="477"/>
      <c r="F33" s="477"/>
      <c r="G33" s="477">
        <f t="shared" si="1"/>
        <v>0</v>
      </c>
      <c r="I33" s="447">
        <f t="shared" ref="I33:I43" si="2">G33-H33</f>
        <v>0</v>
      </c>
      <c r="M33" s="46"/>
      <c r="N33"/>
    </row>
    <row r="34" spans="1:14" x14ac:dyDescent="0.3">
      <c r="A34" s="21">
        <f>DATE(INT(LEFT($B$3,4)),6,1)</f>
        <v>45809</v>
      </c>
      <c r="B34" s="477"/>
      <c r="C34" s="477"/>
      <c r="D34" s="477"/>
      <c r="E34" s="477"/>
      <c r="F34" s="477"/>
      <c r="G34" s="477">
        <f t="shared" si="1"/>
        <v>0</v>
      </c>
      <c r="I34" s="447">
        <f t="shared" si="2"/>
        <v>0</v>
      </c>
      <c r="M34" s="46"/>
      <c r="N34"/>
    </row>
    <row r="35" spans="1:14" x14ac:dyDescent="0.3">
      <c r="A35" s="21">
        <f>DATE(INT(LEFT($B$3,4)),7,1)</f>
        <v>45839</v>
      </c>
      <c r="B35" s="478"/>
      <c r="C35" s="478"/>
      <c r="D35" s="477"/>
      <c r="E35" s="477"/>
      <c r="F35" s="478"/>
      <c r="G35" s="478">
        <f t="shared" si="1"/>
        <v>0</v>
      </c>
      <c r="I35" s="447">
        <f t="shared" si="2"/>
        <v>0</v>
      </c>
      <c r="M35" s="46"/>
      <c r="N35"/>
    </row>
    <row r="36" spans="1:14" x14ac:dyDescent="0.3">
      <c r="A36" s="21">
        <f>DATE(INT(LEFT($B$3,4)),8,1)</f>
        <v>45870</v>
      </c>
      <c r="B36" s="478"/>
      <c r="C36" s="478"/>
      <c r="D36" s="478"/>
      <c r="E36" s="477"/>
      <c r="F36" s="478"/>
      <c r="G36" s="478">
        <f t="shared" si="1"/>
        <v>0</v>
      </c>
      <c r="I36" s="447">
        <f t="shared" si="2"/>
        <v>0</v>
      </c>
      <c r="M36" s="46"/>
      <c r="N36"/>
    </row>
    <row r="37" spans="1:14" x14ac:dyDescent="0.3">
      <c r="A37" s="21">
        <f>DATE(INT(LEFT($B$3,4)),9,1)</f>
        <v>45901</v>
      </c>
      <c r="B37" s="478"/>
      <c r="C37" s="478"/>
      <c r="D37" s="478"/>
      <c r="E37" s="477"/>
      <c r="F37" s="478"/>
      <c r="G37" s="478">
        <f t="shared" si="1"/>
        <v>0</v>
      </c>
      <c r="I37" s="447">
        <f t="shared" si="2"/>
        <v>0</v>
      </c>
      <c r="M37" s="46"/>
      <c r="N37"/>
    </row>
    <row r="38" spans="1:14" x14ac:dyDescent="0.3">
      <c r="A38" s="21">
        <f>DATE(INT(LEFT($B$3,4)),10,1)</f>
        <v>45931</v>
      </c>
      <c r="B38" s="478"/>
      <c r="C38" s="478"/>
      <c r="D38" s="478"/>
      <c r="E38" s="477"/>
      <c r="F38" s="478"/>
      <c r="G38" s="478">
        <f t="shared" si="1"/>
        <v>0</v>
      </c>
      <c r="I38" s="447">
        <f t="shared" si="2"/>
        <v>0</v>
      </c>
      <c r="M38" s="46"/>
      <c r="N38"/>
    </row>
    <row r="39" spans="1:14" x14ac:dyDescent="0.3">
      <c r="A39" s="21">
        <f>DATE(INT(LEFT($B$3,4)),11,1)</f>
        <v>45962</v>
      </c>
      <c r="B39" s="478"/>
      <c r="C39" s="478"/>
      <c r="D39" s="477"/>
      <c r="E39" s="477"/>
      <c r="F39" s="478"/>
      <c r="G39" s="478">
        <f t="shared" si="1"/>
        <v>0</v>
      </c>
      <c r="I39" s="447">
        <f t="shared" si="2"/>
        <v>0</v>
      </c>
      <c r="M39" s="46"/>
      <c r="N39"/>
    </row>
    <row r="40" spans="1:14" x14ac:dyDescent="0.3">
      <c r="A40" s="21">
        <f>DATE(INT(LEFT($B$3,4)),12,1)</f>
        <v>45992</v>
      </c>
      <c r="B40" s="478"/>
      <c r="C40" s="478"/>
      <c r="D40" s="478"/>
      <c r="E40" s="477"/>
      <c r="F40" s="478"/>
      <c r="G40" s="478">
        <f t="shared" si="1"/>
        <v>0</v>
      </c>
      <c r="I40" s="447">
        <f t="shared" si="2"/>
        <v>0</v>
      </c>
      <c r="M40" s="46"/>
      <c r="N40"/>
    </row>
    <row r="41" spans="1:14" x14ac:dyDescent="0.3">
      <c r="A41" s="21">
        <f>DATE(INT(LEFT($B$3,4))+1,1,1)</f>
        <v>46023</v>
      </c>
      <c r="B41" s="478"/>
      <c r="C41" s="478"/>
      <c r="D41" s="477"/>
      <c r="E41" s="477"/>
      <c r="F41" s="478"/>
      <c r="G41" s="478">
        <f t="shared" si="1"/>
        <v>0</v>
      </c>
      <c r="I41" s="447">
        <f t="shared" si="2"/>
        <v>0</v>
      </c>
      <c r="M41" s="46"/>
      <c r="N41"/>
    </row>
    <row r="42" spans="1:14" x14ac:dyDescent="0.3">
      <c r="A42" s="21">
        <f>DATE(INT(LEFT($B$3,4))+1,2,1)</f>
        <v>46054</v>
      </c>
      <c r="B42" s="51"/>
      <c r="C42" s="51"/>
      <c r="D42" s="51"/>
      <c r="E42" s="277"/>
      <c r="F42" s="51"/>
      <c r="G42" s="51">
        <f t="shared" si="1"/>
        <v>0</v>
      </c>
      <c r="I42" s="447">
        <f t="shared" si="2"/>
        <v>0</v>
      </c>
    </row>
    <row r="43" spans="1:14" x14ac:dyDescent="0.3">
      <c r="A43" s="21">
        <f>DATE(INT(LEFT($B$3,4))+1,3,1)</f>
        <v>46082</v>
      </c>
      <c r="B43" s="478"/>
      <c r="C43" s="478"/>
      <c r="D43" s="477"/>
      <c r="E43" s="477"/>
      <c r="F43" s="51"/>
      <c r="G43" s="51">
        <f t="shared" si="1"/>
        <v>0</v>
      </c>
      <c r="I43" s="447">
        <f t="shared" si="2"/>
        <v>0</v>
      </c>
    </row>
    <row r="44" spans="1:14" ht="15" thickBot="1" x14ac:dyDescent="0.35">
      <c r="A44" s="30"/>
      <c r="B44" s="55"/>
      <c r="C44" s="55"/>
      <c r="D44" s="55"/>
      <c r="E44" s="55"/>
      <c r="F44" s="55"/>
      <c r="G44" s="55"/>
    </row>
    <row r="45" spans="1:14" ht="16.2" thickTop="1" x14ac:dyDescent="0.3">
      <c r="A45" s="32" t="s">
        <v>92</v>
      </c>
      <c r="B45" s="318">
        <f>SUM(B32:B43)</f>
        <v>0</v>
      </c>
      <c r="C45" s="318">
        <f t="shared" ref="C45:G45" si="3">SUM(C32:C43)</f>
        <v>0</v>
      </c>
      <c r="D45" s="318">
        <f t="shared" si="3"/>
        <v>0</v>
      </c>
      <c r="E45" s="318">
        <f t="shared" si="3"/>
        <v>0</v>
      </c>
      <c r="F45" s="318">
        <f t="shared" si="3"/>
        <v>0</v>
      </c>
      <c r="G45" s="318">
        <f t="shared" si="3"/>
        <v>0</v>
      </c>
    </row>
    <row r="46" spans="1:14" x14ac:dyDescent="0.3">
      <c r="A46" s="34"/>
      <c r="B46" s="35"/>
      <c r="C46" s="35"/>
      <c r="D46" s="35"/>
      <c r="E46" s="35"/>
      <c r="F46" s="35"/>
      <c r="G46" s="35"/>
    </row>
    <row r="47" spans="1:14" ht="28.8" x14ac:dyDescent="0.3">
      <c r="A47" s="43" t="str">
        <f>LEFT($B$3,4)&amp;"-"&amp;RIGHT(INT(LEFT($B$3,4)+1),2)&amp;" Supplies declared in next year"</f>
        <v>2025-26 Supplies declared in next year</v>
      </c>
      <c r="B47" s="36"/>
      <c r="C47" s="36"/>
      <c r="D47" s="36"/>
      <c r="E47" s="36"/>
      <c r="F47" s="36"/>
      <c r="G47" s="36"/>
    </row>
    <row r="48" spans="1:14" x14ac:dyDescent="0.3">
      <c r="A48" s="21">
        <f>DATE(INT(LEFT($B$3,4))+1,4,1)</f>
        <v>46113</v>
      </c>
      <c r="B48" s="51">
        <v>0</v>
      </c>
      <c r="C48" s="51">
        <v>0</v>
      </c>
      <c r="D48" s="51">
        <v>0</v>
      </c>
      <c r="E48" s="51">
        <v>0</v>
      </c>
      <c r="F48" s="51">
        <v>0</v>
      </c>
      <c r="G48" s="52">
        <f t="shared" si="1"/>
        <v>0</v>
      </c>
    </row>
    <row r="49" spans="1:7" x14ac:dyDescent="0.3">
      <c r="A49" s="21">
        <f>DATE(INT(LEFT($B$3,4))+1,5,1)</f>
        <v>46143</v>
      </c>
      <c r="B49" s="51">
        <v>0</v>
      </c>
      <c r="C49" s="51">
        <v>0</v>
      </c>
      <c r="D49" s="51">
        <v>0</v>
      </c>
      <c r="E49" s="51">
        <v>0</v>
      </c>
      <c r="F49" s="51">
        <v>0</v>
      </c>
      <c r="G49" s="52">
        <f t="shared" si="1"/>
        <v>0</v>
      </c>
    </row>
    <row r="50" spans="1:7" x14ac:dyDescent="0.3">
      <c r="A50" s="21">
        <f>DATE(INT(LEFT($B$3,4))+1,6,1)</f>
        <v>46174</v>
      </c>
      <c r="B50" s="51">
        <v>0</v>
      </c>
      <c r="C50" s="51">
        <v>0</v>
      </c>
      <c r="D50" s="51">
        <v>0</v>
      </c>
      <c r="E50" s="51">
        <v>0</v>
      </c>
      <c r="F50" s="51">
        <v>0</v>
      </c>
      <c r="G50" s="52">
        <f t="shared" si="1"/>
        <v>0</v>
      </c>
    </row>
    <row r="51" spans="1:7" x14ac:dyDescent="0.3">
      <c r="A51" s="21">
        <f>DATE(INT(LEFT($B$3,4))+1,7,1)</f>
        <v>46204</v>
      </c>
      <c r="B51" s="51">
        <v>0</v>
      </c>
      <c r="C51" s="51">
        <v>0</v>
      </c>
      <c r="D51" s="51">
        <v>0</v>
      </c>
      <c r="E51" s="51">
        <v>0</v>
      </c>
      <c r="F51" s="51">
        <v>0</v>
      </c>
      <c r="G51" s="52">
        <f t="shared" si="1"/>
        <v>0</v>
      </c>
    </row>
    <row r="52" spans="1:7" x14ac:dyDescent="0.3">
      <c r="A52" s="21">
        <f>DATE(INT(LEFT($B$3,4))+1,8,1)</f>
        <v>46235</v>
      </c>
      <c r="B52" s="51">
        <v>0</v>
      </c>
      <c r="C52" s="51">
        <v>0</v>
      </c>
      <c r="D52" s="51">
        <v>0</v>
      </c>
      <c r="E52" s="51">
        <v>0</v>
      </c>
      <c r="F52" s="51">
        <v>0</v>
      </c>
      <c r="G52" s="52">
        <f t="shared" si="1"/>
        <v>0</v>
      </c>
    </row>
    <row r="53" spans="1:7" x14ac:dyDescent="0.3">
      <c r="A53" s="21">
        <f>DATE(INT(LEFT($B$3,4))+1,9,1)</f>
        <v>46266</v>
      </c>
      <c r="B53" s="51">
        <v>0</v>
      </c>
      <c r="C53" s="51">
        <v>0</v>
      </c>
      <c r="D53" s="51">
        <v>0</v>
      </c>
      <c r="E53" s="51">
        <v>0</v>
      </c>
      <c r="F53" s="51">
        <v>0</v>
      </c>
      <c r="G53" s="52">
        <f t="shared" si="1"/>
        <v>0</v>
      </c>
    </row>
    <row r="54" spans="1:7" ht="15" thickBot="1" x14ac:dyDescent="0.35">
      <c r="A54" s="30"/>
      <c r="B54" s="55"/>
      <c r="C54" s="55"/>
      <c r="D54" s="55"/>
      <c r="E54" s="55"/>
      <c r="F54" s="55"/>
      <c r="G54" s="55"/>
    </row>
    <row r="55" spans="1:7" ht="16.2" thickTop="1" x14ac:dyDescent="0.3">
      <c r="A55" s="32" t="s">
        <v>92</v>
      </c>
      <c r="B55" s="318">
        <f t="shared" ref="B55:G55" si="4">SUM(B48:B53)</f>
        <v>0</v>
      </c>
      <c r="C55" s="318">
        <f t="shared" si="4"/>
        <v>0</v>
      </c>
      <c r="D55" s="318">
        <f t="shared" si="4"/>
        <v>0</v>
      </c>
      <c r="E55" s="318">
        <f t="shared" si="4"/>
        <v>0</v>
      </c>
      <c r="F55" s="318">
        <f t="shared" si="4"/>
        <v>0</v>
      </c>
      <c r="G55" s="318">
        <f t="shared" si="4"/>
        <v>0</v>
      </c>
    </row>
    <row r="56" spans="1:7" x14ac:dyDescent="0.3">
      <c r="A56" s="37"/>
      <c r="B56" s="56"/>
      <c r="C56" s="56"/>
      <c r="D56" s="56"/>
      <c r="E56" s="56"/>
      <c r="F56" s="56"/>
      <c r="G56" s="56"/>
    </row>
    <row r="57" spans="1:7" ht="17.399999999999999" x14ac:dyDescent="0.3">
      <c r="A57" s="39" t="s">
        <v>91</v>
      </c>
      <c r="B57" s="319">
        <f t="shared" ref="B57:G57" si="5">B55+B45</f>
        <v>0</v>
      </c>
      <c r="C57" s="319">
        <f t="shared" si="5"/>
        <v>0</v>
      </c>
      <c r="D57" s="319">
        <f t="shared" si="5"/>
        <v>0</v>
      </c>
      <c r="E57" s="319">
        <f t="shared" si="5"/>
        <v>0</v>
      </c>
      <c r="F57" s="319">
        <f t="shared" si="5"/>
        <v>0</v>
      </c>
      <c r="G57" s="319">
        <f t="shared" si="5"/>
        <v>0</v>
      </c>
    </row>
    <row r="61" spans="1:7" ht="18" x14ac:dyDescent="0.35">
      <c r="A61" s="14" t="s">
        <v>124</v>
      </c>
    </row>
    <row r="63" spans="1:7" ht="18" customHeight="1" x14ac:dyDescent="0.3">
      <c r="A63" s="438" t="s">
        <v>81</v>
      </c>
      <c r="B63" s="16"/>
      <c r="C63" s="16"/>
      <c r="D63" s="16"/>
      <c r="E63" s="16"/>
      <c r="F63" s="16"/>
      <c r="G63" s="41"/>
    </row>
    <row r="64" spans="1:7" ht="24.9" customHeight="1" x14ac:dyDescent="0.3">
      <c r="A64" s="367" t="s">
        <v>82</v>
      </c>
      <c r="B64" s="322" t="s">
        <v>96</v>
      </c>
      <c r="C64" s="322" t="s">
        <v>101</v>
      </c>
      <c r="D64" s="322" t="s">
        <v>105</v>
      </c>
      <c r="E64" s="322" t="s">
        <v>106</v>
      </c>
      <c r="F64" s="322" t="s">
        <v>90</v>
      </c>
      <c r="G64" s="359" t="s">
        <v>91</v>
      </c>
    </row>
    <row r="65" spans="1:9" x14ac:dyDescent="0.3">
      <c r="A65" s="21">
        <f>DATE(INT(LEFT($B$3,4)),4,1)</f>
        <v>45748</v>
      </c>
      <c r="B65" s="277"/>
      <c r="C65" s="277"/>
      <c r="D65" s="277"/>
      <c r="E65" s="277"/>
      <c r="F65" s="277"/>
      <c r="G65" s="277">
        <f t="shared" ref="G65:G76" si="6">SUM(B65:F65)</f>
        <v>0</v>
      </c>
      <c r="I65" s="447">
        <f t="shared" ref="I65:I76" si="7">G65-H65</f>
        <v>0</v>
      </c>
    </row>
    <row r="66" spans="1:9" x14ac:dyDescent="0.3">
      <c r="A66" s="21">
        <f>DATE(INT(LEFT($B$3,4)),5,1)</f>
        <v>45778</v>
      </c>
      <c r="B66" s="277"/>
      <c r="C66" s="277"/>
      <c r="D66" s="277"/>
      <c r="E66" s="277"/>
      <c r="F66" s="277"/>
      <c r="G66" s="277">
        <f t="shared" si="6"/>
        <v>0</v>
      </c>
      <c r="I66" s="447">
        <f t="shared" si="7"/>
        <v>0</v>
      </c>
    </row>
    <row r="67" spans="1:9" x14ac:dyDescent="0.3">
      <c r="A67" s="21">
        <f>DATE(INT(LEFT($B$3,4)),6,1)</f>
        <v>45809</v>
      </c>
      <c r="B67" s="277"/>
      <c r="C67" s="277"/>
      <c r="D67" s="277"/>
      <c r="E67" s="277"/>
      <c r="F67" s="277"/>
      <c r="G67" s="277">
        <f t="shared" si="6"/>
        <v>0</v>
      </c>
      <c r="I67" s="447">
        <f t="shared" si="7"/>
        <v>0</v>
      </c>
    </row>
    <row r="68" spans="1:9" x14ac:dyDescent="0.3">
      <c r="A68" s="21">
        <f>DATE(INT(LEFT($B$3,4)),7,1)</f>
        <v>45839</v>
      </c>
      <c r="B68" s="51"/>
      <c r="C68" s="51"/>
      <c r="D68" s="51"/>
      <c r="E68" s="277"/>
      <c r="F68" s="51"/>
      <c r="G68" s="51">
        <f t="shared" si="6"/>
        <v>0</v>
      </c>
      <c r="I68" s="447">
        <f t="shared" si="7"/>
        <v>0</v>
      </c>
    </row>
    <row r="69" spans="1:9" x14ac:dyDescent="0.3">
      <c r="A69" s="21">
        <f>DATE(INT(LEFT($B$3,4)),8,1)</f>
        <v>45870</v>
      </c>
      <c r="B69" s="51"/>
      <c r="C69" s="51"/>
      <c r="D69" s="51"/>
      <c r="E69" s="277"/>
      <c r="F69" s="51"/>
      <c r="G69" s="51">
        <f t="shared" si="6"/>
        <v>0</v>
      </c>
      <c r="I69" s="447">
        <f t="shared" si="7"/>
        <v>0</v>
      </c>
    </row>
    <row r="70" spans="1:9" x14ac:dyDescent="0.3">
      <c r="A70" s="21">
        <f>DATE(INT(LEFT($B$3,4)),9,1)</f>
        <v>45901</v>
      </c>
      <c r="B70" s="51"/>
      <c r="C70" s="51"/>
      <c r="D70" s="51"/>
      <c r="E70" s="277"/>
      <c r="F70" s="51"/>
      <c r="G70" s="51">
        <f t="shared" si="6"/>
        <v>0</v>
      </c>
      <c r="I70" s="447">
        <f t="shared" si="7"/>
        <v>0</v>
      </c>
    </row>
    <row r="71" spans="1:9" x14ac:dyDescent="0.3">
      <c r="A71" s="21">
        <f>DATE(INT(LEFT($B$3,4)),10,1)</f>
        <v>45931</v>
      </c>
      <c r="B71" s="51"/>
      <c r="C71" s="51"/>
      <c r="D71" s="51"/>
      <c r="E71" s="277"/>
      <c r="F71" s="51"/>
      <c r="G71" s="51">
        <f t="shared" si="6"/>
        <v>0</v>
      </c>
      <c r="I71" s="447">
        <f t="shared" si="7"/>
        <v>0</v>
      </c>
    </row>
    <row r="72" spans="1:9" x14ac:dyDescent="0.3">
      <c r="A72" s="21">
        <f>DATE(INT(LEFT($B$3,4)),11,1)</f>
        <v>45962</v>
      </c>
      <c r="B72" s="51"/>
      <c r="C72" s="51"/>
      <c r="D72" s="51"/>
      <c r="E72" s="277"/>
      <c r="F72" s="51"/>
      <c r="G72" s="51">
        <f t="shared" si="6"/>
        <v>0</v>
      </c>
      <c r="I72" s="447">
        <f t="shared" si="7"/>
        <v>0</v>
      </c>
    </row>
    <row r="73" spans="1:9" x14ac:dyDescent="0.3">
      <c r="A73" s="21">
        <f>DATE(INT(LEFT($B$3,4)),12,1)</f>
        <v>45992</v>
      </c>
      <c r="B73" s="51"/>
      <c r="C73" s="51"/>
      <c r="D73" s="51"/>
      <c r="E73" s="277"/>
      <c r="F73" s="51"/>
      <c r="G73" s="51">
        <f t="shared" si="6"/>
        <v>0</v>
      </c>
      <c r="I73" s="447">
        <f t="shared" si="7"/>
        <v>0</v>
      </c>
    </row>
    <row r="74" spans="1:9" x14ac:dyDescent="0.3">
      <c r="A74" s="21">
        <f>DATE(INT(LEFT($B$3,4))+1,1,1)</f>
        <v>46023</v>
      </c>
      <c r="B74" s="51"/>
      <c r="C74" s="51"/>
      <c r="D74" s="51"/>
      <c r="E74" s="277"/>
      <c r="F74" s="51"/>
      <c r="G74" s="51">
        <f t="shared" si="6"/>
        <v>0</v>
      </c>
      <c r="I74" s="447">
        <f t="shared" si="7"/>
        <v>0</v>
      </c>
    </row>
    <row r="75" spans="1:9" x14ac:dyDescent="0.3">
      <c r="A75" s="21">
        <f>DATE(INT(LEFT($B$3,4))+1,2,1)</f>
        <v>46054</v>
      </c>
      <c r="B75" s="51"/>
      <c r="C75" s="51"/>
      <c r="D75" s="51"/>
      <c r="E75" s="277"/>
      <c r="F75" s="51"/>
      <c r="G75" s="51">
        <f t="shared" si="6"/>
        <v>0</v>
      </c>
      <c r="I75" s="447">
        <f t="shared" si="7"/>
        <v>0</v>
      </c>
    </row>
    <row r="76" spans="1:9" x14ac:dyDescent="0.3">
      <c r="A76" s="21">
        <f>DATE(INT(LEFT($B$3,4))+1,3,1)</f>
        <v>46082</v>
      </c>
      <c r="B76" s="51"/>
      <c r="C76" s="51"/>
      <c r="D76" s="51"/>
      <c r="E76" s="277"/>
      <c r="F76" s="51"/>
      <c r="G76" s="51">
        <f t="shared" si="6"/>
        <v>0</v>
      </c>
      <c r="I76" s="447">
        <f t="shared" si="7"/>
        <v>0</v>
      </c>
    </row>
    <row r="77" spans="1:9" ht="15" thickBot="1" x14ac:dyDescent="0.35">
      <c r="A77" s="30"/>
      <c r="B77" s="55"/>
      <c r="C77" s="55"/>
      <c r="D77" s="55"/>
      <c r="E77" s="55"/>
      <c r="F77" s="55"/>
      <c r="G77" s="55"/>
    </row>
    <row r="78" spans="1:9" ht="16.2" thickTop="1" x14ac:dyDescent="0.3">
      <c r="A78" s="32" t="s">
        <v>92</v>
      </c>
      <c r="B78" s="318">
        <f t="shared" ref="B78:G78" si="8">SUM(B65:B76)</f>
        <v>0</v>
      </c>
      <c r="C78" s="318">
        <f t="shared" si="8"/>
        <v>0</v>
      </c>
      <c r="D78" s="318">
        <f t="shared" si="8"/>
        <v>0</v>
      </c>
      <c r="E78" s="318">
        <f t="shared" si="8"/>
        <v>0</v>
      </c>
      <c r="F78" s="318">
        <f t="shared" si="8"/>
        <v>0</v>
      </c>
      <c r="G78" s="318">
        <f t="shared" si="8"/>
        <v>0</v>
      </c>
    </row>
    <row r="79" spans="1:9" x14ac:dyDescent="0.3">
      <c r="A79" s="34"/>
      <c r="B79" s="35"/>
      <c r="C79" s="35"/>
      <c r="D79" s="35"/>
      <c r="E79" s="35"/>
      <c r="F79" s="35"/>
      <c r="G79" s="35"/>
    </row>
    <row r="80" spans="1:9" ht="28.8" x14ac:dyDescent="0.3">
      <c r="A80" s="43" t="str">
        <f>LEFT($B$3,4)&amp;"-"&amp;RIGHT(INT(LEFT($B$3,4)+1),2)&amp;" Supplies declared in next year"</f>
        <v>2025-26 Supplies declared in next year</v>
      </c>
      <c r="B80" s="36"/>
      <c r="C80" s="36"/>
      <c r="D80" s="36"/>
      <c r="E80" s="36"/>
      <c r="F80" s="36"/>
      <c r="G80" s="36"/>
    </row>
    <row r="81" spans="1:7" x14ac:dyDescent="0.3">
      <c r="A81" s="21">
        <f>DATE(INT(LEFT($B$3,4))+1,4,1)</f>
        <v>46113</v>
      </c>
      <c r="B81" s="51">
        <v>0</v>
      </c>
      <c r="C81" s="51">
        <v>0</v>
      </c>
      <c r="D81" s="51">
        <v>0</v>
      </c>
      <c r="E81" s="51">
        <v>0</v>
      </c>
      <c r="F81" s="51">
        <v>0</v>
      </c>
      <c r="G81" s="52">
        <f t="shared" ref="G81:G86" si="9">SUM(B81:F81)</f>
        <v>0</v>
      </c>
    </row>
    <row r="82" spans="1:7" x14ac:dyDescent="0.3">
      <c r="A82" s="21">
        <f>DATE(INT(LEFT($B$3,4))+1,5,1)</f>
        <v>46143</v>
      </c>
      <c r="B82" s="51">
        <v>0</v>
      </c>
      <c r="C82" s="51">
        <v>0</v>
      </c>
      <c r="D82" s="51">
        <v>0</v>
      </c>
      <c r="E82" s="51">
        <v>0</v>
      </c>
      <c r="F82" s="51">
        <v>0</v>
      </c>
      <c r="G82" s="52">
        <f t="shared" si="9"/>
        <v>0</v>
      </c>
    </row>
    <row r="83" spans="1:7" x14ac:dyDescent="0.3">
      <c r="A83" s="21">
        <f>DATE(INT(LEFT($B$3,4))+1,6,1)</f>
        <v>46174</v>
      </c>
      <c r="B83" s="51">
        <v>0</v>
      </c>
      <c r="C83" s="51">
        <v>0</v>
      </c>
      <c r="D83" s="51">
        <v>0</v>
      </c>
      <c r="E83" s="51">
        <v>0</v>
      </c>
      <c r="F83" s="51">
        <v>0</v>
      </c>
      <c r="G83" s="52">
        <f t="shared" si="9"/>
        <v>0</v>
      </c>
    </row>
    <row r="84" spans="1:7" x14ac:dyDescent="0.3">
      <c r="A84" s="21">
        <f>DATE(INT(LEFT($B$3,4))+1,7,1)</f>
        <v>46204</v>
      </c>
      <c r="B84" s="51">
        <v>0</v>
      </c>
      <c r="C84" s="51">
        <v>0</v>
      </c>
      <c r="D84" s="51">
        <v>0</v>
      </c>
      <c r="E84" s="51">
        <v>0</v>
      </c>
      <c r="F84" s="51">
        <v>0</v>
      </c>
      <c r="G84" s="52">
        <f t="shared" si="9"/>
        <v>0</v>
      </c>
    </row>
    <row r="85" spans="1:7" x14ac:dyDescent="0.3">
      <c r="A85" s="21">
        <f>DATE(INT(LEFT($B$3,4))+1,8,1)</f>
        <v>46235</v>
      </c>
      <c r="B85" s="51">
        <v>0</v>
      </c>
      <c r="C85" s="51">
        <v>0</v>
      </c>
      <c r="D85" s="51">
        <v>0</v>
      </c>
      <c r="E85" s="51">
        <v>0</v>
      </c>
      <c r="F85" s="51">
        <v>0</v>
      </c>
      <c r="G85" s="52">
        <f t="shared" si="9"/>
        <v>0</v>
      </c>
    </row>
    <row r="86" spans="1:7" x14ac:dyDescent="0.3">
      <c r="A86" s="21">
        <f>DATE(INT(LEFT($B$3,4))+1,9,1)</f>
        <v>46266</v>
      </c>
      <c r="B86" s="51">
        <v>0</v>
      </c>
      <c r="C86" s="51">
        <v>0</v>
      </c>
      <c r="D86" s="51">
        <v>0</v>
      </c>
      <c r="E86" s="51">
        <v>0</v>
      </c>
      <c r="F86" s="51">
        <v>0</v>
      </c>
      <c r="G86" s="52">
        <f t="shared" si="9"/>
        <v>0</v>
      </c>
    </row>
    <row r="87" spans="1:7" ht="15" thickBot="1" x14ac:dyDescent="0.35">
      <c r="A87" s="30"/>
      <c r="B87" s="55"/>
      <c r="C87" s="55"/>
      <c r="D87" s="55"/>
      <c r="E87" s="55"/>
      <c r="F87" s="55"/>
      <c r="G87" s="55"/>
    </row>
    <row r="88" spans="1:7" ht="16.2" thickTop="1" x14ac:dyDescent="0.3">
      <c r="A88" s="32" t="s">
        <v>92</v>
      </c>
      <c r="B88" s="318">
        <f t="shared" ref="B88:G88" si="10">SUM(B81:B86)</f>
        <v>0</v>
      </c>
      <c r="C88" s="318">
        <f t="shared" si="10"/>
        <v>0</v>
      </c>
      <c r="D88" s="318">
        <f t="shared" si="10"/>
        <v>0</v>
      </c>
      <c r="E88" s="318">
        <f t="shared" si="10"/>
        <v>0</v>
      </c>
      <c r="F88" s="318">
        <f t="shared" si="10"/>
        <v>0</v>
      </c>
      <c r="G88" s="318">
        <f t="shared" si="10"/>
        <v>0</v>
      </c>
    </row>
    <row r="89" spans="1:7" x14ac:dyDescent="0.3">
      <c r="A89" s="37"/>
      <c r="B89" s="56"/>
      <c r="C89" s="56"/>
      <c r="D89" s="56"/>
      <c r="E89" s="56"/>
      <c r="F89" s="56"/>
      <c r="G89" s="56"/>
    </row>
    <row r="90" spans="1:7" ht="17.399999999999999" x14ac:dyDescent="0.3">
      <c r="A90" s="39" t="s">
        <v>91</v>
      </c>
      <c r="B90" s="319">
        <f t="shared" ref="B90:G90" si="11">B88+B78</f>
        <v>0</v>
      </c>
      <c r="C90" s="319">
        <f t="shared" si="11"/>
        <v>0</v>
      </c>
      <c r="D90" s="319">
        <f t="shared" si="11"/>
        <v>0</v>
      </c>
      <c r="E90" s="319">
        <f t="shared" si="11"/>
        <v>0</v>
      </c>
      <c r="F90" s="319">
        <f t="shared" si="11"/>
        <v>0</v>
      </c>
      <c r="G90" s="319">
        <f t="shared" si="11"/>
        <v>0</v>
      </c>
    </row>
    <row r="94" spans="1:7" ht="18" x14ac:dyDescent="0.35">
      <c r="A94" s="14" t="s">
        <v>125</v>
      </c>
    </row>
    <row r="96" spans="1:7" ht="18" customHeight="1" x14ac:dyDescent="0.3">
      <c r="A96" s="438" t="s">
        <v>81</v>
      </c>
      <c r="B96" s="16"/>
      <c r="C96" s="16"/>
      <c r="D96" s="16"/>
      <c r="E96" s="16"/>
      <c r="F96" s="16"/>
      <c r="G96" s="41"/>
    </row>
    <row r="97" spans="1:7" ht="24.9" customHeight="1" x14ac:dyDescent="0.3">
      <c r="A97" s="367" t="s">
        <v>82</v>
      </c>
      <c r="B97" s="322" t="s">
        <v>96</v>
      </c>
      <c r="C97" s="322" t="s">
        <v>101</v>
      </c>
      <c r="D97" s="322" t="s">
        <v>105</v>
      </c>
      <c r="E97" s="322" t="s">
        <v>106</v>
      </c>
      <c r="F97" s="322" t="s">
        <v>90</v>
      </c>
      <c r="G97" s="359" t="s">
        <v>91</v>
      </c>
    </row>
    <row r="98" spans="1:7" x14ac:dyDescent="0.3">
      <c r="A98" s="21">
        <f>DATE(INT(LEFT($B$3,4)),4,1)</f>
        <v>45748</v>
      </c>
      <c r="B98" s="277">
        <v>0</v>
      </c>
      <c r="C98" s="277">
        <v>0</v>
      </c>
      <c r="D98" s="277">
        <v>0</v>
      </c>
      <c r="E98" s="277">
        <v>0</v>
      </c>
      <c r="F98" s="277">
        <v>0</v>
      </c>
      <c r="G98" s="277">
        <f t="shared" ref="G98:G109" si="12">SUM(B98:F98)</f>
        <v>0</v>
      </c>
    </row>
    <row r="99" spans="1:7" x14ac:dyDescent="0.3">
      <c r="A99" s="21">
        <f>DATE(INT(LEFT($B$3,4)),5,1)</f>
        <v>45778</v>
      </c>
      <c r="B99" s="277">
        <v>0</v>
      </c>
      <c r="C99" s="277">
        <v>0</v>
      </c>
      <c r="D99" s="277">
        <v>0</v>
      </c>
      <c r="E99" s="277">
        <v>0</v>
      </c>
      <c r="F99" s="277">
        <v>0</v>
      </c>
      <c r="G99" s="277">
        <f t="shared" si="12"/>
        <v>0</v>
      </c>
    </row>
    <row r="100" spans="1:7" x14ac:dyDescent="0.3">
      <c r="A100" s="21">
        <f>DATE(INT(LEFT($B$3,4)),6,1)</f>
        <v>45809</v>
      </c>
      <c r="B100" s="277">
        <v>0</v>
      </c>
      <c r="C100" s="277">
        <v>0</v>
      </c>
      <c r="D100" s="277">
        <v>0</v>
      </c>
      <c r="E100" s="277">
        <v>0</v>
      </c>
      <c r="F100" s="277">
        <v>0</v>
      </c>
      <c r="G100" s="277">
        <f t="shared" si="12"/>
        <v>0</v>
      </c>
    </row>
    <row r="101" spans="1:7" x14ac:dyDescent="0.3">
      <c r="A101" s="21">
        <f>DATE(INT(LEFT($B$3,4)),7,1)</f>
        <v>45839</v>
      </c>
      <c r="B101" s="277">
        <v>0</v>
      </c>
      <c r="C101" s="277">
        <v>0</v>
      </c>
      <c r="D101" s="277">
        <v>0</v>
      </c>
      <c r="E101" s="277">
        <v>0</v>
      </c>
      <c r="F101" s="277">
        <v>0</v>
      </c>
      <c r="G101" s="277">
        <f t="shared" si="12"/>
        <v>0</v>
      </c>
    </row>
    <row r="102" spans="1:7" x14ac:dyDescent="0.3">
      <c r="A102" s="21">
        <f>DATE(INT(LEFT($B$3,4)),8,1)</f>
        <v>45870</v>
      </c>
      <c r="B102" s="277">
        <v>0</v>
      </c>
      <c r="C102" s="277">
        <v>0</v>
      </c>
      <c r="D102" s="277">
        <v>0</v>
      </c>
      <c r="E102" s="277">
        <v>0</v>
      </c>
      <c r="F102" s="277">
        <v>0</v>
      </c>
      <c r="G102" s="277">
        <f t="shared" si="12"/>
        <v>0</v>
      </c>
    </row>
    <row r="103" spans="1:7" x14ac:dyDescent="0.3">
      <c r="A103" s="21">
        <f>DATE(INT(LEFT($B$3,4)),9,1)</f>
        <v>45901</v>
      </c>
      <c r="B103" s="277">
        <v>0</v>
      </c>
      <c r="C103" s="277">
        <v>0</v>
      </c>
      <c r="D103" s="277">
        <v>0</v>
      </c>
      <c r="E103" s="277">
        <v>0</v>
      </c>
      <c r="F103" s="277">
        <v>0</v>
      </c>
      <c r="G103" s="277">
        <f t="shared" si="12"/>
        <v>0</v>
      </c>
    </row>
    <row r="104" spans="1:7" x14ac:dyDescent="0.3">
      <c r="A104" s="21">
        <f>DATE(INT(LEFT($B$3,4)),10,1)</f>
        <v>45931</v>
      </c>
      <c r="B104" s="277">
        <v>0</v>
      </c>
      <c r="C104" s="277">
        <v>0</v>
      </c>
      <c r="D104" s="277">
        <v>0</v>
      </c>
      <c r="E104" s="277">
        <v>0</v>
      </c>
      <c r="F104" s="277">
        <v>0</v>
      </c>
      <c r="G104" s="277">
        <f t="shared" si="12"/>
        <v>0</v>
      </c>
    </row>
    <row r="105" spans="1:7" x14ac:dyDescent="0.3">
      <c r="A105" s="21">
        <f>DATE(INT(LEFT($B$3,4)),11,1)</f>
        <v>45962</v>
      </c>
      <c r="B105" s="277">
        <v>0</v>
      </c>
      <c r="C105" s="277">
        <v>0</v>
      </c>
      <c r="D105" s="277">
        <v>0</v>
      </c>
      <c r="E105" s="277">
        <v>0</v>
      </c>
      <c r="F105" s="277">
        <v>0</v>
      </c>
      <c r="G105" s="277">
        <f t="shared" si="12"/>
        <v>0</v>
      </c>
    </row>
    <row r="106" spans="1:7" x14ac:dyDescent="0.3">
      <c r="A106" s="21">
        <f>DATE(INT(LEFT($B$3,4)),12,1)</f>
        <v>45992</v>
      </c>
      <c r="B106" s="277">
        <v>0</v>
      </c>
      <c r="C106" s="277">
        <v>0</v>
      </c>
      <c r="D106" s="277">
        <v>0</v>
      </c>
      <c r="E106" s="277">
        <v>0</v>
      </c>
      <c r="F106" s="277">
        <v>0</v>
      </c>
      <c r="G106" s="277">
        <f t="shared" si="12"/>
        <v>0</v>
      </c>
    </row>
    <row r="107" spans="1:7" x14ac:dyDescent="0.3">
      <c r="A107" s="21">
        <f>DATE(INT(LEFT($B$3,4))+1,1,1)</f>
        <v>46023</v>
      </c>
      <c r="B107" s="277">
        <v>0</v>
      </c>
      <c r="C107" s="277">
        <v>0</v>
      </c>
      <c r="D107" s="277">
        <v>0</v>
      </c>
      <c r="E107" s="277">
        <v>0</v>
      </c>
      <c r="F107" s="277">
        <v>0</v>
      </c>
      <c r="G107" s="277">
        <f t="shared" si="12"/>
        <v>0</v>
      </c>
    </row>
    <row r="108" spans="1:7" x14ac:dyDescent="0.3">
      <c r="A108" s="21">
        <f>DATE(INT(LEFT($B$3,4))+1,2,1)</f>
        <v>46054</v>
      </c>
      <c r="B108" s="277">
        <v>0</v>
      </c>
      <c r="C108" s="277">
        <v>0</v>
      </c>
      <c r="D108" s="277">
        <v>0</v>
      </c>
      <c r="E108" s="277">
        <v>0</v>
      </c>
      <c r="F108" s="277">
        <v>0</v>
      </c>
      <c r="G108" s="277">
        <f t="shared" si="12"/>
        <v>0</v>
      </c>
    </row>
    <row r="109" spans="1:7" x14ac:dyDescent="0.3">
      <c r="A109" s="21">
        <f>DATE(INT(LEFT($B$3,4))+1,3,1)</f>
        <v>46082</v>
      </c>
      <c r="B109" s="277">
        <v>0</v>
      </c>
      <c r="C109" s="277">
        <v>0</v>
      </c>
      <c r="D109" s="277">
        <v>0</v>
      </c>
      <c r="E109" s="277">
        <v>0</v>
      </c>
      <c r="F109" s="277">
        <v>0</v>
      </c>
      <c r="G109" s="277">
        <f t="shared" si="12"/>
        <v>0</v>
      </c>
    </row>
    <row r="110" spans="1:7" ht="15" thickBot="1" x14ac:dyDescent="0.35">
      <c r="A110" s="30"/>
      <c r="B110" s="55"/>
      <c r="C110" s="55"/>
      <c r="D110" s="55"/>
      <c r="E110" s="55"/>
      <c r="F110" s="55"/>
      <c r="G110" s="55"/>
    </row>
    <row r="111" spans="1:7" ht="16.2" thickTop="1" x14ac:dyDescent="0.3">
      <c r="A111" s="32" t="s">
        <v>92</v>
      </c>
      <c r="B111" s="318">
        <f t="shared" ref="B111:G111" si="13">SUM(B98:B109)</f>
        <v>0</v>
      </c>
      <c r="C111" s="318">
        <f t="shared" si="13"/>
        <v>0</v>
      </c>
      <c r="D111" s="318">
        <f t="shared" si="13"/>
        <v>0</v>
      </c>
      <c r="E111" s="318">
        <f t="shared" si="13"/>
        <v>0</v>
      </c>
      <c r="F111" s="318">
        <f t="shared" si="13"/>
        <v>0</v>
      </c>
      <c r="G111" s="318">
        <f t="shared" si="13"/>
        <v>0</v>
      </c>
    </row>
    <row r="112" spans="1:7" x14ac:dyDescent="0.3">
      <c r="A112" s="34"/>
      <c r="B112" s="35"/>
      <c r="C112" s="35"/>
      <c r="D112" s="35"/>
      <c r="E112" s="35"/>
      <c r="F112" s="35"/>
      <c r="G112" s="35"/>
    </row>
    <row r="113" spans="1:7" ht="28.8" x14ac:dyDescent="0.3">
      <c r="A113" s="43" t="str">
        <f>LEFT($B$3,4)&amp;"-"&amp;RIGHT(INT(LEFT($B$3,4)+1),2)&amp;" Supplies declared in next year"</f>
        <v>2025-26 Supplies declared in next year</v>
      </c>
      <c r="B113" s="36"/>
      <c r="C113" s="36"/>
      <c r="D113" s="36"/>
      <c r="E113" s="36"/>
      <c r="F113" s="36"/>
      <c r="G113" s="36"/>
    </row>
    <row r="114" spans="1:7" x14ac:dyDescent="0.3">
      <c r="A114" s="21">
        <f>DATE(INT(LEFT($B$3,4))+1,4,1)</f>
        <v>46113</v>
      </c>
      <c r="B114" s="51">
        <v>0</v>
      </c>
      <c r="C114" s="51">
        <v>0</v>
      </c>
      <c r="D114" s="51">
        <v>0</v>
      </c>
      <c r="E114" s="51">
        <v>0</v>
      </c>
      <c r="F114" s="51">
        <v>0</v>
      </c>
      <c r="G114" s="52">
        <f t="shared" ref="G114:G119" si="14">SUM(B114:F114)</f>
        <v>0</v>
      </c>
    </row>
    <row r="115" spans="1:7" x14ac:dyDescent="0.3">
      <c r="A115" s="21">
        <f>DATE(INT(LEFT($B$3,4))+1,5,1)</f>
        <v>46143</v>
      </c>
      <c r="B115" s="51">
        <v>0</v>
      </c>
      <c r="C115" s="51">
        <v>0</v>
      </c>
      <c r="D115" s="51">
        <v>0</v>
      </c>
      <c r="E115" s="51">
        <v>0</v>
      </c>
      <c r="F115" s="51">
        <v>0</v>
      </c>
      <c r="G115" s="52">
        <f t="shared" si="14"/>
        <v>0</v>
      </c>
    </row>
    <row r="116" spans="1:7" x14ac:dyDescent="0.3">
      <c r="A116" s="21">
        <f>DATE(INT(LEFT($B$3,4))+1,6,1)</f>
        <v>46174</v>
      </c>
      <c r="B116" s="51">
        <v>0</v>
      </c>
      <c r="C116" s="51">
        <v>0</v>
      </c>
      <c r="D116" s="51">
        <v>0</v>
      </c>
      <c r="E116" s="51">
        <v>0</v>
      </c>
      <c r="F116" s="51">
        <v>0</v>
      </c>
      <c r="G116" s="52">
        <f t="shared" si="14"/>
        <v>0</v>
      </c>
    </row>
    <row r="117" spans="1:7" x14ac:dyDescent="0.3">
      <c r="A117" s="21">
        <f>DATE(INT(LEFT($B$3,4))+1,7,1)</f>
        <v>46204</v>
      </c>
      <c r="B117" s="51">
        <v>0</v>
      </c>
      <c r="C117" s="51">
        <v>0</v>
      </c>
      <c r="D117" s="51">
        <v>0</v>
      </c>
      <c r="E117" s="51">
        <v>0</v>
      </c>
      <c r="F117" s="51">
        <v>0</v>
      </c>
      <c r="G117" s="52">
        <f t="shared" si="14"/>
        <v>0</v>
      </c>
    </row>
    <row r="118" spans="1:7" x14ac:dyDescent="0.3">
      <c r="A118" s="21">
        <f>DATE(INT(LEFT($B$3,4))+1,8,1)</f>
        <v>46235</v>
      </c>
      <c r="B118" s="51">
        <v>0</v>
      </c>
      <c r="C118" s="51">
        <v>0</v>
      </c>
      <c r="D118" s="51">
        <v>0</v>
      </c>
      <c r="E118" s="51">
        <v>0</v>
      </c>
      <c r="F118" s="51">
        <v>0</v>
      </c>
      <c r="G118" s="52">
        <f t="shared" si="14"/>
        <v>0</v>
      </c>
    </row>
    <row r="119" spans="1:7" x14ac:dyDescent="0.3">
      <c r="A119" s="21">
        <f>DATE(INT(LEFT($B$3,4))+1,9,1)</f>
        <v>46266</v>
      </c>
      <c r="B119" s="51">
        <v>0</v>
      </c>
      <c r="C119" s="51">
        <v>0</v>
      </c>
      <c r="D119" s="51">
        <v>0</v>
      </c>
      <c r="E119" s="51">
        <v>0</v>
      </c>
      <c r="F119" s="51">
        <v>0</v>
      </c>
      <c r="G119" s="52">
        <f t="shared" si="14"/>
        <v>0</v>
      </c>
    </row>
    <row r="120" spans="1:7" ht="15" thickBot="1" x14ac:dyDescent="0.35">
      <c r="A120" s="30"/>
      <c r="B120" s="55"/>
      <c r="C120" s="55"/>
      <c r="D120" s="55"/>
      <c r="E120" s="55"/>
      <c r="F120" s="55"/>
      <c r="G120" s="55"/>
    </row>
    <row r="121" spans="1:7" ht="16.2" thickTop="1" x14ac:dyDescent="0.3">
      <c r="A121" s="32" t="s">
        <v>92</v>
      </c>
      <c r="B121" s="318">
        <f t="shared" ref="B121:G121" si="15">SUM(B114:B119)</f>
        <v>0</v>
      </c>
      <c r="C121" s="318">
        <f t="shared" si="15"/>
        <v>0</v>
      </c>
      <c r="D121" s="318">
        <f t="shared" si="15"/>
        <v>0</v>
      </c>
      <c r="E121" s="318">
        <f t="shared" si="15"/>
        <v>0</v>
      </c>
      <c r="F121" s="318">
        <f t="shared" si="15"/>
        <v>0</v>
      </c>
      <c r="G121" s="318">
        <f t="shared" si="15"/>
        <v>0</v>
      </c>
    </row>
    <row r="122" spans="1:7" x14ac:dyDescent="0.3">
      <c r="A122" s="37"/>
      <c r="B122" s="56"/>
      <c r="C122" s="56"/>
      <c r="D122" s="56"/>
      <c r="E122" s="56"/>
      <c r="F122" s="56"/>
      <c r="G122" s="56"/>
    </row>
    <row r="123" spans="1:7" ht="17.399999999999999" x14ac:dyDescent="0.3">
      <c r="A123" s="39" t="s">
        <v>91</v>
      </c>
      <c r="B123" s="319">
        <f t="shared" ref="B123:G123" si="16">B121+B111</f>
        <v>0</v>
      </c>
      <c r="C123" s="319">
        <f t="shared" si="16"/>
        <v>0</v>
      </c>
      <c r="D123" s="319">
        <f t="shared" si="16"/>
        <v>0</v>
      </c>
      <c r="E123" s="319">
        <f t="shared" si="16"/>
        <v>0</v>
      </c>
      <c r="F123" s="319">
        <f t="shared" si="16"/>
        <v>0</v>
      </c>
      <c r="G123" s="319">
        <f t="shared" si="16"/>
        <v>0</v>
      </c>
    </row>
    <row r="127" spans="1:7" ht="18" x14ac:dyDescent="0.35">
      <c r="A127" s="14" t="s">
        <v>126</v>
      </c>
    </row>
    <row r="129" spans="1:9" ht="18" customHeight="1" x14ac:dyDescent="0.3">
      <c r="A129" s="438" t="s">
        <v>81</v>
      </c>
      <c r="B129" s="16"/>
      <c r="C129" s="16"/>
      <c r="D129" s="16"/>
      <c r="E129" s="16"/>
      <c r="F129" s="16"/>
      <c r="G129" s="41"/>
    </row>
    <row r="130" spans="1:9" ht="24.9" customHeight="1" x14ac:dyDescent="0.3">
      <c r="A130" s="367" t="s">
        <v>82</v>
      </c>
      <c r="B130" s="322" t="s">
        <v>96</v>
      </c>
      <c r="C130" s="322" t="s">
        <v>101</v>
      </c>
      <c r="D130" s="322" t="s">
        <v>105</v>
      </c>
      <c r="E130" s="322" t="s">
        <v>106</v>
      </c>
      <c r="F130" s="322" t="s">
        <v>90</v>
      </c>
      <c r="G130" s="359" t="s">
        <v>91</v>
      </c>
    </row>
    <row r="131" spans="1:9" x14ac:dyDescent="0.3">
      <c r="A131" s="21">
        <f>DATE(INT(LEFT($B$3,4)),4,1)</f>
        <v>45748</v>
      </c>
      <c r="B131" s="277"/>
      <c r="C131" s="277"/>
      <c r="D131" s="277"/>
      <c r="E131" s="277"/>
      <c r="F131" s="277"/>
      <c r="G131" s="277">
        <f t="shared" ref="G131:G142" si="17">SUM(B131:F131)</f>
        <v>0</v>
      </c>
      <c r="I131" s="447">
        <f t="shared" ref="I131:I142" si="18">G131-H131</f>
        <v>0</v>
      </c>
    </row>
    <row r="132" spans="1:9" x14ac:dyDescent="0.3">
      <c r="A132" s="21">
        <f>DATE(INT(LEFT($B$3,4)),5,1)</f>
        <v>45778</v>
      </c>
      <c r="B132" s="277"/>
      <c r="C132" s="277"/>
      <c r="D132" s="277"/>
      <c r="E132" s="277"/>
      <c r="F132" s="277"/>
      <c r="G132" s="277">
        <f t="shared" si="17"/>
        <v>0</v>
      </c>
      <c r="I132" s="447">
        <f t="shared" si="18"/>
        <v>0</v>
      </c>
    </row>
    <row r="133" spans="1:9" x14ac:dyDescent="0.3">
      <c r="A133" s="21">
        <f>DATE(INT(LEFT($B$3,4)),6,1)</f>
        <v>45809</v>
      </c>
      <c r="B133" s="277"/>
      <c r="C133" s="277"/>
      <c r="D133" s="277"/>
      <c r="E133" s="277"/>
      <c r="F133" s="277"/>
      <c r="G133" s="277">
        <f t="shared" si="17"/>
        <v>0</v>
      </c>
      <c r="I133" s="447">
        <f t="shared" si="18"/>
        <v>0</v>
      </c>
    </row>
    <row r="134" spans="1:9" x14ac:dyDescent="0.3">
      <c r="A134" s="21">
        <f>DATE(INT(LEFT($B$3,4)),7,1)</f>
        <v>45839</v>
      </c>
      <c r="B134" s="51"/>
      <c r="C134" s="51"/>
      <c r="D134" s="51"/>
      <c r="E134" s="277"/>
      <c r="F134" s="51"/>
      <c r="G134" s="51">
        <f t="shared" si="17"/>
        <v>0</v>
      </c>
      <c r="I134" s="447">
        <f t="shared" si="18"/>
        <v>0</v>
      </c>
    </row>
    <row r="135" spans="1:9" x14ac:dyDescent="0.3">
      <c r="A135" s="21">
        <f>DATE(INT(LEFT($B$3,4)),8,1)</f>
        <v>45870</v>
      </c>
      <c r="B135" s="51"/>
      <c r="C135" s="51"/>
      <c r="D135" s="51"/>
      <c r="E135" s="277"/>
      <c r="F135" s="51"/>
      <c r="G135" s="51">
        <f t="shared" si="17"/>
        <v>0</v>
      </c>
      <c r="I135" s="447">
        <f t="shared" si="18"/>
        <v>0</v>
      </c>
    </row>
    <row r="136" spans="1:9" x14ac:dyDescent="0.3">
      <c r="A136" s="21">
        <f>DATE(INT(LEFT($B$3,4)),9,1)</f>
        <v>45901</v>
      </c>
      <c r="B136" s="51"/>
      <c r="C136" s="51"/>
      <c r="D136" s="51"/>
      <c r="E136" s="277"/>
      <c r="F136" s="51"/>
      <c r="G136" s="51">
        <f t="shared" si="17"/>
        <v>0</v>
      </c>
      <c r="I136" s="447">
        <f t="shared" si="18"/>
        <v>0</v>
      </c>
    </row>
    <row r="137" spans="1:9" x14ac:dyDescent="0.3">
      <c r="A137" s="21">
        <f>DATE(INT(LEFT($B$3,4)),10,1)</f>
        <v>45931</v>
      </c>
      <c r="B137" s="51"/>
      <c r="C137" s="51"/>
      <c r="D137" s="51"/>
      <c r="E137" s="277"/>
      <c r="F137" s="51"/>
      <c r="G137" s="51">
        <f t="shared" si="17"/>
        <v>0</v>
      </c>
      <c r="I137" s="447">
        <f t="shared" si="18"/>
        <v>0</v>
      </c>
    </row>
    <row r="138" spans="1:9" x14ac:dyDescent="0.3">
      <c r="A138" s="21">
        <f>DATE(INT(LEFT($B$3,4)),11,1)</f>
        <v>45962</v>
      </c>
      <c r="B138" s="51"/>
      <c r="C138" s="51"/>
      <c r="D138" s="51"/>
      <c r="E138" s="277"/>
      <c r="F138" s="51"/>
      <c r="G138" s="51">
        <f t="shared" si="17"/>
        <v>0</v>
      </c>
      <c r="I138" s="447">
        <f t="shared" si="18"/>
        <v>0</v>
      </c>
    </row>
    <row r="139" spans="1:9" x14ac:dyDescent="0.3">
      <c r="A139" s="21">
        <f>DATE(INT(LEFT($B$3,4)),12,1)</f>
        <v>45992</v>
      </c>
      <c r="B139" s="51"/>
      <c r="C139" s="51"/>
      <c r="D139" s="51"/>
      <c r="E139" s="277"/>
      <c r="F139" s="51"/>
      <c r="G139" s="51">
        <f t="shared" si="17"/>
        <v>0</v>
      </c>
      <c r="I139" s="447">
        <f t="shared" si="18"/>
        <v>0</v>
      </c>
    </row>
    <row r="140" spans="1:9" x14ac:dyDescent="0.3">
      <c r="A140" s="21">
        <f>DATE(INT(LEFT($B$3,4))+1,1,1)</f>
        <v>46023</v>
      </c>
      <c r="B140" s="51"/>
      <c r="C140" s="51"/>
      <c r="D140" s="51"/>
      <c r="E140" s="277"/>
      <c r="F140" s="51"/>
      <c r="G140" s="51">
        <f t="shared" si="17"/>
        <v>0</v>
      </c>
      <c r="I140" s="447">
        <f t="shared" si="18"/>
        <v>0</v>
      </c>
    </row>
    <row r="141" spans="1:9" x14ac:dyDescent="0.3">
      <c r="A141" s="21">
        <f>DATE(INT(LEFT($B$3,4))+1,2,1)</f>
        <v>46054</v>
      </c>
      <c r="B141" s="51"/>
      <c r="C141" s="51"/>
      <c r="D141" s="51"/>
      <c r="E141" s="277"/>
      <c r="F141" s="51"/>
      <c r="G141" s="51">
        <f t="shared" si="17"/>
        <v>0</v>
      </c>
      <c r="I141" s="447">
        <f t="shared" si="18"/>
        <v>0</v>
      </c>
    </row>
    <row r="142" spans="1:9" x14ac:dyDescent="0.3">
      <c r="A142" s="21">
        <f>DATE(INT(LEFT($B$3,4))+1,3,1)</f>
        <v>46082</v>
      </c>
      <c r="B142" s="51"/>
      <c r="C142" s="51"/>
      <c r="D142" s="51"/>
      <c r="E142" s="277"/>
      <c r="F142" s="51"/>
      <c r="G142" s="51">
        <f t="shared" si="17"/>
        <v>0</v>
      </c>
      <c r="I142" s="447">
        <f t="shared" si="18"/>
        <v>0</v>
      </c>
    </row>
    <row r="143" spans="1:9" ht="15" thickBot="1" x14ac:dyDescent="0.35">
      <c r="A143" s="30"/>
      <c r="B143" s="55"/>
      <c r="C143" s="55"/>
      <c r="D143" s="55"/>
      <c r="E143" s="55"/>
      <c r="F143" s="55"/>
      <c r="G143" s="55"/>
    </row>
    <row r="144" spans="1:9" ht="16.2" thickTop="1" x14ac:dyDescent="0.3">
      <c r="A144" s="32" t="s">
        <v>92</v>
      </c>
      <c r="B144" s="318">
        <f t="shared" ref="B144:G144" si="19">SUM(B131:B142)</f>
        <v>0</v>
      </c>
      <c r="C144" s="318">
        <f t="shared" si="19"/>
        <v>0</v>
      </c>
      <c r="D144" s="318">
        <f t="shared" si="19"/>
        <v>0</v>
      </c>
      <c r="E144" s="318">
        <f t="shared" si="19"/>
        <v>0</v>
      </c>
      <c r="F144" s="318">
        <f t="shared" si="19"/>
        <v>0</v>
      </c>
      <c r="G144" s="318">
        <f t="shared" si="19"/>
        <v>0</v>
      </c>
    </row>
    <row r="145" spans="1:7" x14ac:dyDescent="0.3">
      <c r="A145" s="34"/>
      <c r="B145" s="35"/>
      <c r="C145" s="35"/>
      <c r="D145" s="35"/>
      <c r="E145" s="35"/>
      <c r="F145" s="35"/>
      <c r="G145" s="35"/>
    </row>
    <row r="146" spans="1:7" ht="28.8" x14ac:dyDescent="0.3">
      <c r="A146" s="43" t="str">
        <f>LEFT($B$3,4)&amp;"-"&amp;RIGHT(INT(LEFT($B$3,4)+1),2)&amp;" Supplies declared in next year"</f>
        <v>2025-26 Supplies declared in next year</v>
      </c>
      <c r="B146" s="36"/>
      <c r="C146" s="36"/>
      <c r="D146" s="36"/>
      <c r="E146" s="36"/>
      <c r="F146" s="36"/>
      <c r="G146" s="36"/>
    </row>
    <row r="147" spans="1:7" x14ac:dyDescent="0.3">
      <c r="A147" s="21">
        <f>DATE(INT(LEFT($B$3,4))+1,4,1)</f>
        <v>46113</v>
      </c>
      <c r="B147" s="51">
        <v>0</v>
      </c>
      <c r="C147" s="51">
        <v>0</v>
      </c>
      <c r="D147" s="51">
        <v>0</v>
      </c>
      <c r="E147" s="51">
        <v>0</v>
      </c>
      <c r="F147" s="51">
        <v>0</v>
      </c>
      <c r="G147" s="52">
        <f t="shared" ref="G147:G152" si="20">SUM(B147:F147)</f>
        <v>0</v>
      </c>
    </row>
    <row r="148" spans="1:7" x14ac:dyDescent="0.3">
      <c r="A148" s="21">
        <f>DATE(INT(LEFT($B$3,4))+1,5,1)</f>
        <v>46143</v>
      </c>
      <c r="B148" s="51">
        <v>0</v>
      </c>
      <c r="C148" s="51">
        <v>0</v>
      </c>
      <c r="D148" s="51">
        <v>0</v>
      </c>
      <c r="E148" s="51">
        <v>0</v>
      </c>
      <c r="F148" s="51">
        <v>0</v>
      </c>
      <c r="G148" s="52">
        <f t="shared" si="20"/>
        <v>0</v>
      </c>
    </row>
    <row r="149" spans="1:7" x14ac:dyDescent="0.3">
      <c r="A149" s="21">
        <f>DATE(INT(LEFT($B$3,4))+1,6,1)</f>
        <v>46174</v>
      </c>
      <c r="B149" s="51">
        <v>0</v>
      </c>
      <c r="C149" s="51">
        <v>0</v>
      </c>
      <c r="D149" s="51">
        <v>0</v>
      </c>
      <c r="E149" s="51">
        <v>0</v>
      </c>
      <c r="F149" s="51">
        <v>0</v>
      </c>
      <c r="G149" s="52">
        <f t="shared" si="20"/>
        <v>0</v>
      </c>
    </row>
    <row r="150" spans="1:7" x14ac:dyDescent="0.3">
      <c r="A150" s="21">
        <f>DATE(INT(LEFT($B$3,4))+1,7,1)</f>
        <v>46204</v>
      </c>
      <c r="B150" s="51">
        <v>0</v>
      </c>
      <c r="C150" s="51">
        <v>0</v>
      </c>
      <c r="D150" s="51">
        <v>0</v>
      </c>
      <c r="E150" s="51">
        <v>0</v>
      </c>
      <c r="F150" s="51">
        <v>0</v>
      </c>
      <c r="G150" s="52">
        <f t="shared" si="20"/>
        <v>0</v>
      </c>
    </row>
    <row r="151" spans="1:7" x14ac:dyDescent="0.3">
      <c r="A151" s="21">
        <f>DATE(INT(LEFT($B$3,4))+1,8,1)</f>
        <v>46235</v>
      </c>
      <c r="B151" s="51">
        <v>0</v>
      </c>
      <c r="C151" s="51">
        <v>0</v>
      </c>
      <c r="D151" s="51">
        <v>0</v>
      </c>
      <c r="E151" s="51">
        <v>0</v>
      </c>
      <c r="F151" s="51">
        <v>0</v>
      </c>
      <c r="G151" s="52">
        <f t="shared" si="20"/>
        <v>0</v>
      </c>
    </row>
    <row r="152" spans="1:7" x14ac:dyDescent="0.3">
      <c r="A152" s="21">
        <f>DATE(INT(LEFT($B$3,4))+1,9,1)</f>
        <v>46266</v>
      </c>
      <c r="B152" s="51">
        <v>0</v>
      </c>
      <c r="C152" s="51">
        <v>0</v>
      </c>
      <c r="D152" s="51">
        <v>0</v>
      </c>
      <c r="E152" s="51">
        <v>0</v>
      </c>
      <c r="F152" s="51">
        <v>0</v>
      </c>
      <c r="G152" s="52">
        <f t="shared" si="20"/>
        <v>0</v>
      </c>
    </row>
    <row r="153" spans="1:7" ht="15" thickBot="1" x14ac:dyDescent="0.35">
      <c r="A153" s="30"/>
      <c r="B153" s="55"/>
      <c r="C153" s="55"/>
      <c r="D153" s="55"/>
      <c r="E153" s="55"/>
      <c r="F153" s="55"/>
      <c r="G153" s="55"/>
    </row>
    <row r="154" spans="1:7" ht="16.2" thickTop="1" x14ac:dyDescent="0.3">
      <c r="A154" s="32" t="s">
        <v>92</v>
      </c>
      <c r="B154" s="318">
        <f t="shared" ref="B154:G154" si="21">SUM(B147:B152)</f>
        <v>0</v>
      </c>
      <c r="C154" s="318">
        <f t="shared" si="21"/>
        <v>0</v>
      </c>
      <c r="D154" s="318">
        <f t="shared" si="21"/>
        <v>0</v>
      </c>
      <c r="E154" s="318">
        <f t="shared" si="21"/>
        <v>0</v>
      </c>
      <c r="F154" s="318">
        <f t="shared" si="21"/>
        <v>0</v>
      </c>
      <c r="G154" s="318">
        <f t="shared" si="21"/>
        <v>0</v>
      </c>
    </row>
    <row r="155" spans="1:7" x14ac:dyDescent="0.3">
      <c r="A155" s="37"/>
      <c r="B155" s="56"/>
      <c r="C155" s="56"/>
      <c r="D155" s="56"/>
      <c r="E155" s="56"/>
      <c r="F155" s="56"/>
      <c r="G155" s="56"/>
    </row>
    <row r="156" spans="1:7" ht="17.399999999999999" x14ac:dyDescent="0.3">
      <c r="A156" s="39" t="s">
        <v>91</v>
      </c>
      <c r="B156" s="319">
        <f t="shared" ref="B156:G156" si="22">B154+B144</f>
        <v>0</v>
      </c>
      <c r="C156" s="319">
        <f t="shared" si="22"/>
        <v>0</v>
      </c>
      <c r="D156" s="319">
        <f t="shared" si="22"/>
        <v>0</v>
      </c>
      <c r="E156" s="319">
        <f t="shared" si="22"/>
        <v>0</v>
      </c>
      <c r="F156" s="319">
        <f t="shared" si="22"/>
        <v>0</v>
      </c>
      <c r="G156" s="319">
        <f t="shared" si="22"/>
        <v>0</v>
      </c>
    </row>
    <row r="160" spans="1:7" ht="18" x14ac:dyDescent="0.35">
      <c r="A160" s="14" t="s">
        <v>127</v>
      </c>
    </row>
    <row r="162" spans="1:4" ht="18" customHeight="1" x14ac:dyDescent="0.3">
      <c r="A162" s="438" t="s">
        <v>81</v>
      </c>
      <c r="B162" s="16"/>
      <c r="C162" s="16"/>
      <c r="D162" s="41"/>
    </row>
    <row r="163" spans="1:4" ht="24.9" customHeight="1" x14ac:dyDescent="0.3">
      <c r="A163" s="367" t="s">
        <v>82</v>
      </c>
      <c r="B163" s="322" t="s">
        <v>128</v>
      </c>
      <c r="C163" s="322" t="s">
        <v>114</v>
      </c>
      <c r="D163" s="359" t="s">
        <v>118</v>
      </c>
    </row>
    <row r="164" spans="1:4" x14ac:dyDescent="0.3">
      <c r="A164" s="21">
        <f>DATE(INT(LEFT($B$3,4)),4,1)</f>
        <v>45748</v>
      </c>
      <c r="B164" s="277">
        <v>0</v>
      </c>
      <c r="C164" s="277">
        <v>0</v>
      </c>
      <c r="D164" s="277">
        <v>0</v>
      </c>
    </row>
    <row r="165" spans="1:4" x14ac:dyDescent="0.3">
      <c r="A165" s="21">
        <f>DATE(INT(LEFT($B$3,4)),5,1)</f>
        <v>45778</v>
      </c>
      <c r="B165" s="277">
        <v>0</v>
      </c>
      <c r="C165" s="277">
        <v>0</v>
      </c>
      <c r="D165" s="277">
        <v>0</v>
      </c>
    </row>
    <row r="166" spans="1:4" x14ac:dyDescent="0.3">
      <c r="A166" s="21">
        <f>DATE(INT(LEFT($B$3,4)),6,1)</f>
        <v>45809</v>
      </c>
      <c r="B166" s="277">
        <v>0</v>
      </c>
      <c r="C166" s="277">
        <v>0</v>
      </c>
      <c r="D166" s="277">
        <v>0</v>
      </c>
    </row>
    <row r="167" spans="1:4" x14ac:dyDescent="0.3">
      <c r="A167" s="21">
        <f>DATE(INT(LEFT($B$3,4)),7,1)</f>
        <v>45839</v>
      </c>
      <c r="B167" s="51">
        <v>0</v>
      </c>
      <c r="C167" s="51">
        <v>0</v>
      </c>
      <c r="D167" s="51">
        <v>0</v>
      </c>
    </row>
    <row r="168" spans="1:4" x14ac:dyDescent="0.3">
      <c r="A168" s="21">
        <f>DATE(INT(LEFT($B$3,4)),8,1)</f>
        <v>45870</v>
      </c>
      <c r="B168" s="51">
        <v>0</v>
      </c>
      <c r="C168" s="51">
        <v>0</v>
      </c>
      <c r="D168" s="51">
        <v>0</v>
      </c>
    </row>
    <row r="169" spans="1:4" x14ac:dyDescent="0.3">
      <c r="A169" s="21">
        <f>DATE(INT(LEFT($B$3,4)),9,1)</f>
        <v>45901</v>
      </c>
      <c r="B169" s="51">
        <v>0</v>
      </c>
      <c r="C169" s="51">
        <v>0</v>
      </c>
      <c r="D169" s="51">
        <v>0</v>
      </c>
    </row>
    <row r="170" spans="1:4" x14ac:dyDescent="0.3">
      <c r="A170" s="21">
        <f>DATE(INT(LEFT($B$3,4)),10,1)</f>
        <v>45931</v>
      </c>
      <c r="B170" s="51">
        <v>0</v>
      </c>
      <c r="C170" s="51">
        <v>0</v>
      </c>
      <c r="D170" s="51">
        <v>0</v>
      </c>
    </row>
    <row r="171" spans="1:4" x14ac:dyDescent="0.3">
      <c r="A171" s="21">
        <f>DATE(INT(LEFT($B$3,4)),11,1)</f>
        <v>45962</v>
      </c>
      <c r="B171" s="51">
        <v>0</v>
      </c>
      <c r="C171" s="51">
        <v>0</v>
      </c>
      <c r="D171" s="51">
        <v>0</v>
      </c>
    </row>
    <row r="172" spans="1:4" x14ac:dyDescent="0.3">
      <c r="A172" s="21">
        <f>DATE(INT(LEFT($B$3,4)),12,1)</f>
        <v>45992</v>
      </c>
      <c r="B172" s="51">
        <v>0</v>
      </c>
      <c r="C172" s="51">
        <v>0</v>
      </c>
      <c r="D172" s="51">
        <v>0</v>
      </c>
    </row>
    <row r="173" spans="1:4" x14ac:dyDescent="0.3">
      <c r="A173" s="21">
        <f>DATE(INT(LEFT($B$3,4))+1,1,1)</f>
        <v>46023</v>
      </c>
      <c r="B173" s="51">
        <v>0</v>
      </c>
      <c r="C173" s="51">
        <v>0</v>
      </c>
      <c r="D173" s="51">
        <v>0</v>
      </c>
    </row>
    <row r="174" spans="1:4" x14ac:dyDescent="0.3">
      <c r="A174" s="21">
        <f>DATE(INT(LEFT($B$3,4))+1,2,1)</f>
        <v>46054</v>
      </c>
      <c r="B174" s="51">
        <v>0</v>
      </c>
      <c r="C174" s="51">
        <v>0</v>
      </c>
      <c r="D174" s="51">
        <v>0</v>
      </c>
    </row>
    <row r="175" spans="1:4" x14ac:dyDescent="0.3">
      <c r="A175" s="21">
        <f>DATE(INT(LEFT($B$3,4))+1,3,1)</f>
        <v>46082</v>
      </c>
      <c r="B175" s="51">
        <v>0</v>
      </c>
      <c r="C175" s="51">
        <v>0</v>
      </c>
      <c r="D175" s="51">
        <v>0</v>
      </c>
    </row>
    <row r="176" spans="1:4" ht="15" thickBot="1" x14ac:dyDescent="0.35">
      <c r="A176" s="30"/>
      <c r="B176" s="55"/>
      <c r="C176" s="55"/>
      <c r="D176" s="55"/>
    </row>
    <row r="177" spans="1:4" ht="16.2" thickTop="1" x14ac:dyDescent="0.3">
      <c r="A177" s="32" t="s">
        <v>92</v>
      </c>
      <c r="B177" s="318">
        <f t="shared" ref="B177:D177" si="23">SUM(B164:B175)</f>
        <v>0</v>
      </c>
      <c r="C177" s="318">
        <f t="shared" si="23"/>
        <v>0</v>
      </c>
      <c r="D177" s="318">
        <f t="shared" si="23"/>
        <v>0</v>
      </c>
    </row>
    <row r="178" spans="1:4" x14ac:dyDescent="0.3">
      <c r="A178" s="34"/>
      <c r="B178" s="35"/>
      <c r="C178" s="35"/>
      <c r="D178" s="35"/>
    </row>
    <row r="179" spans="1:4" ht="28.8" x14ac:dyDescent="0.3">
      <c r="A179" s="43" t="str">
        <f>LEFT($B$3,4)&amp;"-"&amp;RIGHT(INT(LEFT($B$3,4)+1),2)&amp;" Supplies declared in next year"</f>
        <v>2025-26 Supplies declared in next year</v>
      </c>
      <c r="B179" s="36"/>
      <c r="C179" s="36"/>
      <c r="D179" s="36"/>
    </row>
    <row r="180" spans="1:4" x14ac:dyDescent="0.3">
      <c r="A180" s="21">
        <f>DATE(INT(LEFT($B$3,4))+1,4,1)</f>
        <v>46113</v>
      </c>
      <c r="B180" s="51">
        <v>0</v>
      </c>
      <c r="C180" s="51">
        <v>0</v>
      </c>
      <c r="D180" s="51">
        <v>0</v>
      </c>
    </row>
    <row r="181" spans="1:4" x14ac:dyDescent="0.3">
      <c r="A181" s="21">
        <f>DATE(INT(LEFT($B$3,4))+1,5,1)</f>
        <v>46143</v>
      </c>
      <c r="B181" s="51">
        <v>0</v>
      </c>
      <c r="C181" s="51">
        <v>0</v>
      </c>
      <c r="D181" s="51">
        <v>0</v>
      </c>
    </row>
    <row r="182" spans="1:4" x14ac:dyDescent="0.3">
      <c r="A182" s="21">
        <f>DATE(INT(LEFT($B$3,4))+1,6,1)</f>
        <v>46174</v>
      </c>
      <c r="B182" s="51">
        <v>0</v>
      </c>
      <c r="C182" s="51">
        <v>0</v>
      </c>
      <c r="D182" s="51">
        <v>0</v>
      </c>
    </row>
    <row r="183" spans="1:4" x14ac:dyDescent="0.3">
      <c r="A183" s="21">
        <f>DATE(INT(LEFT($B$3,4))+1,7,1)</f>
        <v>46204</v>
      </c>
      <c r="B183" s="51">
        <v>0</v>
      </c>
      <c r="C183" s="51">
        <v>0</v>
      </c>
      <c r="D183" s="51">
        <v>0</v>
      </c>
    </row>
    <row r="184" spans="1:4" x14ac:dyDescent="0.3">
      <c r="A184" s="21">
        <f>DATE(INT(LEFT($B$3,4))+1,8,1)</f>
        <v>46235</v>
      </c>
      <c r="B184" s="51">
        <v>0</v>
      </c>
      <c r="C184" s="51">
        <v>0</v>
      </c>
      <c r="D184" s="51">
        <v>0</v>
      </c>
    </row>
    <row r="185" spans="1:4" x14ac:dyDescent="0.3">
      <c r="A185" s="21">
        <f>DATE(INT(LEFT($B$3,4))+1,9,1)</f>
        <v>46266</v>
      </c>
      <c r="B185" s="51">
        <v>0</v>
      </c>
      <c r="C185" s="51">
        <v>0</v>
      </c>
      <c r="D185" s="51">
        <v>0</v>
      </c>
    </row>
    <row r="186" spans="1:4" ht="15" thickBot="1" x14ac:dyDescent="0.35">
      <c r="A186" s="30"/>
      <c r="B186" s="55"/>
      <c r="C186" s="55"/>
      <c r="D186" s="55"/>
    </row>
    <row r="187" spans="1:4" ht="16.2" thickTop="1" x14ac:dyDescent="0.3">
      <c r="A187" s="32" t="s">
        <v>92</v>
      </c>
      <c r="B187" s="318">
        <f t="shared" ref="B187:D187" si="24">SUM(B180:B185)</f>
        <v>0</v>
      </c>
      <c r="C187" s="318">
        <f t="shared" si="24"/>
        <v>0</v>
      </c>
      <c r="D187" s="318">
        <f t="shared" si="24"/>
        <v>0</v>
      </c>
    </row>
    <row r="188" spans="1:4" x14ac:dyDescent="0.3">
      <c r="A188" s="37"/>
      <c r="B188" s="56"/>
      <c r="C188" s="56"/>
      <c r="D188" s="56"/>
    </row>
    <row r="189" spans="1:4" ht="17.399999999999999" x14ac:dyDescent="0.3">
      <c r="A189" s="39" t="s">
        <v>91</v>
      </c>
      <c r="B189" s="319">
        <f t="shared" ref="B189:D189" si="25">B187+B177</f>
        <v>0</v>
      </c>
      <c r="C189" s="319">
        <f t="shared" si="25"/>
        <v>0</v>
      </c>
      <c r="D189" s="319">
        <f t="shared" si="25"/>
        <v>0</v>
      </c>
    </row>
    <row r="193" spans="1:9" ht="18" x14ac:dyDescent="0.35">
      <c r="A193" s="14" t="s">
        <v>129</v>
      </c>
    </row>
    <row r="195" spans="1:9" ht="18" customHeight="1" x14ac:dyDescent="0.3">
      <c r="A195" s="438" t="s">
        <v>81</v>
      </c>
      <c r="B195" s="16"/>
      <c r="C195" s="16"/>
      <c r="D195" s="16"/>
      <c r="E195" s="16"/>
      <c r="F195" s="16"/>
      <c r="G195" s="41"/>
    </row>
    <row r="196" spans="1:9" ht="24.9" customHeight="1" x14ac:dyDescent="0.3">
      <c r="A196" s="367" t="s">
        <v>82</v>
      </c>
      <c r="B196" s="322" t="s">
        <v>96</v>
      </c>
      <c r="C196" s="322" t="s">
        <v>101</v>
      </c>
      <c r="D196" s="322" t="s">
        <v>105</v>
      </c>
      <c r="E196" s="322" t="s">
        <v>106</v>
      </c>
      <c r="F196" s="322" t="s">
        <v>90</v>
      </c>
      <c r="G196" s="359" t="s">
        <v>91</v>
      </c>
    </row>
    <row r="197" spans="1:9" x14ac:dyDescent="0.3">
      <c r="A197" s="21">
        <f>DATE(INT(LEFT($B$3,4)),4,1)</f>
        <v>45748</v>
      </c>
      <c r="B197" s="277">
        <v>0</v>
      </c>
      <c r="C197" s="277">
        <v>0</v>
      </c>
      <c r="D197" s="277">
        <v>0</v>
      </c>
      <c r="E197" s="277">
        <v>0</v>
      </c>
      <c r="F197" s="277">
        <v>0</v>
      </c>
      <c r="G197" s="277">
        <f t="shared" ref="G197:G208" si="26">SUM(B197:F197)</f>
        <v>0</v>
      </c>
      <c r="I197" s="447">
        <f t="shared" ref="I197:I208" si="27">G197-H197</f>
        <v>0</v>
      </c>
    </row>
    <row r="198" spans="1:9" x14ac:dyDescent="0.3">
      <c r="A198" s="21">
        <f>DATE(INT(LEFT($B$3,4)),5,1)</f>
        <v>45778</v>
      </c>
      <c r="B198" s="277">
        <v>0</v>
      </c>
      <c r="C198" s="277">
        <v>0</v>
      </c>
      <c r="D198" s="277">
        <v>0</v>
      </c>
      <c r="E198" s="277">
        <v>0</v>
      </c>
      <c r="F198" s="277">
        <v>0</v>
      </c>
      <c r="G198" s="277">
        <f t="shared" si="26"/>
        <v>0</v>
      </c>
      <c r="I198" s="447">
        <f t="shared" si="27"/>
        <v>0</v>
      </c>
    </row>
    <row r="199" spans="1:9" x14ac:dyDescent="0.3">
      <c r="A199" s="21">
        <f>DATE(INT(LEFT($B$3,4)),6,1)</f>
        <v>45809</v>
      </c>
      <c r="B199" s="277">
        <v>0</v>
      </c>
      <c r="C199" s="277">
        <v>0</v>
      </c>
      <c r="D199" s="277">
        <v>0</v>
      </c>
      <c r="E199" s="277">
        <v>0</v>
      </c>
      <c r="F199" s="277">
        <v>0</v>
      </c>
      <c r="G199" s="277">
        <f t="shared" si="26"/>
        <v>0</v>
      </c>
      <c r="I199" s="447">
        <f t="shared" si="27"/>
        <v>0</v>
      </c>
    </row>
    <row r="200" spans="1:9" x14ac:dyDescent="0.3">
      <c r="A200" s="21">
        <f>DATE(INT(LEFT($B$3,4)),7,1)</f>
        <v>45839</v>
      </c>
      <c r="B200" s="277">
        <v>0</v>
      </c>
      <c r="C200" s="277">
        <v>0</v>
      </c>
      <c r="D200" s="277">
        <v>0</v>
      </c>
      <c r="E200" s="277">
        <v>0</v>
      </c>
      <c r="F200" s="277">
        <v>0</v>
      </c>
      <c r="G200" s="277">
        <f t="shared" si="26"/>
        <v>0</v>
      </c>
      <c r="I200" s="447">
        <f t="shared" si="27"/>
        <v>0</v>
      </c>
    </row>
    <row r="201" spans="1:9" x14ac:dyDescent="0.3">
      <c r="A201" s="21">
        <f>DATE(INT(LEFT($B$3,4)),8,1)</f>
        <v>45870</v>
      </c>
      <c r="B201" s="277">
        <v>0</v>
      </c>
      <c r="C201" s="277">
        <v>0</v>
      </c>
      <c r="D201" s="277">
        <v>0</v>
      </c>
      <c r="E201" s="277">
        <v>0</v>
      </c>
      <c r="F201" s="277">
        <v>0</v>
      </c>
      <c r="G201" s="277">
        <f t="shared" si="26"/>
        <v>0</v>
      </c>
      <c r="I201" s="447">
        <f t="shared" si="27"/>
        <v>0</v>
      </c>
    </row>
    <row r="202" spans="1:9" x14ac:dyDescent="0.3">
      <c r="A202" s="21">
        <f>DATE(INT(LEFT($B$3,4)),9,1)</f>
        <v>45901</v>
      </c>
      <c r="B202" s="277">
        <v>0</v>
      </c>
      <c r="C202" s="277">
        <v>0</v>
      </c>
      <c r="D202" s="277">
        <v>0</v>
      </c>
      <c r="E202" s="277">
        <v>0</v>
      </c>
      <c r="F202" s="277">
        <v>0</v>
      </c>
      <c r="G202" s="277">
        <f t="shared" si="26"/>
        <v>0</v>
      </c>
      <c r="I202" s="447">
        <f t="shared" si="27"/>
        <v>0</v>
      </c>
    </row>
    <row r="203" spans="1:9" x14ac:dyDescent="0.3">
      <c r="A203" s="21">
        <f>DATE(INT(LEFT($B$3,4)),10,1)</f>
        <v>45931</v>
      </c>
      <c r="B203" s="277">
        <v>0</v>
      </c>
      <c r="C203" s="277">
        <v>0</v>
      </c>
      <c r="D203" s="277">
        <v>0</v>
      </c>
      <c r="E203" s="277">
        <v>0</v>
      </c>
      <c r="F203" s="277">
        <v>0</v>
      </c>
      <c r="G203" s="277">
        <f t="shared" si="26"/>
        <v>0</v>
      </c>
      <c r="I203" s="447">
        <f t="shared" si="27"/>
        <v>0</v>
      </c>
    </row>
    <row r="204" spans="1:9" x14ac:dyDescent="0.3">
      <c r="A204" s="21">
        <f>DATE(INT(LEFT($B$3,4)),11,1)</f>
        <v>45962</v>
      </c>
      <c r="B204" s="277">
        <v>0</v>
      </c>
      <c r="C204" s="277">
        <v>0</v>
      </c>
      <c r="D204" s="277">
        <v>0</v>
      </c>
      <c r="E204" s="277">
        <v>0</v>
      </c>
      <c r="F204" s="277">
        <v>0</v>
      </c>
      <c r="G204" s="277">
        <f t="shared" si="26"/>
        <v>0</v>
      </c>
      <c r="I204" s="447">
        <f t="shared" si="27"/>
        <v>0</v>
      </c>
    </row>
    <row r="205" spans="1:9" x14ac:dyDescent="0.3">
      <c r="A205" s="21">
        <f>DATE(INT(LEFT($B$3,4)),12,1)</f>
        <v>45992</v>
      </c>
      <c r="B205" s="277">
        <v>0</v>
      </c>
      <c r="C205" s="277">
        <v>0</v>
      </c>
      <c r="D205" s="277">
        <v>0</v>
      </c>
      <c r="E205" s="277">
        <v>0</v>
      </c>
      <c r="F205" s="277">
        <v>0</v>
      </c>
      <c r="G205" s="277">
        <f t="shared" si="26"/>
        <v>0</v>
      </c>
      <c r="I205" s="447">
        <f t="shared" si="27"/>
        <v>0</v>
      </c>
    </row>
    <row r="206" spans="1:9" x14ac:dyDescent="0.3">
      <c r="A206" s="21">
        <f>DATE(INT(LEFT($B$3,4))+1,1,1)</f>
        <v>46023</v>
      </c>
      <c r="B206" s="277">
        <v>0</v>
      </c>
      <c r="C206" s="277">
        <v>0</v>
      </c>
      <c r="D206" s="277">
        <v>0</v>
      </c>
      <c r="E206" s="277">
        <v>0</v>
      </c>
      <c r="F206" s="277">
        <v>0</v>
      </c>
      <c r="G206" s="277">
        <f t="shared" si="26"/>
        <v>0</v>
      </c>
      <c r="I206" s="447">
        <f t="shared" si="27"/>
        <v>0</v>
      </c>
    </row>
    <row r="207" spans="1:9" x14ac:dyDescent="0.3">
      <c r="A207" s="21">
        <f>DATE(INT(LEFT($B$3,4))+1,2,1)</f>
        <v>46054</v>
      </c>
      <c r="B207" s="277">
        <v>0</v>
      </c>
      <c r="C207" s="277">
        <v>0</v>
      </c>
      <c r="D207" s="277">
        <v>0</v>
      </c>
      <c r="E207" s="277">
        <v>0</v>
      </c>
      <c r="F207" s="277">
        <v>0</v>
      </c>
      <c r="G207" s="277">
        <f t="shared" si="26"/>
        <v>0</v>
      </c>
      <c r="I207" s="447">
        <f t="shared" si="27"/>
        <v>0</v>
      </c>
    </row>
    <row r="208" spans="1:9" x14ac:dyDescent="0.3">
      <c r="A208" s="21">
        <f>DATE(INT(LEFT($B$3,4))+1,3,1)</f>
        <v>46082</v>
      </c>
      <c r="B208" s="277">
        <v>0</v>
      </c>
      <c r="C208" s="277">
        <v>0</v>
      </c>
      <c r="D208" s="277">
        <v>0</v>
      </c>
      <c r="E208" s="277">
        <v>0</v>
      </c>
      <c r="F208" s="277">
        <v>0</v>
      </c>
      <c r="G208" s="277">
        <f t="shared" si="26"/>
        <v>0</v>
      </c>
      <c r="I208" s="447">
        <f t="shared" si="27"/>
        <v>0</v>
      </c>
    </row>
    <row r="209" spans="1:7" ht="15" thickBot="1" x14ac:dyDescent="0.35">
      <c r="A209" s="30"/>
      <c r="B209" s="55"/>
      <c r="C209" s="55"/>
      <c r="D209" s="55"/>
      <c r="E209" s="55"/>
      <c r="F209" s="55"/>
      <c r="G209" s="55"/>
    </row>
    <row r="210" spans="1:7" ht="16.2" thickTop="1" x14ac:dyDescent="0.3">
      <c r="A210" s="32" t="s">
        <v>92</v>
      </c>
      <c r="B210" s="318">
        <f t="shared" ref="B210:G210" si="28">SUM(B197:B208)</f>
        <v>0</v>
      </c>
      <c r="C210" s="318">
        <f t="shared" si="28"/>
        <v>0</v>
      </c>
      <c r="D210" s="318">
        <f t="shared" si="28"/>
        <v>0</v>
      </c>
      <c r="E210" s="318">
        <f t="shared" si="28"/>
        <v>0</v>
      </c>
      <c r="F210" s="318">
        <f t="shared" si="28"/>
        <v>0</v>
      </c>
      <c r="G210" s="318">
        <f t="shared" si="28"/>
        <v>0</v>
      </c>
    </row>
    <row r="211" spans="1:7" x14ac:dyDescent="0.3">
      <c r="A211" s="34"/>
      <c r="B211" s="35"/>
      <c r="C211" s="35"/>
      <c r="D211" s="35"/>
      <c r="E211" s="35"/>
      <c r="F211" s="35"/>
      <c r="G211" s="35"/>
    </row>
    <row r="212" spans="1:7" ht="28.8" x14ac:dyDescent="0.3">
      <c r="A212" s="43" t="str">
        <f>LEFT($B$3,4)&amp;"-"&amp;RIGHT(INT(LEFT($B$3,4)+1),2)&amp;" Supplies declared in next year"</f>
        <v>2025-26 Supplies declared in next year</v>
      </c>
      <c r="B212" s="36"/>
      <c r="C212" s="36"/>
      <c r="D212" s="36"/>
      <c r="E212" s="36"/>
      <c r="F212" s="36"/>
      <c r="G212" s="36"/>
    </row>
    <row r="213" spans="1:7" x14ac:dyDescent="0.3">
      <c r="A213" s="21">
        <f>DATE(INT(LEFT($B$3,4))+1,4,1)</f>
        <v>46113</v>
      </c>
      <c r="B213" s="51">
        <v>0</v>
      </c>
      <c r="C213" s="51">
        <v>0</v>
      </c>
      <c r="D213" s="51">
        <v>0</v>
      </c>
      <c r="E213" s="51">
        <v>0</v>
      </c>
      <c r="F213" s="51">
        <v>0</v>
      </c>
      <c r="G213" s="52">
        <f t="shared" ref="G213:G218" si="29">SUM(B213:F213)</f>
        <v>0</v>
      </c>
    </row>
    <row r="214" spans="1:7" x14ac:dyDescent="0.3">
      <c r="A214" s="21">
        <f>DATE(INT(LEFT($B$3,4))+1,5,1)</f>
        <v>46143</v>
      </c>
      <c r="B214" s="51">
        <v>0</v>
      </c>
      <c r="C214" s="51">
        <v>0</v>
      </c>
      <c r="D214" s="51">
        <v>0</v>
      </c>
      <c r="E214" s="51">
        <v>0</v>
      </c>
      <c r="F214" s="51">
        <v>0</v>
      </c>
      <c r="G214" s="52">
        <f t="shared" si="29"/>
        <v>0</v>
      </c>
    </row>
    <row r="215" spans="1:7" x14ac:dyDescent="0.3">
      <c r="A215" s="21">
        <f>DATE(INT(LEFT($B$3,4))+1,6,1)</f>
        <v>46174</v>
      </c>
      <c r="B215" s="51">
        <v>0</v>
      </c>
      <c r="C215" s="51">
        <v>0</v>
      </c>
      <c r="D215" s="51">
        <v>0</v>
      </c>
      <c r="E215" s="51">
        <v>0</v>
      </c>
      <c r="F215" s="51">
        <v>0</v>
      </c>
      <c r="G215" s="52">
        <f t="shared" si="29"/>
        <v>0</v>
      </c>
    </row>
    <row r="216" spans="1:7" x14ac:dyDescent="0.3">
      <c r="A216" s="21">
        <f>DATE(INT(LEFT($B$3,4))+1,7,1)</f>
        <v>46204</v>
      </c>
      <c r="B216" s="51">
        <v>0</v>
      </c>
      <c r="C216" s="51">
        <v>0</v>
      </c>
      <c r="D216" s="51">
        <v>0</v>
      </c>
      <c r="E216" s="51">
        <v>0</v>
      </c>
      <c r="F216" s="51">
        <v>0</v>
      </c>
      <c r="G216" s="52">
        <f t="shared" si="29"/>
        <v>0</v>
      </c>
    </row>
    <row r="217" spans="1:7" x14ac:dyDescent="0.3">
      <c r="A217" s="21">
        <f>DATE(INT(LEFT($B$3,4))+1,8,1)</f>
        <v>46235</v>
      </c>
      <c r="B217" s="51">
        <v>0</v>
      </c>
      <c r="C217" s="51">
        <v>0</v>
      </c>
      <c r="D217" s="51">
        <v>0</v>
      </c>
      <c r="E217" s="51">
        <v>0</v>
      </c>
      <c r="F217" s="51">
        <v>0</v>
      </c>
      <c r="G217" s="52">
        <f t="shared" si="29"/>
        <v>0</v>
      </c>
    </row>
    <row r="218" spans="1:7" x14ac:dyDescent="0.3">
      <c r="A218" s="21">
        <f>DATE(INT(LEFT($B$3,4))+1,9,1)</f>
        <v>46266</v>
      </c>
      <c r="B218" s="51">
        <v>0</v>
      </c>
      <c r="C218" s="51">
        <v>0</v>
      </c>
      <c r="D218" s="51">
        <v>0</v>
      </c>
      <c r="E218" s="51">
        <v>0</v>
      </c>
      <c r="F218" s="51">
        <v>0</v>
      </c>
      <c r="G218" s="52">
        <f t="shared" si="29"/>
        <v>0</v>
      </c>
    </row>
    <row r="219" spans="1:7" ht="15" thickBot="1" x14ac:dyDescent="0.35">
      <c r="A219" s="30"/>
      <c r="B219" s="55"/>
      <c r="C219" s="55"/>
      <c r="D219" s="55"/>
      <c r="E219" s="55"/>
      <c r="F219" s="55"/>
      <c r="G219" s="55"/>
    </row>
    <row r="220" spans="1:7" ht="16.2" thickTop="1" x14ac:dyDescent="0.3">
      <c r="A220" s="32" t="s">
        <v>92</v>
      </c>
      <c r="B220" s="318">
        <f t="shared" ref="B220:G220" si="30">SUM(B213:B218)</f>
        <v>0</v>
      </c>
      <c r="C220" s="318">
        <f t="shared" si="30"/>
        <v>0</v>
      </c>
      <c r="D220" s="318">
        <f t="shared" si="30"/>
        <v>0</v>
      </c>
      <c r="E220" s="318">
        <f t="shared" si="30"/>
        <v>0</v>
      </c>
      <c r="F220" s="318">
        <f t="shared" si="30"/>
        <v>0</v>
      </c>
      <c r="G220" s="318">
        <f t="shared" si="30"/>
        <v>0</v>
      </c>
    </row>
    <row r="221" spans="1:7" x14ac:dyDescent="0.3">
      <c r="A221" s="37"/>
      <c r="B221" s="56"/>
      <c r="C221" s="56"/>
      <c r="D221" s="56"/>
      <c r="E221" s="56"/>
      <c r="F221" s="56"/>
      <c r="G221" s="56"/>
    </row>
    <row r="222" spans="1:7" ht="17.399999999999999" x14ac:dyDescent="0.3">
      <c r="A222" s="39" t="s">
        <v>91</v>
      </c>
      <c r="B222" s="319">
        <f t="shared" ref="B222:G222" si="31">B220+B210</f>
        <v>0</v>
      </c>
      <c r="C222" s="319">
        <f t="shared" si="31"/>
        <v>0</v>
      </c>
      <c r="D222" s="319">
        <f t="shared" si="31"/>
        <v>0</v>
      </c>
      <c r="E222" s="319">
        <f t="shared" si="31"/>
        <v>0</v>
      </c>
      <c r="F222" s="319">
        <f t="shared" si="31"/>
        <v>0</v>
      </c>
      <c r="G222" s="319">
        <f t="shared" si="31"/>
        <v>0</v>
      </c>
    </row>
    <row r="223" spans="1:7" ht="17.399999999999999" x14ac:dyDescent="0.35">
      <c r="A223" s="57"/>
      <c r="B223" s="58"/>
      <c r="C223" s="58"/>
      <c r="D223" s="58"/>
      <c r="E223" s="58"/>
      <c r="F223" s="58"/>
      <c r="G223" s="58"/>
    </row>
    <row r="224" spans="1:7" ht="17.399999999999999" x14ac:dyDescent="0.35">
      <c r="A224" s="57"/>
      <c r="B224" s="58"/>
      <c r="C224" s="58"/>
      <c r="D224" s="58"/>
      <c r="E224" s="58"/>
      <c r="F224" s="58"/>
      <c r="G224" s="58"/>
    </row>
    <row r="226" spans="1:9" ht="18" x14ac:dyDescent="0.35">
      <c r="A226" s="14" t="s">
        <v>130</v>
      </c>
    </row>
    <row r="228" spans="1:9" ht="18" customHeight="1" x14ac:dyDescent="0.3">
      <c r="A228" s="438" t="s">
        <v>81</v>
      </c>
      <c r="B228" s="16"/>
      <c r="C228" s="16"/>
      <c r="D228" s="16"/>
      <c r="E228" s="16"/>
      <c r="F228" s="16"/>
      <c r="G228" s="41"/>
    </row>
    <row r="229" spans="1:9" ht="24.9" customHeight="1" x14ac:dyDescent="0.3">
      <c r="A229" s="367" t="s">
        <v>82</v>
      </c>
      <c r="B229" s="322" t="s">
        <v>96</v>
      </c>
      <c r="C229" s="322" t="s">
        <v>101</v>
      </c>
      <c r="D229" s="322" t="s">
        <v>105</v>
      </c>
      <c r="E229" s="322" t="s">
        <v>106</v>
      </c>
      <c r="F229" s="322" t="s">
        <v>90</v>
      </c>
      <c r="G229" s="359" t="s">
        <v>91</v>
      </c>
    </row>
    <row r="230" spans="1:9" x14ac:dyDescent="0.3">
      <c r="A230" s="21">
        <f>DATE(INT(LEFT($B$3,4)),4,1)</f>
        <v>45748</v>
      </c>
      <c r="B230" s="277">
        <v>0</v>
      </c>
      <c r="C230" s="277">
        <v>0</v>
      </c>
      <c r="D230" s="277">
        <v>0</v>
      </c>
      <c r="E230" s="277">
        <v>0</v>
      </c>
      <c r="F230" s="277">
        <v>0</v>
      </c>
      <c r="G230" s="277">
        <f t="shared" ref="G230:G241" si="32">SUM(B230:F230)</f>
        <v>0</v>
      </c>
      <c r="I230" s="447">
        <f t="shared" ref="I230:I241" si="33">G230-H230</f>
        <v>0</v>
      </c>
    </row>
    <row r="231" spans="1:9" x14ac:dyDescent="0.3">
      <c r="A231" s="21">
        <f>DATE(INT(LEFT($B$3,4)),5,1)</f>
        <v>45778</v>
      </c>
      <c r="B231" s="277">
        <v>0</v>
      </c>
      <c r="C231" s="277">
        <v>0</v>
      </c>
      <c r="D231" s="277">
        <v>0</v>
      </c>
      <c r="E231" s="277">
        <v>0</v>
      </c>
      <c r="F231" s="277">
        <v>0</v>
      </c>
      <c r="G231" s="277">
        <f t="shared" si="32"/>
        <v>0</v>
      </c>
      <c r="I231" s="447">
        <f t="shared" si="33"/>
        <v>0</v>
      </c>
    </row>
    <row r="232" spans="1:9" x14ac:dyDescent="0.3">
      <c r="A232" s="21">
        <f>DATE(INT(LEFT($B$3,4)),6,1)</f>
        <v>45809</v>
      </c>
      <c r="B232" s="277">
        <v>0</v>
      </c>
      <c r="C232" s="277">
        <v>0</v>
      </c>
      <c r="D232" s="277">
        <v>0</v>
      </c>
      <c r="E232" s="277">
        <v>0</v>
      </c>
      <c r="F232" s="277">
        <v>0</v>
      </c>
      <c r="G232" s="277">
        <f t="shared" si="32"/>
        <v>0</v>
      </c>
      <c r="I232" s="447">
        <f t="shared" si="33"/>
        <v>0</v>
      </c>
    </row>
    <row r="233" spans="1:9" x14ac:dyDescent="0.3">
      <c r="A233" s="21">
        <f>DATE(INT(LEFT($B$3,4)),7,1)</f>
        <v>45839</v>
      </c>
      <c r="B233" s="51">
        <v>0</v>
      </c>
      <c r="C233" s="51">
        <v>0</v>
      </c>
      <c r="D233" s="51">
        <v>0</v>
      </c>
      <c r="E233" s="51">
        <v>0</v>
      </c>
      <c r="F233" s="51">
        <v>0</v>
      </c>
      <c r="G233" s="51">
        <f t="shared" si="32"/>
        <v>0</v>
      </c>
      <c r="I233" s="447">
        <f t="shared" si="33"/>
        <v>0</v>
      </c>
    </row>
    <row r="234" spans="1:9" x14ac:dyDescent="0.3">
      <c r="A234" s="21">
        <f>DATE(INT(LEFT($B$3,4)),8,1)</f>
        <v>45870</v>
      </c>
      <c r="B234" s="51">
        <v>0</v>
      </c>
      <c r="C234" s="51">
        <v>0</v>
      </c>
      <c r="D234" s="51">
        <v>0</v>
      </c>
      <c r="E234" s="51">
        <v>0</v>
      </c>
      <c r="F234" s="51">
        <v>0</v>
      </c>
      <c r="G234" s="51">
        <f t="shared" si="32"/>
        <v>0</v>
      </c>
      <c r="I234" s="447">
        <f t="shared" si="33"/>
        <v>0</v>
      </c>
    </row>
    <row r="235" spans="1:9" x14ac:dyDescent="0.3">
      <c r="A235" s="21">
        <f>DATE(INT(LEFT($B$3,4)),9,1)</f>
        <v>45901</v>
      </c>
      <c r="B235" s="51">
        <v>0</v>
      </c>
      <c r="C235" s="51">
        <v>0</v>
      </c>
      <c r="D235" s="51">
        <v>0</v>
      </c>
      <c r="E235" s="51">
        <v>0</v>
      </c>
      <c r="F235" s="51">
        <v>0</v>
      </c>
      <c r="G235" s="51">
        <f t="shared" si="32"/>
        <v>0</v>
      </c>
      <c r="I235" s="447">
        <f t="shared" si="33"/>
        <v>0</v>
      </c>
    </row>
    <row r="236" spans="1:9" x14ac:dyDescent="0.3">
      <c r="A236" s="21">
        <f>DATE(INT(LEFT($B$3,4)),10,1)</f>
        <v>45931</v>
      </c>
      <c r="B236" s="51">
        <v>0</v>
      </c>
      <c r="C236" s="51">
        <v>0</v>
      </c>
      <c r="D236" s="51">
        <v>0</v>
      </c>
      <c r="E236" s="51">
        <v>0</v>
      </c>
      <c r="F236" s="51">
        <v>0</v>
      </c>
      <c r="G236" s="51">
        <f t="shared" si="32"/>
        <v>0</v>
      </c>
      <c r="I236" s="447">
        <f t="shared" si="33"/>
        <v>0</v>
      </c>
    </row>
    <row r="237" spans="1:9" x14ac:dyDescent="0.3">
      <c r="A237" s="21">
        <f>DATE(INT(LEFT($B$3,4)),11,1)</f>
        <v>45962</v>
      </c>
      <c r="B237" s="51">
        <v>0</v>
      </c>
      <c r="C237" s="51">
        <v>0</v>
      </c>
      <c r="D237" s="51">
        <v>0</v>
      </c>
      <c r="E237" s="51">
        <v>0</v>
      </c>
      <c r="F237" s="51">
        <v>0</v>
      </c>
      <c r="G237" s="51">
        <f t="shared" si="32"/>
        <v>0</v>
      </c>
      <c r="I237" s="447">
        <f t="shared" si="33"/>
        <v>0</v>
      </c>
    </row>
    <row r="238" spans="1:9" x14ac:dyDescent="0.3">
      <c r="A238" s="21">
        <f>DATE(INT(LEFT($B$3,4)),12,1)</f>
        <v>45992</v>
      </c>
      <c r="B238" s="51">
        <v>0</v>
      </c>
      <c r="C238" s="51">
        <v>0</v>
      </c>
      <c r="D238" s="51">
        <v>0</v>
      </c>
      <c r="E238" s="51">
        <v>0</v>
      </c>
      <c r="F238" s="51">
        <v>0</v>
      </c>
      <c r="G238" s="51">
        <f t="shared" si="32"/>
        <v>0</v>
      </c>
      <c r="I238" s="447">
        <f t="shared" si="33"/>
        <v>0</v>
      </c>
    </row>
    <row r="239" spans="1:9" x14ac:dyDescent="0.3">
      <c r="A239" s="21">
        <f>DATE(INT(LEFT($B$3,4))+1,1,1)</f>
        <v>46023</v>
      </c>
      <c r="B239" s="51">
        <v>0</v>
      </c>
      <c r="C239" s="51">
        <v>0</v>
      </c>
      <c r="D239" s="51">
        <v>0</v>
      </c>
      <c r="E239" s="51">
        <v>0</v>
      </c>
      <c r="F239" s="51">
        <v>0</v>
      </c>
      <c r="G239" s="51">
        <f t="shared" si="32"/>
        <v>0</v>
      </c>
      <c r="I239" s="447">
        <f t="shared" si="33"/>
        <v>0</v>
      </c>
    </row>
    <row r="240" spans="1:9" x14ac:dyDescent="0.3">
      <c r="A240" s="21">
        <f>DATE(INT(LEFT($B$3,4))+1,2,1)</f>
        <v>46054</v>
      </c>
      <c r="B240" s="51">
        <v>0</v>
      </c>
      <c r="C240" s="51">
        <v>0</v>
      </c>
      <c r="D240" s="51">
        <v>0</v>
      </c>
      <c r="E240" s="51">
        <v>0</v>
      </c>
      <c r="F240" s="51">
        <v>0</v>
      </c>
      <c r="G240" s="51">
        <f t="shared" si="32"/>
        <v>0</v>
      </c>
      <c r="I240" s="447">
        <f t="shared" si="33"/>
        <v>0</v>
      </c>
    </row>
    <row r="241" spans="1:9" x14ac:dyDescent="0.3">
      <c r="A241" s="21">
        <f>DATE(INT(LEFT($B$3,4))+1,3,1)</f>
        <v>46082</v>
      </c>
      <c r="B241" s="51">
        <v>0</v>
      </c>
      <c r="C241" s="51">
        <v>0</v>
      </c>
      <c r="D241" s="51">
        <v>0</v>
      </c>
      <c r="E241" s="51">
        <v>0</v>
      </c>
      <c r="F241" s="51">
        <v>0</v>
      </c>
      <c r="G241" s="51">
        <f t="shared" si="32"/>
        <v>0</v>
      </c>
      <c r="I241" s="447">
        <f t="shared" si="33"/>
        <v>0</v>
      </c>
    </row>
    <row r="242" spans="1:9" ht="15" thickBot="1" x14ac:dyDescent="0.35">
      <c r="A242" s="30"/>
      <c r="B242" s="55"/>
      <c r="C242" s="55"/>
      <c r="D242" s="55"/>
      <c r="E242" s="55"/>
      <c r="F242" s="55"/>
      <c r="G242" s="55"/>
    </row>
    <row r="243" spans="1:9" ht="16.2" thickTop="1" x14ac:dyDescent="0.3">
      <c r="A243" s="32" t="s">
        <v>92</v>
      </c>
      <c r="B243" s="318">
        <f t="shared" ref="B243:G243" si="34">SUM(B230:B241)</f>
        <v>0</v>
      </c>
      <c r="C243" s="318">
        <f t="shared" si="34"/>
        <v>0</v>
      </c>
      <c r="D243" s="318">
        <f t="shared" si="34"/>
        <v>0</v>
      </c>
      <c r="E243" s="318">
        <f t="shared" si="34"/>
        <v>0</v>
      </c>
      <c r="F243" s="318">
        <f t="shared" si="34"/>
        <v>0</v>
      </c>
      <c r="G243" s="318">
        <f t="shared" si="34"/>
        <v>0</v>
      </c>
    </row>
    <row r="244" spans="1:9" x14ac:dyDescent="0.3">
      <c r="A244" s="34"/>
      <c r="B244" s="35"/>
      <c r="C244" s="35"/>
      <c r="D244" s="35"/>
      <c r="E244" s="35"/>
      <c r="F244" s="35"/>
      <c r="G244" s="35"/>
    </row>
    <row r="245" spans="1:9" ht="28.8" x14ac:dyDescent="0.3">
      <c r="A245" s="43" t="str">
        <f>LEFT($B$3,4)&amp;"-"&amp;RIGHT(INT(LEFT($B$3,4)+1),2)&amp;" Supplies declared in next year"</f>
        <v>2025-26 Supplies declared in next year</v>
      </c>
      <c r="B245" s="36"/>
      <c r="C245" s="36"/>
      <c r="D245" s="36"/>
      <c r="E245" s="36"/>
      <c r="F245" s="36"/>
      <c r="G245" s="36"/>
    </row>
    <row r="246" spans="1:9" x14ac:dyDescent="0.3">
      <c r="A246" s="21">
        <f>DATE(INT(LEFT($B$3,4))+1,4,1)</f>
        <v>46113</v>
      </c>
      <c r="B246" s="51">
        <v>0</v>
      </c>
      <c r="C246" s="51">
        <v>0</v>
      </c>
      <c r="D246" s="51">
        <v>0</v>
      </c>
      <c r="E246" s="51">
        <v>0</v>
      </c>
      <c r="F246" s="51">
        <v>0</v>
      </c>
      <c r="G246" s="52">
        <f t="shared" ref="G246:G251" si="35">SUM(B246:F246)</f>
        <v>0</v>
      </c>
    </row>
    <row r="247" spans="1:9" x14ac:dyDescent="0.3">
      <c r="A247" s="21">
        <f>DATE(INT(LEFT($B$3,4))+1,5,1)</f>
        <v>46143</v>
      </c>
      <c r="B247" s="51">
        <v>0</v>
      </c>
      <c r="C247" s="51">
        <v>0</v>
      </c>
      <c r="D247" s="51">
        <v>0</v>
      </c>
      <c r="E247" s="51">
        <v>0</v>
      </c>
      <c r="F247" s="51">
        <v>0</v>
      </c>
      <c r="G247" s="52">
        <f t="shared" si="35"/>
        <v>0</v>
      </c>
    </row>
    <row r="248" spans="1:9" x14ac:dyDescent="0.3">
      <c r="A248" s="21">
        <f>DATE(INT(LEFT($B$3,4))+1,6,1)</f>
        <v>46174</v>
      </c>
      <c r="B248" s="51">
        <v>0</v>
      </c>
      <c r="C248" s="51">
        <v>0</v>
      </c>
      <c r="D248" s="51">
        <v>0</v>
      </c>
      <c r="E248" s="51">
        <v>0</v>
      </c>
      <c r="F248" s="51">
        <v>0</v>
      </c>
      <c r="G248" s="52">
        <f t="shared" si="35"/>
        <v>0</v>
      </c>
    </row>
    <row r="249" spans="1:9" x14ac:dyDescent="0.3">
      <c r="A249" s="21">
        <f>DATE(INT(LEFT($B$3,4))+1,7,1)</f>
        <v>46204</v>
      </c>
      <c r="B249" s="51">
        <v>0</v>
      </c>
      <c r="C249" s="51">
        <v>0</v>
      </c>
      <c r="D249" s="51">
        <v>0</v>
      </c>
      <c r="E249" s="51">
        <v>0</v>
      </c>
      <c r="F249" s="51">
        <v>0</v>
      </c>
      <c r="G249" s="52">
        <f t="shared" si="35"/>
        <v>0</v>
      </c>
    </row>
    <row r="250" spans="1:9" x14ac:dyDescent="0.3">
      <c r="A250" s="21">
        <f>DATE(INT(LEFT($B$3,4))+1,8,1)</f>
        <v>46235</v>
      </c>
      <c r="B250" s="51">
        <v>0</v>
      </c>
      <c r="C250" s="51">
        <v>0</v>
      </c>
      <c r="D250" s="51">
        <v>0</v>
      </c>
      <c r="E250" s="51">
        <v>0</v>
      </c>
      <c r="F250" s="51">
        <v>0</v>
      </c>
      <c r="G250" s="52">
        <f t="shared" si="35"/>
        <v>0</v>
      </c>
    </row>
    <row r="251" spans="1:9" x14ac:dyDescent="0.3">
      <c r="A251" s="21">
        <f>DATE(INT(LEFT($B$3,4))+1,9,1)</f>
        <v>46266</v>
      </c>
      <c r="B251" s="51">
        <v>0</v>
      </c>
      <c r="C251" s="51">
        <v>0</v>
      </c>
      <c r="D251" s="51">
        <v>0</v>
      </c>
      <c r="E251" s="51">
        <v>0</v>
      </c>
      <c r="F251" s="51">
        <v>0</v>
      </c>
      <c r="G251" s="52">
        <f t="shared" si="35"/>
        <v>0</v>
      </c>
    </row>
    <row r="252" spans="1:9" ht="15" thickBot="1" x14ac:dyDescent="0.35">
      <c r="A252" s="30"/>
      <c r="B252" s="55"/>
      <c r="C252" s="55"/>
      <c r="D252" s="55"/>
      <c r="E252" s="55"/>
      <c r="F252" s="55"/>
      <c r="G252" s="55"/>
    </row>
    <row r="253" spans="1:9" ht="16.2" thickTop="1" x14ac:dyDescent="0.3">
      <c r="A253" s="32" t="s">
        <v>92</v>
      </c>
      <c r="B253" s="318">
        <f t="shared" ref="B253:G253" si="36">SUM(B246:B251)</f>
        <v>0</v>
      </c>
      <c r="C253" s="318">
        <f t="shared" si="36"/>
        <v>0</v>
      </c>
      <c r="D253" s="318">
        <f t="shared" si="36"/>
        <v>0</v>
      </c>
      <c r="E253" s="318">
        <f t="shared" si="36"/>
        <v>0</v>
      </c>
      <c r="F253" s="318">
        <f t="shared" si="36"/>
        <v>0</v>
      </c>
      <c r="G253" s="318">
        <f t="shared" si="36"/>
        <v>0</v>
      </c>
    </row>
    <row r="254" spans="1:9" x14ac:dyDescent="0.3">
      <c r="A254" s="37"/>
      <c r="B254" s="56"/>
      <c r="C254" s="56"/>
      <c r="D254" s="56"/>
      <c r="E254" s="56"/>
      <c r="F254" s="56"/>
      <c r="G254" s="56"/>
    </row>
    <row r="255" spans="1:9" ht="17.399999999999999" x14ac:dyDescent="0.3">
      <c r="A255" s="39" t="s">
        <v>91</v>
      </c>
      <c r="B255" s="319">
        <f t="shared" ref="B255:G255" si="37">B253+B243</f>
        <v>0</v>
      </c>
      <c r="C255" s="319">
        <f t="shared" si="37"/>
        <v>0</v>
      </c>
      <c r="D255" s="319">
        <f t="shared" si="37"/>
        <v>0</v>
      </c>
      <c r="E255" s="319">
        <f t="shared" si="37"/>
        <v>0</v>
      </c>
      <c r="F255" s="319">
        <f t="shared" si="37"/>
        <v>0</v>
      </c>
      <c r="G255" s="319">
        <f t="shared" si="37"/>
        <v>0</v>
      </c>
    </row>
    <row r="259" spans="1:8" ht="18" x14ac:dyDescent="0.35">
      <c r="A259" s="14" t="s">
        <v>131</v>
      </c>
    </row>
    <row r="261" spans="1:8" ht="18" customHeight="1" x14ac:dyDescent="0.3">
      <c r="A261" s="438" t="s">
        <v>81</v>
      </c>
      <c r="B261" s="16"/>
      <c r="C261" s="16"/>
      <c r="D261" s="16"/>
      <c r="E261" s="16"/>
      <c r="F261" s="16"/>
      <c r="G261" s="16"/>
      <c r="H261" s="41"/>
    </row>
    <row r="262" spans="1:8" ht="24.9" customHeight="1" x14ac:dyDescent="0.3">
      <c r="A262" s="367" t="s">
        <v>82</v>
      </c>
      <c r="B262" s="410" t="s">
        <v>132</v>
      </c>
      <c r="C262" s="322" t="s">
        <v>96</v>
      </c>
      <c r="D262" s="322" t="s">
        <v>101</v>
      </c>
      <c r="E262" s="322" t="s">
        <v>105</v>
      </c>
      <c r="F262" s="322" t="s">
        <v>106</v>
      </c>
      <c r="G262" s="322" t="s">
        <v>90</v>
      </c>
      <c r="H262" s="359" t="s">
        <v>91</v>
      </c>
    </row>
    <row r="263" spans="1:8" x14ac:dyDescent="0.3">
      <c r="A263" s="21">
        <f>DATE(INT(LEFT($B$3,4)),4,1)</f>
        <v>45748</v>
      </c>
      <c r="B263" s="279">
        <v>0</v>
      </c>
      <c r="C263" s="277">
        <v>0</v>
      </c>
      <c r="D263" s="277">
        <v>0</v>
      </c>
      <c r="E263" s="277">
        <v>0</v>
      </c>
      <c r="F263" s="277">
        <v>0</v>
      </c>
      <c r="G263" s="277">
        <v>0</v>
      </c>
      <c r="H263" s="277">
        <f t="shared" ref="H263:H274" si="38">SUM(C263:G263)</f>
        <v>0</v>
      </c>
    </row>
    <row r="264" spans="1:8" x14ac:dyDescent="0.3">
      <c r="A264" s="21">
        <f>DATE(INT(LEFT($B$3,4)),5,1)</f>
        <v>45778</v>
      </c>
      <c r="B264" s="279">
        <v>0</v>
      </c>
      <c r="C264" s="277">
        <v>0</v>
      </c>
      <c r="D264" s="277">
        <v>0</v>
      </c>
      <c r="E264" s="277">
        <v>0</v>
      </c>
      <c r="F264" s="277">
        <v>0</v>
      </c>
      <c r="G264" s="277">
        <v>0</v>
      </c>
      <c r="H264" s="277">
        <f t="shared" si="38"/>
        <v>0</v>
      </c>
    </row>
    <row r="265" spans="1:8" x14ac:dyDescent="0.3">
      <c r="A265" s="21">
        <f>DATE(INT(LEFT($B$3,4)),6,1)</f>
        <v>45809</v>
      </c>
      <c r="B265" s="279">
        <v>0</v>
      </c>
      <c r="C265" s="277">
        <v>0</v>
      </c>
      <c r="D265" s="277">
        <v>0</v>
      </c>
      <c r="E265" s="277">
        <v>0</v>
      </c>
      <c r="F265" s="277">
        <v>0</v>
      </c>
      <c r="G265" s="277">
        <v>0</v>
      </c>
      <c r="H265" s="277">
        <f t="shared" si="38"/>
        <v>0</v>
      </c>
    </row>
    <row r="266" spans="1:8" x14ac:dyDescent="0.3">
      <c r="A266" s="21">
        <f>DATE(INT(LEFT($B$3,4)),7,1)</f>
        <v>45839</v>
      </c>
      <c r="B266" s="59">
        <v>0</v>
      </c>
      <c r="C266" s="51">
        <v>0</v>
      </c>
      <c r="D266" s="51">
        <v>0</v>
      </c>
      <c r="E266" s="51">
        <v>0</v>
      </c>
      <c r="F266" s="51">
        <v>0</v>
      </c>
      <c r="G266" s="51">
        <v>0</v>
      </c>
      <c r="H266" s="51">
        <f t="shared" si="38"/>
        <v>0</v>
      </c>
    </row>
    <row r="267" spans="1:8" x14ac:dyDescent="0.3">
      <c r="A267" s="21">
        <f>DATE(INT(LEFT($B$3,4)),8,1)</f>
        <v>45870</v>
      </c>
      <c r="B267" s="59">
        <v>0</v>
      </c>
      <c r="C267" s="51">
        <v>0</v>
      </c>
      <c r="D267" s="51">
        <v>0</v>
      </c>
      <c r="E267" s="51">
        <v>0</v>
      </c>
      <c r="F267" s="51">
        <v>0</v>
      </c>
      <c r="G267" s="51">
        <v>0</v>
      </c>
      <c r="H267" s="51">
        <f t="shared" si="38"/>
        <v>0</v>
      </c>
    </row>
    <row r="268" spans="1:8" x14ac:dyDescent="0.3">
      <c r="A268" s="21">
        <f>DATE(INT(LEFT($B$3,4)),9,1)</f>
        <v>45901</v>
      </c>
      <c r="B268" s="59">
        <v>0</v>
      </c>
      <c r="C268" s="51">
        <v>0</v>
      </c>
      <c r="D268" s="51">
        <v>0</v>
      </c>
      <c r="E268" s="51">
        <v>0</v>
      </c>
      <c r="F268" s="51">
        <v>0</v>
      </c>
      <c r="G268" s="51">
        <v>0</v>
      </c>
      <c r="H268" s="51">
        <f t="shared" si="38"/>
        <v>0</v>
      </c>
    </row>
    <row r="269" spans="1:8" x14ac:dyDescent="0.3">
      <c r="A269" s="21">
        <f>DATE(INT(LEFT($B$3,4)),10,1)</f>
        <v>45931</v>
      </c>
      <c r="B269" s="59">
        <v>0</v>
      </c>
      <c r="C269" s="51">
        <v>0</v>
      </c>
      <c r="D269" s="51">
        <v>0</v>
      </c>
      <c r="E269" s="51">
        <v>0</v>
      </c>
      <c r="F269" s="51">
        <v>0</v>
      </c>
      <c r="G269" s="51">
        <v>0</v>
      </c>
      <c r="H269" s="51">
        <f t="shared" si="38"/>
        <v>0</v>
      </c>
    </row>
    <row r="270" spans="1:8" x14ac:dyDescent="0.3">
      <c r="A270" s="21">
        <f>DATE(INT(LEFT($B$3,4)),11,1)</f>
        <v>45962</v>
      </c>
      <c r="B270" s="59">
        <v>0</v>
      </c>
      <c r="C270" s="51">
        <v>0</v>
      </c>
      <c r="D270" s="51">
        <v>0</v>
      </c>
      <c r="E270" s="51">
        <v>0</v>
      </c>
      <c r="F270" s="51">
        <v>0</v>
      </c>
      <c r="G270" s="51">
        <v>0</v>
      </c>
      <c r="H270" s="51">
        <f t="shared" si="38"/>
        <v>0</v>
      </c>
    </row>
    <row r="271" spans="1:8" x14ac:dyDescent="0.3">
      <c r="A271" s="21">
        <f>DATE(INT(LEFT($B$3,4)),12,1)</f>
        <v>45992</v>
      </c>
      <c r="B271" s="59">
        <v>0</v>
      </c>
      <c r="C271" s="51">
        <v>0</v>
      </c>
      <c r="D271" s="51">
        <v>0</v>
      </c>
      <c r="E271" s="51">
        <v>0</v>
      </c>
      <c r="F271" s="51">
        <v>0</v>
      </c>
      <c r="G271" s="51">
        <v>0</v>
      </c>
      <c r="H271" s="51">
        <f t="shared" si="38"/>
        <v>0</v>
      </c>
    </row>
    <row r="272" spans="1:8" x14ac:dyDescent="0.3">
      <c r="A272" s="21">
        <f>DATE(INT(LEFT($B$3,4))+1,1,1)</f>
        <v>46023</v>
      </c>
      <c r="B272" s="59">
        <v>0</v>
      </c>
      <c r="C272" s="51">
        <v>0</v>
      </c>
      <c r="D272" s="51">
        <v>0</v>
      </c>
      <c r="E272" s="51">
        <v>0</v>
      </c>
      <c r="F272" s="51">
        <v>0</v>
      </c>
      <c r="G272" s="51">
        <v>0</v>
      </c>
      <c r="H272" s="51">
        <f t="shared" si="38"/>
        <v>0</v>
      </c>
    </row>
    <row r="273" spans="1:8" x14ac:dyDescent="0.3">
      <c r="A273" s="21">
        <f>DATE(INT(LEFT($B$3,4))+1,2,1)</f>
        <v>46054</v>
      </c>
      <c r="B273" s="59">
        <v>0</v>
      </c>
      <c r="C273" s="51">
        <v>0</v>
      </c>
      <c r="D273" s="51">
        <v>0</v>
      </c>
      <c r="E273" s="51">
        <v>0</v>
      </c>
      <c r="F273" s="51">
        <v>0</v>
      </c>
      <c r="G273" s="51">
        <v>0</v>
      </c>
      <c r="H273" s="51">
        <f t="shared" si="38"/>
        <v>0</v>
      </c>
    </row>
    <row r="274" spans="1:8" x14ac:dyDescent="0.3">
      <c r="A274" s="21">
        <f>DATE(INT(LEFT($B$3,4))+1,3,1)</f>
        <v>46082</v>
      </c>
      <c r="B274" s="59">
        <v>0</v>
      </c>
      <c r="C274" s="51">
        <v>0</v>
      </c>
      <c r="D274" s="51">
        <v>0</v>
      </c>
      <c r="E274" s="51">
        <v>0</v>
      </c>
      <c r="F274" s="51">
        <v>0</v>
      </c>
      <c r="G274" s="51">
        <v>0</v>
      </c>
      <c r="H274" s="51">
        <f t="shared" si="38"/>
        <v>0</v>
      </c>
    </row>
    <row r="275" spans="1:8" ht="15" thickBot="1" x14ac:dyDescent="0.35">
      <c r="A275" s="30"/>
      <c r="B275" s="60"/>
      <c r="C275" s="55"/>
      <c r="D275" s="55"/>
      <c r="E275" s="55"/>
      <c r="F275" s="55"/>
      <c r="G275" s="55"/>
      <c r="H275" s="55"/>
    </row>
    <row r="276" spans="1:8" ht="16.2" thickTop="1" x14ac:dyDescent="0.3">
      <c r="A276" s="32" t="s">
        <v>92</v>
      </c>
      <c r="B276" s="318">
        <f t="shared" ref="B276:H276" si="39">SUM(B263:B274)</f>
        <v>0</v>
      </c>
      <c r="C276" s="318">
        <f t="shared" si="39"/>
        <v>0</v>
      </c>
      <c r="D276" s="318">
        <f t="shared" si="39"/>
        <v>0</v>
      </c>
      <c r="E276" s="318">
        <f t="shared" si="39"/>
        <v>0</v>
      </c>
      <c r="F276" s="318">
        <f t="shared" si="39"/>
        <v>0</v>
      </c>
      <c r="G276" s="318">
        <f t="shared" si="39"/>
        <v>0</v>
      </c>
      <c r="H276" s="318">
        <f t="shared" si="39"/>
        <v>0</v>
      </c>
    </row>
    <row r="277" spans="1:8" x14ac:dyDescent="0.3">
      <c r="A277" s="34"/>
      <c r="B277" s="61"/>
      <c r="C277" s="35"/>
      <c r="D277" s="35"/>
      <c r="E277" s="35"/>
      <c r="F277" s="35"/>
      <c r="G277" s="35"/>
      <c r="H277" s="35"/>
    </row>
    <row r="278" spans="1:8" ht="28.8" x14ac:dyDescent="0.3">
      <c r="A278" s="43" t="str">
        <f>LEFT($B$3,4)&amp;"-"&amp;RIGHT(INT(LEFT($B$3,4)+1),2)&amp;" Supplies declared in next year"</f>
        <v>2025-26 Supplies declared in next year</v>
      </c>
      <c r="B278" s="36"/>
      <c r="C278" s="36"/>
      <c r="D278" s="36"/>
      <c r="E278" s="36"/>
      <c r="F278" s="36"/>
      <c r="G278" s="36"/>
      <c r="H278" s="36"/>
    </row>
    <row r="279" spans="1:8" x14ac:dyDescent="0.3">
      <c r="A279" s="21">
        <f>DATE(INT(LEFT($B$3,4))+1,4,1)</f>
        <v>46113</v>
      </c>
      <c r="B279" s="51">
        <v>0</v>
      </c>
      <c r="C279" s="51">
        <v>0</v>
      </c>
      <c r="D279" s="51">
        <v>0</v>
      </c>
      <c r="E279" s="51">
        <v>0</v>
      </c>
      <c r="F279" s="51">
        <v>0</v>
      </c>
      <c r="G279" s="51">
        <v>0</v>
      </c>
      <c r="H279" s="52">
        <f t="shared" ref="H279:H284" si="40">SUM(C279:G279)</f>
        <v>0</v>
      </c>
    </row>
    <row r="280" spans="1:8" x14ac:dyDescent="0.3">
      <c r="A280" s="21">
        <f>DATE(INT(LEFT($B$3,4))+1,5,1)</f>
        <v>46143</v>
      </c>
      <c r="B280" s="51">
        <v>0</v>
      </c>
      <c r="C280" s="51">
        <v>0</v>
      </c>
      <c r="D280" s="51">
        <v>0</v>
      </c>
      <c r="E280" s="51">
        <v>0</v>
      </c>
      <c r="F280" s="51">
        <v>0</v>
      </c>
      <c r="G280" s="51">
        <v>0</v>
      </c>
      <c r="H280" s="52">
        <f t="shared" si="40"/>
        <v>0</v>
      </c>
    </row>
    <row r="281" spans="1:8" x14ac:dyDescent="0.3">
      <c r="A281" s="21">
        <f>DATE(INT(LEFT($B$3,4))+1,6,1)</f>
        <v>46174</v>
      </c>
      <c r="B281" s="51">
        <v>0</v>
      </c>
      <c r="C281" s="51">
        <v>0</v>
      </c>
      <c r="D281" s="51">
        <v>0</v>
      </c>
      <c r="E281" s="51">
        <v>0</v>
      </c>
      <c r="F281" s="51">
        <v>0</v>
      </c>
      <c r="G281" s="51">
        <v>0</v>
      </c>
      <c r="H281" s="52">
        <f t="shared" si="40"/>
        <v>0</v>
      </c>
    </row>
    <row r="282" spans="1:8" x14ac:dyDescent="0.3">
      <c r="A282" s="21">
        <f>DATE(INT(LEFT($B$3,4))+1,7,1)</f>
        <v>46204</v>
      </c>
      <c r="B282" s="51">
        <v>0</v>
      </c>
      <c r="C282" s="51">
        <v>0</v>
      </c>
      <c r="D282" s="51">
        <v>0</v>
      </c>
      <c r="E282" s="51">
        <v>0</v>
      </c>
      <c r="F282" s="51">
        <v>0</v>
      </c>
      <c r="G282" s="51">
        <v>0</v>
      </c>
      <c r="H282" s="52">
        <f t="shared" si="40"/>
        <v>0</v>
      </c>
    </row>
    <row r="283" spans="1:8" x14ac:dyDescent="0.3">
      <c r="A283" s="21">
        <f>DATE(INT(LEFT($B$3,4))+1,8,1)</f>
        <v>46235</v>
      </c>
      <c r="B283" s="51">
        <v>0</v>
      </c>
      <c r="C283" s="51">
        <v>0</v>
      </c>
      <c r="D283" s="51">
        <v>0</v>
      </c>
      <c r="E283" s="51">
        <v>0</v>
      </c>
      <c r="F283" s="51">
        <v>0</v>
      </c>
      <c r="G283" s="51">
        <v>0</v>
      </c>
      <c r="H283" s="52">
        <f t="shared" si="40"/>
        <v>0</v>
      </c>
    </row>
    <row r="284" spans="1:8" x14ac:dyDescent="0.3">
      <c r="A284" s="21">
        <f>DATE(INT(LEFT($B$3,4))+1,9,1)</f>
        <v>46266</v>
      </c>
      <c r="B284" s="51">
        <v>0</v>
      </c>
      <c r="C284" s="51">
        <v>0</v>
      </c>
      <c r="D284" s="51">
        <v>0</v>
      </c>
      <c r="E284" s="51">
        <v>0</v>
      </c>
      <c r="F284" s="51">
        <v>0</v>
      </c>
      <c r="G284" s="51">
        <v>0</v>
      </c>
      <c r="H284" s="52">
        <f t="shared" si="40"/>
        <v>0</v>
      </c>
    </row>
    <row r="285" spans="1:8" ht="15" thickBot="1" x14ac:dyDescent="0.35">
      <c r="A285" s="30"/>
      <c r="B285" s="60"/>
      <c r="C285" s="55"/>
      <c r="D285" s="55"/>
      <c r="E285" s="55"/>
      <c r="F285" s="55"/>
      <c r="G285" s="55"/>
      <c r="H285" s="55"/>
    </row>
    <row r="286" spans="1:8" ht="16.2" thickTop="1" x14ac:dyDescent="0.3">
      <c r="A286" s="32" t="s">
        <v>92</v>
      </c>
      <c r="B286" s="318">
        <f t="shared" ref="B286:H286" si="41">SUM(B279:B284)</f>
        <v>0</v>
      </c>
      <c r="C286" s="318">
        <f t="shared" si="41"/>
        <v>0</v>
      </c>
      <c r="D286" s="318">
        <f t="shared" si="41"/>
        <v>0</v>
      </c>
      <c r="E286" s="318">
        <f t="shared" si="41"/>
        <v>0</v>
      </c>
      <c r="F286" s="318">
        <f t="shared" si="41"/>
        <v>0</v>
      </c>
      <c r="G286" s="318">
        <f t="shared" si="41"/>
        <v>0</v>
      </c>
      <c r="H286" s="318">
        <f t="shared" si="41"/>
        <v>0</v>
      </c>
    </row>
    <row r="287" spans="1:8" x14ac:dyDescent="0.3">
      <c r="A287" s="37"/>
      <c r="B287" s="62"/>
      <c r="C287" s="56"/>
      <c r="D287" s="56"/>
      <c r="E287" s="56"/>
      <c r="F287" s="56"/>
      <c r="G287" s="56"/>
      <c r="H287" s="56"/>
    </row>
    <row r="288" spans="1:8" ht="17.399999999999999" x14ac:dyDescent="0.3">
      <c r="A288" s="39" t="s">
        <v>91</v>
      </c>
      <c r="B288" s="319">
        <f t="shared" ref="B288:H288" si="42">B286+B276</f>
        <v>0</v>
      </c>
      <c r="C288" s="319">
        <f t="shared" si="42"/>
        <v>0</v>
      </c>
      <c r="D288" s="319">
        <f t="shared" si="42"/>
        <v>0</v>
      </c>
      <c r="E288" s="319">
        <f t="shared" si="42"/>
        <v>0</v>
      </c>
      <c r="F288" s="319">
        <f t="shared" si="42"/>
        <v>0</v>
      </c>
      <c r="G288" s="319">
        <f t="shared" si="42"/>
        <v>0</v>
      </c>
      <c r="H288" s="319">
        <f t="shared" si="42"/>
        <v>0</v>
      </c>
    </row>
    <row r="289" spans="1:8" x14ac:dyDescent="0.3">
      <c r="B289" s="63"/>
    </row>
    <row r="290" spans="1:8" x14ac:dyDescent="0.3">
      <c r="B290" s="63"/>
    </row>
    <row r="291" spans="1:8" x14ac:dyDescent="0.3">
      <c r="B291" s="63"/>
    </row>
    <row r="292" spans="1:8" ht="18" x14ac:dyDescent="0.35">
      <c r="A292" s="14" t="s">
        <v>133</v>
      </c>
      <c r="B292" s="63"/>
    </row>
    <row r="293" spans="1:8" x14ac:dyDescent="0.3">
      <c r="B293" s="63"/>
    </row>
    <row r="294" spans="1:8" ht="18" customHeight="1" x14ac:dyDescent="0.3">
      <c r="A294" s="437" t="s">
        <v>81</v>
      </c>
      <c r="B294" s="64"/>
      <c r="C294" s="16"/>
      <c r="D294" s="16"/>
      <c r="E294" s="16"/>
      <c r="F294" s="16"/>
      <c r="G294" s="16"/>
      <c r="H294" s="41"/>
    </row>
    <row r="295" spans="1:8" ht="24.9" customHeight="1" x14ac:dyDescent="0.3">
      <c r="A295" s="367" t="s">
        <v>82</v>
      </c>
      <c r="B295" s="410" t="s">
        <v>132</v>
      </c>
      <c r="C295" s="322" t="s">
        <v>96</v>
      </c>
      <c r="D295" s="322" t="s">
        <v>101</v>
      </c>
      <c r="E295" s="322" t="s">
        <v>105</v>
      </c>
      <c r="F295" s="322" t="s">
        <v>106</v>
      </c>
      <c r="G295" s="322" t="s">
        <v>90</v>
      </c>
      <c r="H295" s="359" t="s">
        <v>91</v>
      </c>
    </row>
    <row r="296" spans="1:8" x14ac:dyDescent="0.3">
      <c r="A296" s="21">
        <f>DATE(INT(LEFT($B$3,4)),4,1)</f>
        <v>45748</v>
      </c>
      <c r="B296" s="279">
        <v>0</v>
      </c>
      <c r="C296" s="277">
        <v>0</v>
      </c>
      <c r="D296" s="277">
        <v>0</v>
      </c>
      <c r="E296" s="277">
        <v>0</v>
      </c>
      <c r="F296" s="277">
        <v>0</v>
      </c>
      <c r="G296" s="277">
        <v>0</v>
      </c>
      <c r="H296" s="277">
        <f t="shared" ref="H296:H307" si="43">SUM(C296:G296)</f>
        <v>0</v>
      </c>
    </row>
    <row r="297" spans="1:8" x14ac:dyDescent="0.3">
      <c r="A297" s="21">
        <f>DATE(INT(LEFT($B$3,4)),5,1)</f>
        <v>45778</v>
      </c>
      <c r="B297" s="279">
        <v>0</v>
      </c>
      <c r="C297" s="277">
        <v>0</v>
      </c>
      <c r="D297" s="277">
        <v>0</v>
      </c>
      <c r="E297" s="277">
        <v>0</v>
      </c>
      <c r="F297" s="277">
        <v>0</v>
      </c>
      <c r="G297" s="277">
        <v>0</v>
      </c>
      <c r="H297" s="277">
        <f t="shared" si="43"/>
        <v>0</v>
      </c>
    </row>
    <row r="298" spans="1:8" x14ac:dyDescent="0.3">
      <c r="A298" s="21">
        <f>DATE(INT(LEFT($B$3,4)),6,1)</f>
        <v>45809</v>
      </c>
      <c r="B298" s="279">
        <v>0</v>
      </c>
      <c r="C298" s="277">
        <v>0</v>
      </c>
      <c r="D298" s="277">
        <v>0</v>
      </c>
      <c r="E298" s="277">
        <v>0</v>
      </c>
      <c r="F298" s="277">
        <v>0</v>
      </c>
      <c r="G298" s="277">
        <v>0</v>
      </c>
      <c r="H298" s="277">
        <f t="shared" si="43"/>
        <v>0</v>
      </c>
    </row>
    <row r="299" spans="1:8" x14ac:dyDescent="0.3">
      <c r="A299" s="21">
        <f>DATE(INT(LEFT($B$3,4)),7,1)</f>
        <v>45839</v>
      </c>
      <c r="B299" s="59">
        <v>0</v>
      </c>
      <c r="C299" s="51">
        <v>0</v>
      </c>
      <c r="D299" s="51">
        <v>0</v>
      </c>
      <c r="E299" s="51">
        <v>0</v>
      </c>
      <c r="F299" s="51">
        <v>0</v>
      </c>
      <c r="G299" s="51">
        <v>0</v>
      </c>
      <c r="H299" s="51">
        <f t="shared" si="43"/>
        <v>0</v>
      </c>
    </row>
    <row r="300" spans="1:8" x14ac:dyDescent="0.3">
      <c r="A300" s="21">
        <f>DATE(INT(LEFT($B$3,4)),8,1)</f>
        <v>45870</v>
      </c>
      <c r="B300" s="59">
        <v>0</v>
      </c>
      <c r="C300" s="51">
        <v>0</v>
      </c>
      <c r="D300" s="51">
        <v>0</v>
      </c>
      <c r="E300" s="51">
        <v>0</v>
      </c>
      <c r="F300" s="51">
        <v>0</v>
      </c>
      <c r="G300" s="51">
        <v>0</v>
      </c>
      <c r="H300" s="51">
        <f t="shared" si="43"/>
        <v>0</v>
      </c>
    </row>
    <row r="301" spans="1:8" x14ac:dyDescent="0.3">
      <c r="A301" s="21">
        <f>DATE(INT(LEFT($B$3,4)),9,1)</f>
        <v>45901</v>
      </c>
      <c r="B301" s="59">
        <v>0</v>
      </c>
      <c r="C301" s="51">
        <v>0</v>
      </c>
      <c r="D301" s="51">
        <v>0</v>
      </c>
      <c r="E301" s="51">
        <v>0</v>
      </c>
      <c r="F301" s="51">
        <v>0</v>
      </c>
      <c r="G301" s="51">
        <v>0</v>
      </c>
      <c r="H301" s="51">
        <f t="shared" si="43"/>
        <v>0</v>
      </c>
    </row>
    <row r="302" spans="1:8" x14ac:dyDescent="0.3">
      <c r="A302" s="21">
        <f>DATE(INT(LEFT($B$3,4)),10,1)</f>
        <v>45931</v>
      </c>
      <c r="B302" s="59">
        <v>0</v>
      </c>
      <c r="C302" s="51">
        <v>0</v>
      </c>
      <c r="D302" s="51">
        <v>0</v>
      </c>
      <c r="E302" s="51">
        <v>0</v>
      </c>
      <c r="F302" s="51">
        <v>0</v>
      </c>
      <c r="G302" s="51">
        <v>0</v>
      </c>
      <c r="H302" s="51">
        <f t="shared" si="43"/>
        <v>0</v>
      </c>
    </row>
    <row r="303" spans="1:8" x14ac:dyDescent="0.3">
      <c r="A303" s="21">
        <f>DATE(INT(LEFT($B$3,4)),11,1)</f>
        <v>45962</v>
      </c>
      <c r="B303" s="59">
        <v>0</v>
      </c>
      <c r="C303" s="51">
        <v>0</v>
      </c>
      <c r="D303" s="51">
        <v>0</v>
      </c>
      <c r="E303" s="51">
        <v>0</v>
      </c>
      <c r="F303" s="51">
        <v>0</v>
      </c>
      <c r="G303" s="51">
        <v>0</v>
      </c>
      <c r="H303" s="51">
        <f t="shared" si="43"/>
        <v>0</v>
      </c>
    </row>
    <row r="304" spans="1:8" x14ac:dyDescent="0.3">
      <c r="A304" s="21">
        <f>DATE(INT(LEFT($B$3,4)),12,1)</f>
        <v>45992</v>
      </c>
      <c r="B304" s="59">
        <v>0</v>
      </c>
      <c r="C304" s="51">
        <v>0</v>
      </c>
      <c r="D304" s="51">
        <v>0</v>
      </c>
      <c r="E304" s="51">
        <v>0</v>
      </c>
      <c r="F304" s="51">
        <v>0</v>
      </c>
      <c r="G304" s="51">
        <v>0</v>
      </c>
      <c r="H304" s="51">
        <f t="shared" si="43"/>
        <v>0</v>
      </c>
    </row>
    <row r="305" spans="1:8" x14ac:dyDescent="0.3">
      <c r="A305" s="21">
        <f>DATE(INT(LEFT($B$3,4))+1,1,1)</f>
        <v>46023</v>
      </c>
      <c r="B305" s="59">
        <v>0</v>
      </c>
      <c r="C305" s="51">
        <v>0</v>
      </c>
      <c r="D305" s="51">
        <v>0</v>
      </c>
      <c r="E305" s="51">
        <v>0</v>
      </c>
      <c r="F305" s="51">
        <v>0</v>
      </c>
      <c r="G305" s="51">
        <v>0</v>
      </c>
      <c r="H305" s="51">
        <f t="shared" si="43"/>
        <v>0</v>
      </c>
    </row>
    <row r="306" spans="1:8" x14ac:dyDescent="0.3">
      <c r="A306" s="21">
        <f>DATE(INT(LEFT($B$3,4))+1,2,1)</f>
        <v>46054</v>
      </c>
      <c r="B306" s="59">
        <v>0</v>
      </c>
      <c r="C306" s="51">
        <v>0</v>
      </c>
      <c r="D306" s="51">
        <v>0</v>
      </c>
      <c r="E306" s="51">
        <v>0</v>
      </c>
      <c r="F306" s="51">
        <v>0</v>
      </c>
      <c r="G306" s="51">
        <v>0</v>
      </c>
      <c r="H306" s="51">
        <f t="shared" si="43"/>
        <v>0</v>
      </c>
    </row>
    <row r="307" spans="1:8" x14ac:dyDescent="0.3">
      <c r="A307" s="21">
        <f>DATE(INT(LEFT($B$3,4))+1,3,1)</f>
        <v>46082</v>
      </c>
      <c r="B307" s="59">
        <v>0</v>
      </c>
      <c r="C307" s="51">
        <v>0</v>
      </c>
      <c r="D307" s="51">
        <v>0</v>
      </c>
      <c r="E307" s="51">
        <v>0</v>
      </c>
      <c r="F307" s="51">
        <v>0</v>
      </c>
      <c r="G307" s="51">
        <v>0</v>
      </c>
      <c r="H307" s="51">
        <f t="shared" si="43"/>
        <v>0</v>
      </c>
    </row>
    <row r="308" spans="1:8" ht="15" thickBot="1" x14ac:dyDescent="0.35">
      <c r="A308" s="30"/>
      <c r="B308" s="60"/>
      <c r="C308" s="55"/>
      <c r="D308" s="55"/>
      <c r="E308" s="55"/>
      <c r="F308" s="55"/>
      <c r="G308" s="55"/>
      <c r="H308" s="55"/>
    </row>
    <row r="309" spans="1:8" ht="16.2" thickTop="1" x14ac:dyDescent="0.3">
      <c r="A309" s="32" t="s">
        <v>92</v>
      </c>
      <c r="B309" s="318">
        <f t="shared" ref="B309:H309" si="44">SUM(B296:B307)</f>
        <v>0</v>
      </c>
      <c r="C309" s="318">
        <f t="shared" si="44"/>
        <v>0</v>
      </c>
      <c r="D309" s="318">
        <f t="shared" si="44"/>
        <v>0</v>
      </c>
      <c r="E309" s="318">
        <f t="shared" si="44"/>
        <v>0</v>
      </c>
      <c r="F309" s="318">
        <f t="shared" si="44"/>
        <v>0</v>
      </c>
      <c r="G309" s="318">
        <f t="shared" si="44"/>
        <v>0</v>
      </c>
      <c r="H309" s="318">
        <f t="shared" si="44"/>
        <v>0</v>
      </c>
    </row>
    <row r="310" spans="1:8" x14ac:dyDescent="0.3">
      <c r="A310" s="34"/>
      <c r="B310" s="61"/>
      <c r="C310" s="35"/>
      <c r="D310" s="35"/>
      <c r="E310" s="35"/>
      <c r="F310" s="35"/>
      <c r="G310" s="35"/>
      <c r="H310" s="35"/>
    </row>
    <row r="311" spans="1:8" ht="28.8" x14ac:dyDescent="0.3">
      <c r="A311" s="43" t="str">
        <f>LEFT($B$3,4)&amp;"-"&amp;RIGHT(INT(LEFT($B$3,4)+1),2)&amp;" Supplies declared in next year"</f>
        <v>2025-26 Supplies declared in next year</v>
      </c>
      <c r="B311" s="36"/>
      <c r="C311" s="36"/>
      <c r="D311" s="36"/>
      <c r="E311" s="36"/>
      <c r="F311" s="36"/>
      <c r="G311" s="36"/>
      <c r="H311" s="36"/>
    </row>
    <row r="312" spans="1:8" x14ac:dyDescent="0.3">
      <c r="A312" s="21">
        <f>DATE(INT(LEFT($B$3,4))+1,4,1)</f>
        <v>46113</v>
      </c>
      <c r="B312" s="51">
        <v>0</v>
      </c>
      <c r="C312" s="51">
        <v>0</v>
      </c>
      <c r="D312" s="51">
        <v>0</v>
      </c>
      <c r="E312" s="51">
        <v>0</v>
      </c>
      <c r="F312" s="51">
        <v>0</v>
      </c>
      <c r="G312" s="51">
        <v>0</v>
      </c>
      <c r="H312" s="52">
        <f t="shared" ref="H312:H317" si="45">SUM(C312:G312)</f>
        <v>0</v>
      </c>
    </row>
    <row r="313" spans="1:8" x14ac:dyDescent="0.3">
      <c r="A313" s="21">
        <f>DATE(INT(LEFT($B$3,4))+1,5,1)</f>
        <v>46143</v>
      </c>
      <c r="B313" s="51">
        <v>0</v>
      </c>
      <c r="C313" s="51">
        <v>0</v>
      </c>
      <c r="D313" s="51">
        <v>0</v>
      </c>
      <c r="E313" s="51">
        <v>0</v>
      </c>
      <c r="F313" s="51">
        <v>0</v>
      </c>
      <c r="G313" s="51">
        <v>0</v>
      </c>
      <c r="H313" s="52">
        <f t="shared" si="45"/>
        <v>0</v>
      </c>
    </row>
    <row r="314" spans="1:8" x14ac:dyDescent="0.3">
      <c r="A314" s="21">
        <f>DATE(INT(LEFT($B$3,4))+1,6,1)</f>
        <v>46174</v>
      </c>
      <c r="B314" s="51">
        <v>0</v>
      </c>
      <c r="C314" s="51">
        <v>0</v>
      </c>
      <c r="D314" s="51">
        <v>0</v>
      </c>
      <c r="E314" s="51">
        <v>0</v>
      </c>
      <c r="F314" s="51">
        <v>0</v>
      </c>
      <c r="G314" s="51">
        <v>0</v>
      </c>
      <c r="H314" s="52">
        <f t="shared" si="45"/>
        <v>0</v>
      </c>
    </row>
    <row r="315" spans="1:8" x14ac:dyDescent="0.3">
      <c r="A315" s="21">
        <f>DATE(INT(LEFT($B$3,4))+1,7,1)</f>
        <v>46204</v>
      </c>
      <c r="B315" s="51">
        <v>0</v>
      </c>
      <c r="C315" s="51">
        <v>0</v>
      </c>
      <c r="D315" s="51">
        <v>0</v>
      </c>
      <c r="E315" s="51">
        <v>0</v>
      </c>
      <c r="F315" s="51">
        <v>0</v>
      </c>
      <c r="G315" s="51">
        <v>0</v>
      </c>
      <c r="H315" s="52">
        <f t="shared" si="45"/>
        <v>0</v>
      </c>
    </row>
    <row r="316" spans="1:8" x14ac:dyDescent="0.3">
      <c r="A316" s="21">
        <f>DATE(INT(LEFT($B$3,4))+1,8,1)</f>
        <v>46235</v>
      </c>
      <c r="B316" s="51">
        <v>0</v>
      </c>
      <c r="C316" s="51">
        <v>0</v>
      </c>
      <c r="D316" s="51">
        <v>0</v>
      </c>
      <c r="E316" s="51">
        <v>0</v>
      </c>
      <c r="F316" s="51">
        <v>0</v>
      </c>
      <c r="G316" s="51">
        <v>0</v>
      </c>
      <c r="H316" s="52">
        <f t="shared" si="45"/>
        <v>0</v>
      </c>
    </row>
    <row r="317" spans="1:8" x14ac:dyDescent="0.3">
      <c r="A317" s="21">
        <f>DATE(INT(LEFT($B$3,4))+1,9,1)</f>
        <v>46266</v>
      </c>
      <c r="B317" s="51">
        <v>0</v>
      </c>
      <c r="C317" s="51">
        <v>0</v>
      </c>
      <c r="D317" s="51">
        <v>0</v>
      </c>
      <c r="E317" s="51">
        <v>0</v>
      </c>
      <c r="F317" s="51">
        <v>0</v>
      </c>
      <c r="G317" s="51">
        <v>0</v>
      </c>
      <c r="H317" s="52">
        <f t="shared" si="45"/>
        <v>0</v>
      </c>
    </row>
    <row r="318" spans="1:8" ht="15" thickBot="1" x14ac:dyDescent="0.35">
      <c r="A318" s="30"/>
      <c r="B318" s="60"/>
      <c r="C318" s="55"/>
      <c r="D318" s="55"/>
      <c r="E318" s="55"/>
      <c r="F318" s="55"/>
      <c r="G318" s="55"/>
      <c r="H318" s="55"/>
    </row>
    <row r="319" spans="1:8" ht="16.2" thickTop="1" x14ac:dyDescent="0.3">
      <c r="A319" s="32" t="s">
        <v>92</v>
      </c>
      <c r="B319" s="318">
        <f t="shared" ref="B319:H319" si="46">SUM(B312:B317)</f>
        <v>0</v>
      </c>
      <c r="C319" s="318">
        <f t="shared" si="46"/>
        <v>0</v>
      </c>
      <c r="D319" s="318">
        <f t="shared" si="46"/>
        <v>0</v>
      </c>
      <c r="E319" s="318">
        <f t="shared" si="46"/>
        <v>0</v>
      </c>
      <c r="F319" s="318">
        <f t="shared" si="46"/>
        <v>0</v>
      </c>
      <c r="G319" s="318">
        <f t="shared" si="46"/>
        <v>0</v>
      </c>
      <c r="H319" s="318">
        <f t="shared" si="46"/>
        <v>0</v>
      </c>
    </row>
    <row r="320" spans="1:8" x14ac:dyDescent="0.3">
      <c r="A320" s="37"/>
      <c r="B320" s="62"/>
      <c r="C320" s="53"/>
      <c r="D320" s="53"/>
      <c r="E320" s="53"/>
      <c r="F320" s="53"/>
      <c r="G320" s="53"/>
      <c r="H320" s="53"/>
    </row>
    <row r="321" spans="1:14" ht="17.399999999999999" x14ac:dyDescent="0.3">
      <c r="A321" s="39" t="s">
        <v>91</v>
      </c>
      <c r="B321" s="319">
        <f t="shared" ref="B321:H321" si="47">B319+B309</f>
        <v>0</v>
      </c>
      <c r="C321" s="319">
        <f t="shared" si="47"/>
        <v>0</v>
      </c>
      <c r="D321" s="319">
        <f t="shared" si="47"/>
        <v>0</v>
      </c>
      <c r="E321" s="319">
        <f t="shared" si="47"/>
        <v>0</v>
      </c>
      <c r="F321" s="319">
        <f t="shared" si="47"/>
        <v>0</v>
      </c>
      <c r="G321" s="319">
        <f t="shared" si="47"/>
        <v>0</v>
      </c>
      <c r="H321" s="319">
        <f t="shared" si="47"/>
        <v>0</v>
      </c>
    </row>
    <row r="325" spans="1:14" ht="18" x14ac:dyDescent="0.35">
      <c r="A325" s="14" t="s">
        <v>134</v>
      </c>
    </row>
    <row r="327" spans="1:14" ht="17.399999999999999" x14ac:dyDescent="0.3">
      <c r="A327" s="438" t="s">
        <v>81</v>
      </c>
      <c r="B327" s="64"/>
      <c r="C327" s="64"/>
      <c r="D327" s="64"/>
      <c r="E327" s="64"/>
      <c r="F327" s="65"/>
      <c r="G327" s="65"/>
      <c r="H327" s="65"/>
      <c r="I327" s="65"/>
      <c r="J327" s="65"/>
      <c r="K327" s="47"/>
    </row>
    <row r="328" spans="1:14" ht="24.9" customHeight="1" x14ac:dyDescent="0.3">
      <c r="A328" s="379" t="s">
        <v>82</v>
      </c>
      <c r="B328" s="379" t="s">
        <v>136</v>
      </c>
      <c r="C328" s="380" t="s">
        <v>137</v>
      </c>
      <c r="D328" s="380" t="s">
        <v>138</v>
      </c>
      <c r="E328" s="381" t="s">
        <v>139</v>
      </c>
      <c r="F328" s="322" t="s">
        <v>140</v>
      </c>
      <c r="G328" s="322" t="s">
        <v>96</v>
      </c>
      <c r="H328" s="322" t="s">
        <v>101</v>
      </c>
      <c r="I328" s="322" t="s">
        <v>105</v>
      </c>
      <c r="J328" s="322" t="s">
        <v>106</v>
      </c>
      <c r="K328" s="359" t="s">
        <v>90</v>
      </c>
      <c r="L328" t="s">
        <v>141</v>
      </c>
      <c r="M328" t="s">
        <v>142</v>
      </c>
      <c r="N328"/>
    </row>
    <row r="329" spans="1:14" x14ac:dyDescent="0.3">
      <c r="A329" s="35"/>
      <c r="B329" s="35"/>
      <c r="C329" s="61"/>
      <c r="D329" s="35"/>
      <c r="E329" s="35"/>
      <c r="F329" s="35"/>
      <c r="G329" s="35"/>
      <c r="H329" s="35"/>
      <c r="I329" s="35"/>
      <c r="J329" s="34"/>
      <c r="K329" s="61"/>
      <c r="L329" s="66"/>
    </row>
    <row r="330" spans="1:14" ht="17.399999999999999" x14ac:dyDescent="0.3">
      <c r="A330" s="67">
        <f>DATE(INT(LEFT($B$3,4)),4,1)</f>
        <v>45748</v>
      </c>
      <c r="B330" s="68"/>
      <c r="C330" s="440">
        <v>3</v>
      </c>
      <c r="D330" s="68"/>
      <c r="E330" s="68"/>
      <c r="F330" s="68"/>
      <c r="G330" s="68"/>
      <c r="H330" s="68"/>
      <c r="I330" s="68"/>
      <c r="J330" s="70"/>
      <c r="K330" s="69"/>
      <c r="L330" s="66"/>
    </row>
    <row r="331" spans="1:14" x14ac:dyDescent="0.3">
      <c r="A331" s="71"/>
      <c r="B331" s="36"/>
      <c r="C331" s="36"/>
      <c r="D331" s="36"/>
      <c r="E331" s="36"/>
      <c r="F331" s="36"/>
      <c r="G331" s="36"/>
      <c r="H331" s="36"/>
      <c r="I331" s="36"/>
      <c r="J331" s="45"/>
      <c r="K331" s="36"/>
      <c r="L331" s="66"/>
    </row>
    <row r="332" spans="1:14" x14ac:dyDescent="0.3">
      <c r="A332" s="46">
        <f>$A$330</f>
        <v>45748</v>
      </c>
      <c r="B332" s="280"/>
      <c r="C332" s="281"/>
      <c r="D332" s="281"/>
      <c r="E332" s="279"/>
      <c r="F332" s="277"/>
      <c r="G332" s="277"/>
      <c r="H332" s="277"/>
      <c r="I332" s="277"/>
      <c r="J332" s="277"/>
      <c r="K332" s="277"/>
      <c r="L332" s="63">
        <f>SUM(G332:K332)-F332</f>
        <v>0</v>
      </c>
      <c r="M332" t="str">
        <f>B332&amp;D332</f>
        <v/>
      </c>
    </row>
    <row r="333" spans="1:14" x14ac:dyDescent="0.3">
      <c r="A333" s="46">
        <f>$A$330</f>
        <v>45748</v>
      </c>
      <c r="B333" s="280"/>
      <c r="C333" s="281"/>
      <c r="D333" s="281"/>
      <c r="E333" s="279"/>
      <c r="F333" s="277"/>
      <c r="G333" s="277"/>
      <c r="H333" s="277"/>
      <c r="I333" s="277"/>
      <c r="J333" s="277"/>
      <c r="K333" s="277"/>
      <c r="L333" s="63">
        <f t="shared" ref="L333" si="48">SUM(G333:K333)-F333</f>
        <v>0</v>
      </c>
      <c r="M333" t="str">
        <f t="shared" ref="M333:M356" si="49">B333&amp;D333</f>
        <v/>
      </c>
    </row>
    <row r="334" spans="1:14" x14ac:dyDescent="0.3">
      <c r="A334" s="46">
        <f>$A$330</f>
        <v>45748</v>
      </c>
      <c r="B334" s="280"/>
      <c r="C334" s="281"/>
      <c r="D334" s="281"/>
      <c r="E334" s="279"/>
      <c r="F334" s="277"/>
      <c r="G334" s="277"/>
      <c r="H334" s="277"/>
      <c r="I334" s="277"/>
      <c r="J334" s="277"/>
      <c r="K334" s="277"/>
      <c r="L334" s="63">
        <f t="shared" ref="L334:L336" si="50">SUM(G334:K334)-F334</f>
        <v>0</v>
      </c>
      <c r="M334" t="str">
        <f t="shared" ref="M334:M336" si="51">B334&amp;D334</f>
        <v/>
      </c>
    </row>
    <row r="335" spans="1:14" x14ac:dyDescent="0.3">
      <c r="A335" s="46">
        <f>$A$330</f>
        <v>45748</v>
      </c>
      <c r="B335" s="280"/>
      <c r="C335" s="281"/>
      <c r="D335" s="281"/>
      <c r="E335" s="279"/>
      <c r="F335" s="277"/>
      <c r="G335" s="277"/>
      <c r="H335" s="277"/>
      <c r="I335" s="277"/>
      <c r="J335" s="277"/>
      <c r="K335" s="277"/>
      <c r="L335" s="63">
        <f t="shared" si="50"/>
        <v>0</v>
      </c>
      <c r="M335" t="str">
        <f t="shared" si="51"/>
        <v/>
      </c>
    </row>
    <row r="336" spans="1:14" x14ac:dyDescent="0.3">
      <c r="A336" s="46">
        <f>$A$330</f>
        <v>45748</v>
      </c>
      <c r="B336" s="280"/>
      <c r="C336" s="281"/>
      <c r="D336" s="281"/>
      <c r="E336" s="279"/>
      <c r="F336" s="277"/>
      <c r="G336" s="277"/>
      <c r="H336" s="277"/>
      <c r="I336" s="277"/>
      <c r="J336" s="277"/>
      <c r="K336" s="277"/>
      <c r="L336" s="63">
        <f t="shared" si="50"/>
        <v>0</v>
      </c>
      <c r="M336" t="str">
        <f t="shared" si="51"/>
        <v/>
      </c>
    </row>
    <row r="337" spans="1:13" ht="15" thickBot="1" x14ac:dyDescent="0.35">
      <c r="A337" s="129"/>
      <c r="B337" s="89"/>
      <c r="C337" s="94"/>
      <c r="D337" s="94"/>
      <c r="E337" s="60"/>
      <c r="F337" s="55"/>
      <c r="G337" s="55"/>
      <c r="H337" s="55"/>
      <c r="I337" s="55"/>
      <c r="J337" s="55"/>
      <c r="K337" s="55"/>
      <c r="M337" t="str">
        <f t="shared" si="49"/>
        <v/>
      </c>
    </row>
    <row r="338" spans="1:13" ht="16.2" thickTop="1" x14ac:dyDescent="0.3">
      <c r="A338" s="439" t="s">
        <v>535</v>
      </c>
      <c r="B338" s="90"/>
      <c r="C338" s="95"/>
      <c r="D338" s="95"/>
      <c r="E338" s="326">
        <f t="shared" ref="E338:K338" si="52">SUM(E332:E337)</f>
        <v>0</v>
      </c>
      <c r="F338" s="326">
        <f t="shared" si="52"/>
        <v>0</v>
      </c>
      <c r="G338" s="326">
        <f t="shared" si="52"/>
        <v>0</v>
      </c>
      <c r="H338" s="326">
        <f t="shared" si="52"/>
        <v>0</v>
      </c>
      <c r="I338" s="326">
        <f t="shared" si="52"/>
        <v>0</v>
      </c>
      <c r="J338" s="326">
        <f t="shared" si="52"/>
        <v>0</v>
      </c>
      <c r="K338" s="326">
        <f t="shared" si="52"/>
        <v>0</v>
      </c>
      <c r="M338" t="str">
        <f t="shared" si="49"/>
        <v/>
      </c>
    </row>
    <row r="339" spans="1:13" x14ac:dyDescent="0.3">
      <c r="A339" s="35"/>
      <c r="B339" s="91"/>
      <c r="C339" s="96"/>
      <c r="D339" s="97"/>
      <c r="E339" s="35"/>
      <c r="F339" s="35"/>
      <c r="G339" s="35"/>
      <c r="H339" s="35"/>
      <c r="I339" s="35"/>
      <c r="J339" s="34"/>
      <c r="K339" s="61"/>
      <c r="M339" t="str">
        <f t="shared" si="49"/>
        <v/>
      </c>
    </row>
    <row r="340" spans="1:13" ht="17.399999999999999" x14ac:dyDescent="0.3">
      <c r="A340" s="67">
        <f>DATE(INT(LEFT($B$3,4)),5,1)</f>
        <v>45778</v>
      </c>
      <c r="B340" s="92"/>
      <c r="C340" s="441"/>
      <c r="D340" s="98"/>
      <c r="E340" s="68"/>
      <c r="F340" s="68"/>
      <c r="G340" s="68"/>
      <c r="H340" s="68"/>
      <c r="I340" s="68"/>
      <c r="J340" s="70"/>
      <c r="K340" s="69"/>
      <c r="M340" t="str">
        <f t="shared" si="49"/>
        <v/>
      </c>
    </row>
    <row r="341" spans="1:13" x14ac:dyDescent="0.3">
      <c r="A341" s="36"/>
      <c r="B341" s="93"/>
      <c r="C341" s="99"/>
      <c r="D341" s="99"/>
      <c r="E341" s="36"/>
      <c r="F341" s="36"/>
      <c r="G341" s="36"/>
      <c r="H341" s="36"/>
      <c r="I341" s="36"/>
      <c r="J341" s="45"/>
      <c r="K341" s="36"/>
      <c r="M341" t="str">
        <f t="shared" si="49"/>
        <v/>
      </c>
    </row>
    <row r="342" spans="1:13" x14ac:dyDescent="0.3">
      <c r="A342" s="46">
        <f>$A$340</f>
        <v>45778</v>
      </c>
      <c r="B342" s="280"/>
      <c r="C342" s="281"/>
      <c r="D342" s="281"/>
      <c r="E342" s="279"/>
      <c r="F342" s="277"/>
      <c r="G342" s="277"/>
      <c r="H342" s="277"/>
      <c r="I342" s="277"/>
      <c r="J342" s="277"/>
      <c r="K342" s="277"/>
      <c r="L342" s="63">
        <f t="shared" ref="L342:L346" si="53">SUM(G342:K342)-F342</f>
        <v>0</v>
      </c>
      <c r="M342" t="str">
        <f t="shared" si="49"/>
        <v/>
      </c>
    </row>
    <row r="343" spans="1:13" x14ac:dyDescent="0.3">
      <c r="A343" s="46">
        <f t="shared" ref="A343:A346" si="54">$A$340</f>
        <v>45778</v>
      </c>
      <c r="B343" s="280"/>
      <c r="C343" s="281"/>
      <c r="D343" s="281"/>
      <c r="E343" s="279"/>
      <c r="F343" s="277"/>
      <c r="G343" s="277"/>
      <c r="H343" s="277"/>
      <c r="I343" s="277"/>
      <c r="J343" s="277"/>
      <c r="K343" s="277"/>
      <c r="L343" s="63">
        <f t="shared" si="53"/>
        <v>0</v>
      </c>
      <c r="M343" t="str">
        <f t="shared" si="49"/>
        <v/>
      </c>
    </row>
    <row r="344" spans="1:13" x14ac:dyDescent="0.3">
      <c r="A344" s="46">
        <f t="shared" si="54"/>
        <v>45778</v>
      </c>
      <c r="B344" s="280"/>
      <c r="C344" s="281"/>
      <c r="D344" s="281"/>
      <c r="E344" s="279"/>
      <c r="F344" s="277"/>
      <c r="G344" s="277"/>
      <c r="H344" s="277"/>
      <c r="I344" s="277"/>
      <c r="J344" s="277"/>
      <c r="K344" s="277"/>
      <c r="L344" s="63">
        <f t="shared" si="53"/>
        <v>0</v>
      </c>
      <c r="M344" t="str">
        <f t="shared" si="49"/>
        <v/>
      </c>
    </row>
    <row r="345" spans="1:13" x14ac:dyDescent="0.3">
      <c r="A345" s="46">
        <f t="shared" si="54"/>
        <v>45778</v>
      </c>
      <c r="B345" s="280"/>
      <c r="C345" s="281"/>
      <c r="D345" s="281"/>
      <c r="E345" s="279"/>
      <c r="F345" s="277"/>
      <c r="G345" s="277"/>
      <c r="H345" s="277"/>
      <c r="I345" s="277"/>
      <c r="J345" s="277"/>
      <c r="K345" s="277"/>
      <c r="L345" s="63">
        <f t="shared" si="53"/>
        <v>0</v>
      </c>
      <c r="M345" t="str">
        <f t="shared" si="49"/>
        <v/>
      </c>
    </row>
    <row r="346" spans="1:13" x14ac:dyDescent="0.3">
      <c r="A346" s="46">
        <f t="shared" si="54"/>
        <v>45778</v>
      </c>
      <c r="B346" s="280"/>
      <c r="C346" s="281"/>
      <c r="D346" s="281"/>
      <c r="E346" s="279"/>
      <c r="F346" s="277"/>
      <c r="G346" s="277"/>
      <c r="H346" s="277"/>
      <c r="I346" s="277"/>
      <c r="J346" s="277"/>
      <c r="K346" s="277"/>
      <c r="L346" s="63">
        <f t="shared" si="53"/>
        <v>0</v>
      </c>
      <c r="M346" t="str">
        <f t="shared" si="49"/>
        <v/>
      </c>
    </row>
    <row r="347" spans="1:13" ht="15" thickBot="1" x14ac:dyDescent="0.35">
      <c r="A347" s="129"/>
      <c r="B347" s="89"/>
      <c r="C347" s="94"/>
      <c r="D347" s="94"/>
      <c r="E347" s="60"/>
      <c r="F347" s="55"/>
      <c r="G347" s="55"/>
      <c r="H347" s="55"/>
      <c r="I347" s="55"/>
      <c r="J347" s="55"/>
      <c r="K347" s="55"/>
      <c r="M347" t="str">
        <f t="shared" si="49"/>
        <v/>
      </c>
    </row>
    <row r="348" spans="1:13" ht="16.2" thickTop="1" x14ac:dyDescent="0.3">
      <c r="A348" s="439" t="s">
        <v>544</v>
      </c>
      <c r="B348" s="90"/>
      <c r="C348" s="95"/>
      <c r="D348" s="95"/>
      <c r="E348" s="326">
        <f>SUM(E342:E347)</f>
        <v>0</v>
      </c>
      <c r="F348" s="326">
        <f t="shared" ref="F348:K348" si="55">SUM(F342:F347)</f>
        <v>0</v>
      </c>
      <c r="G348" s="326">
        <f t="shared" si="55"/>
        <v>0</v>
      </c>
      <c r="H348" s="326">
        <f t="shared" si="55"/>
        <v>0</v>
      </c>
      <c r="I348" s="326">
        <f t="shared" si="55"/>
        <v>0</v>
      </c>
      <c r="J348" s="326">
        <f t="shared" si="55"/>
        <v>0</v>
      </c>
      <c r="K348" s="326">
        <f t="shared" si="55"/>
        <v>0</v>
      </c>
      <c r="M348" t="str">
        <f t="shared" si="49"/>
        <v/>
      </c>
    </row>
    <row r="349" spans="1:13" x14ac:dyDescent="0.3">
      <c r="A349" s="35"/>
      <c r="B349" s="91"/>
      <c r="C349" s="96"/>
      <c r="D349" s="97"/>
      <c r="E349" s="35"/>
      <c r="F349" s="35"/>
      <c r="G349" s="35"/>
      <c r="H349" s="35"/>
      <c r="I349" s="35"/>
      <c r="J349" s="34"/>
      <c r="K349" s="61"/>
      <c r="M349" t="str">
        <f t="shared" si="49"/>
        <v/>
      </c>
    </row>
    <row r="350" spans="1:13" ht="17.399999999999999" x14ac:dyDescent="0.3">
      <c r="A350" s="67">
        <f>DATE(INT(LEFT($B$3,4)),6,1)</f>
        <v>45809</v>
      </c>
      <c r="B350" s="92"/>
      <c r="C350" s="441"/>
      <c r="D350" s="98"/>
      <c r="E350" s="68"/>
      <c r="F350" s="68"/>
      <c r="G350" s="68"/>
      <c r="H350" s="68"/>
      <c r="I350" s="68"/>
      <c r="J350" s="70"/>
      <c r="K350" s="69"/>
      <c r="M350" t="str">
        <f t="shared" si="49"/>
        <v/>
      </c>
    </row>
    <row r="351" spans="1:13" x14ac:dyDescent="0.3">
      <c r="A351" s="36"/>
      <c r="B351" s="93"/>
      <c r="C351" s="99"/>
      <c r="D351" s="99"/>
      <c r="E351" s="36"/>
      <c r="F351" s="36"/>
      <c r="G351" s="36"/>
      <c r="H351" s="36"/>
      <c r="I351" s="36"/>
      <c r="J351" s="45"/>
      <c r="K351" s="36"/>
      <c r="M351" t="str">
        <f t="shared" si="49"/>
        <v/>
      </c>
    </row>
    <row r="352" spans="1:13" x14ac:dyDescent="0.3">
      <c r="A352" s="46">
        <f>$A$350</f>
        <v>45809</v>
      </c>
      <c r="B352" s="280"/>
      <c r="C352" s="281"/>
      <c r="D352" s="281"/>
      <c r="E352" s="279"/>
      <c r="F352" s="277"/>
      <c r="G352" s="277"/>
      <c r="H352" s="277"/>
      <c r="I352" s="277"/>
      <c r="J352" s="277"/>
      <c r="K352" s="277"/>
      <c r="L352" s="63">
        <f>SUM(G352:K352)-F352</f>
        <v>0</v>
      </c>
      <c r="M352" t="str">
        <f t="shared" si="49"/>
        <v/>
      </c>
    </row>
    <row r="353" spans="1:13" x14ac:dyDescent="0.3">
      <c r="A353" s="46">
        <f t="shared" ref="A353:A356" si="56">$A$350</f>
        <v>45809</v>
      </c>
      <c r="B353" s="280"/>
      <c r="C353" s="281"/>
      <c r="D353" s="281"/>
      <c r="E353" s="279"/>
      <c r="F353" s="277"/>
      <c r="G353" s="277"/>
      <c r="H353" s="277"/>
      <c r="I353" s="277"/>
      <c r="J353" s="277"/>
      <c r="K353" s="277"/>
      <c r="L353" s="63">
        <f t="shared" ref="L353:L356" si="57">SUM(G353:K353)-F353</f>
        <v>0</v>
      </c>
      <c r="M353" t="str">
        <f t="shared" si="49"/>
        <v/>
      </c>
    </row>
    <row r="354" spans="1:13" x14ac:dyDescent="0.3">
      <c r="A354" s="46">
        <f t="shared" si="56"/>
        <v>45809</v>
      </c>
      <c r="B354" s="280"/>
      <c r="C354" s="281"/>
      <c r="D354" s="281"/>
      <c r="E354" s="279"/>
      <c r="F354" s="277"/>
      <c r="G354" s="277"/>
      <c r="H354" s="277"/>
      <c r="I354" s="277"/>
      <c r="J354" s="277"/>
      <c r="K354" s="277"/>
      <c r="L354" s="63">
        <f t="shared" si="57"/>
        <v>0</v>
      </c>
      <c r="M354" t="str">
        <f t="shared" si="49"/>
        <v/>
      </c>
    </row>
    <row r="355" spans="1:13" x14ac:dyDescent="0.3">
      <c r="A355" s="46">
        <f t="shared" si="56"/>
        <v>45809</v>
      </c>
      <c r="B355" s="280"/>
      <c r="C355" s="281"/>
      <c r="D355" s="281"/>
      <c r="E355" s="279"/>
      <c r="F355" s="277"/>
      <c r="G355" s="277"/>
      <c r="H355" s="277"/>
      <c r="I355" s="277"/>
      <c r="J355" s="277"/>
      <c r="K355" s="277"/>
      <c r="L355" s="63">
        <f t="shared" si="57"/>
        <v>0</v>
      </c>
      <c r="M355" t="str">
        <f t="shared" si="49"/>
        <v/>
      </c>
    </row>
    <row r="356" spans="1:13" x14ac:dyDescent="0.3">
      <c r="A356" s="46">
        <f t="shared" si="56"/>
        <v>45809</v>
      </c>
      <c r="B356" s="280"/>
      <c r="C356" s="281"/>
      <c r="D356" s="281"/>
      <c r="E356" s="279"/>
      <c r="F356" s="277"/>
      <c r="G356" s="277"/>
      <c r="H356" s="277"/>
      <c r="I356" s="277"/>
      <c r="J356" s="277"/>
      <c r="K356" s="277"/>
      <c r="L356" s="63">
        <f t="shared" si="57"/>
        <v>0</v>
      </c>
      <c r="M356" t="str">
        <f t="shared" si="49"/>
        <v/>
      </c>
    </row>
    <row r="357" spans="1:13" ht="15" thickBot="1" x14ac:dyDescent="0.35">
      <c r="A357" s="129"/>
      <c r="B357" s="89"/>
      <c r="C357" s="94"/>
      <c r="D357" s="94"/>
      <c r="E357" s="60"/>
      <c r="F357" s="55"/>
      <c r="G357" s="55"/>
      <c r="H357" s="55"/>
      <c r="I357" s="55"/>
      <c r="J357" s="55"/>
      <c r="K357" s="55"/>
      <c r="M357" t="str">
        <f t="shared" ref="M357:M366" si="58">B357&amp;D357</f>
        <v/>
      </c>
    </row>
    <row r="358" spans="1:13" ht="16.2" thickTop="1" x14ac:dyDescent="0.3">
      <c r="A358" s="439" t="s">
        <v>545</v>
      </c>
      <c r="B358" s="90"/>
      <c r="C358" s="95"/>
      <c r="D358" s="95"/>
      <c r="E358" s="326">
        <f t="shared" ref="E358:K358" si="59">SUM(E352:E357)</f>
        <v>0</v>
      </c>
      <c r="F358" s="326">
        <f t="shared" si="59"/>
        <v>0</v>
      </c>
      <c r="G358" s="326">
        <f t="shared" si="59"/>
        <v>0</v>
      </c>
      <c r="H358" s="326">
        <f t="shared" si="59"/>
        <v>0</v>
      </c>
      <c r="I358" s="326">
        <f t="shared" si="59"/>
        <v>0</v>
      </c>
      <c r="J358" s="326">
        <f t="shared" si="59"/>
        <v>0</v>
      </c>
      <c r="K358" s="326">
        <f t="shared" si="59"/>
        <v>0</v>
      </c>
      <c r="M358" t="str">
        <f t="shared" si="58"/>
        <v/>
      </c>
    </row>
    <row r="359" spans="1:13" x14ac:dyDescent="0.3">
      <c r="A359" s="35"/>
      <c r="B359" s="91"/>
      <c r="C359" s="96"/>
      <c r="D359" s="97"/>
      <c r="E359" s="35"/>
      <c r="F359" s="35"/>
      <c r="G359" s="35"/>
      <c r="H359" s="35"/>
      <c r="I359" s="35"/>
      <c r="J359" s="34"/>
      <c r="K359" s="61"/>
      <c r="M359" t="str">
        <f t="shared" si="58"/>
        <v/>
      </c>
    </row>
    <row r="360" spans="1:13" ht="17.399999999999999" x14ac:dyDescent="0.3">
      <c r="A360" s="67">
        <f>DATE(INT(LEFT($B$3,4)),7,1)</f>
        <v>45839</v>
      </c>
      <c r="B360" s="92"/>
      <c r="C360" s="441"/>
      <c r="D360" s="98"/>
      <c r="E360" s="68"/>
      <c r="F360" s="68"/>
      <c r="G360" s="68"/>
      <c r="H360" s="68"/>
      <c r="I360" s="68"/>
      <c r="J360" s="70"/>
      <c r="K360" s="69"/>
      <c r="M360" t="str">
        <f t="shared" si="58"/>
        <v/>
      </c>
    </row>
    <row r="361" spans="1:13" x14ac:dyDescent="0.3">
      <c r="A361" s="36"/>
      <c r="B361" s="93"/>
      <c r="C361" s="99"/>
      <c r="D361" s="99"/>
      <c r="E361" s="36"/>
      <c r="F361" s="36"/>
      <c r="G361" s="36"/>
      <c r="H361" s="36"/>
      <c r="I361" s="36"/>
      <c r="J361" s="45"/>
      <c r="K361" s="36"/>
      <c r="M361" t="str">
        <f t="shared" si="58"/>
        <v/>
      </c>
    </row>
    <row r="362" spans="1:13" x14ac:dyDescent="0.3">
      <c r="A362" s="46">
        <f>$A$360</f>
        <v>45839</v>
      </c>
      <c r="B362" s="280"/>
      <c r="C362" s="281"/>
      <c r="D362" s="281"/>
      <c r="E362" s="59"/>
      <c r="F362" s="273"/>
      <c r="G362" s="273"/>
      <c r="H362" s="51"/>
      <c r="I362" s="51"/>
      <c r="J362" s="51"/>
      <c r="K362" s="51"/>
      <c r="L362" s="63">
        <f>SUM(G362:K362)-F362</f>
        <v>0</v>
      </c>
      <c r="M362" t="str">
        <f t="shared" si="58"/>
        <v/>
      </c>
    </row>
    <row r="363" spans="1:13" x14ac:dyDescent="0.3">
      <c r="A363" s="46">
        <f t="shared" ref="A363:A366" si="60">$A$360</f>
        <v>45839</v>
      </c>
      <c r="B363" s="280"/>
      <c r="C363" s="281"/>
      <c r="D363" s="281"/>
      <c r="E363" s="59"/>
      <c r="F363" s="273"/>
      <c r="G363" s="273"/>
      <c r="H363" s="51"/>
      <c r="I363" s="51"/>
      <c r="J363" s="51"/>
      <c r="K363" s="51"/>
      <c r="L363" s="63">
        <f t="shared" ref="L363:L365" si="61">SUM(G363:K363)-F363</f>
        <v>0</v>
      </c>
      <c r="M363" t="str">
        <f t="shared" si="58"/>
        <v/>
      </c>
    </row>
    <row r="364" spans="1:13" x14ac:dyDescent="0.3">
      <c r="A364" s="46">
        <f t="shared" si="60"/>
        <v>45839</v>
      </c>
      <c r="B364" s="280"/>
      <c r="C364" s="281"/>
      <c r="D364" s="281"/>
      <c r="E364" s="59"/>
      <c r="F364" s="273"/>
      <c r="G364" s="273"/>
      <c r="H364" s="51"/>
      <c r="I364" s="51"/>
      <c r="J364" s="51"/>
      <c r="K364" s="51"/>
      <c r="L364" s="63">
        <f t="shared" si="61"/>
        <v>0</v>
      </c>
      <c r="M364" t="str">
        <f t="shared" si="58"/>
        <v/>
      </c>
    </row>
    <row r="365" spans="1:13" x14ac:dyDescent="0.3">
      <c r="A365" s="46">
        <f t="shared" si="60"/>
        <v>45839</v>
      </c>
      <c r="B365" s="280"/>
      <c r="C365" s="281"/>
      <c r="D365" s="281"/>
      <c r="E365" s="59"/>
      <c r="F365" s="273"/>
      <c r="G365" s="273"/>
      <c r="H365" s="51"/>
      <c r="I365" s="51"/>
      <c r="J365" s="51"/>
      <c r="K365" s="51"/>
      <c r="L365" s="63">
        <f t="shared" si="61"/>
        <v>0</v>
      </c>
      <c r="M365" t="str">
        <f t="shared" si="58"/>
        <v/>
      </c>
    </row>
    <row r="366" spans="1:13" x14ac:dyDescent="0.3">
      <c r="A366" s="46">
        <f t="shared" si="60"/>
        <v>45839</v>
      </c>
      <c r="B366" s="280"/>
      <c r="C366" s="281"/>
      <c r="D366" s="281"/>
      <c r="E366" s="59"/>
      <c r="F366" s="273"/>
      <c r="G366" s="273"/>
      <c r="H366" s="51"/>
      <c r="I366" s="51"/>
      <c r="J366" s="51"/>
      <c r="K366" s="51"/>
      <c r="L366" s="63">
        <f t="shared" ref="L366" si="62">SUM(G366:K366)-F366</f>
        <v>0</v>
      </c>
      <c r="M366" t="str">
        <f t="shared" si="58"/>
        <v/>
      </c>
    </row>
    <row r="367" spans="1:13" ht="15" thickBot="1" x14ac:dyDescent="0.35">
      <c r="A367" s="129"/>
      <c r="B367" s="89"/>
      <c r="C367" s="94"/>
      <c r="D367" s="94"/>
      <c r="E367" s="60"/>
      <c r="F367" s="55"/>
      <c r="G367" s="55"/>
      <c r="H367" s="55"/>
      <c r="I367" s="55"/>
      <c r="J367" s="55"/>
      <c r="K367" s="55"/>
      <c r="M367" t="str">
        <f t="shared" ref="M367:M386" si="63">B367&amp;D367</f>
        <v/>
      </c>
    </row>
    <row r="368" spans="1:13" ht="16.2" thickTop="1" x14ac:dyDescent="0.3">
      <c r="A368" s="439" t="s">
        <v>546</v>
      </c>
      <c r="B368" s="90"/>
      <c r="C368" s="95"/>
      <c r="D368" s="95"/>
      <c r="E368" s="326">
        <f t="shared" ref="E368:K368" si="64">SUM(E362:E367)</f>
        <v>0</v>
      </c>
      <c r="F368" s="326">
        <f t="shared" si="64"/>
        <v>0</v>
      </c>
      <c r="G368" s="326">
        <f t="shared" si="64"/>
        <v>0</v>
      </c>
      <c r="H368" s="326">
        <f t="shared" si="64"/>
        <v>0</v>
      </c>
      <c r="I368" s="326">
        <f t="shared" si="64"/>
        <v>0</v>
      </c>
      <c r="J368" s="326">
        <f t="shared" si="64"/>
        <v>0</v>
      </c>
      <c r="K368" s="326">
        <f t="shared" si="64"/>
        <v>0</v>
      </c>
      <c r="M368" t="str">
        <f t="shared" si="63"/>
        <v/>
      </c>
    </row>
    <row r="369" spans="1:13" x14ac:dyDescent="0.3">
      <c r="A369" s="35"/>
      <c r="B369" s="91"/>
      <c r="C369" s="96"/>
      <c r="D369" s="97"/>
      <c r="E369" s="35"/>
      <c r="F369" s="35"/>
      <c r="G369" s="35"/>
      <c r="H369" s="35"/>
      <c r="I369" s="35"/>
      <c r="J369" s="34"/>
      <c r="K369" s="61"/>
      <c r="M369" t="str">
        <f t="shared" si="63"/>
        <v/>
      </c>
    </row>
    <row r="370" spans="1:13" ht="17.399999999999999" x14ac:dyDescent="0.3">
      <c r="A370" s="67">
        <f>DATE(INT(LEFT($B$3,4)),8,1)</f>
        <v>45870</v>
      </c>
      <c r="B370" s="92"/>
      <c r="C370" s="441"/>
      <c r="D370" s="98"/>
      <c r="E370" s="68"/>
      <c r="F370" s="68"/>
      <c r="G370" s="68"/>
      <c r="H370" s="68"/>
      <c r="I370" s="68"/>
      <c r="J370" s="70"/>
      <c r="K370" s="69"/>
      <c r="M370" t="str">
        <f t="shared" si="63"/>
        <v/>
      </c>
    </row>
    <row r="371" spans="1:13" x14ac:dyDescent="0.3">
      <c r="A371" s="36"/>
      <c r="B371" s="93"/>
      <c r="C371" s="99"/>
      <c r="D371" s="99"/>
      <c r="E371" s="36"/>
      <c r="F371" s="36"/>
      <c r="G371" s="36"/>
      <c r="H371" s="36"/>
      <c r="I371" s="36"/>
      <c r="J371" s="45"/>
      <c r="K371" s="36"/>
      <c r="M371" t="str">
        <f t="shared" si="63"/>
        <v/>
      </c>
    </row>
    <row r="372" spans="1:13" x14ac:dyDescent="0.3">
      <c r="A372" s="46">
        <f>$A$370</f>
        <v>45870</v>
      </c>
      <c r="B372" s="280"/>
      <c r="C372" s="281"/>
      <c r="D372" s="281"/>
      <c r="E372" s="59"/>
      <c r="F372" s="51"/>
      <c r="G372" s="51"/>
      <c r="H372" s="51"/>
      <c r="I372" s="51"/>
      <c r="J372" s="51"/>
      <c r="K372" s="51"/>
      <c r="L372" s="63">
        <f>SUM(G372:K372)-F372</f>
        <v>0</v>
      </c>
      <c r="M372" t="str">
        <f t="shared" si="63"/>
        <v/>
      </c>
    </row>
    <row r="373" spans="1:13" x14ac:dyDescent="0.3">
      <c r="A373" s="46">
        <f t="shared" ref="A373:A376" si="65">$A$370</f>
        <v>45870</v>
      </c>
      <c r="B373" s="280"/>
      <c r="C373" s="281"/>
      <c r="D373" s="281"/>
      <c r="E373" s="59"/>
      <c r="F373" s="51"/>
      <c r="G373" s="51"/>
      <c r="H373" s="51"/>
      <c r="I373" s="51"/>
      <c r="J373" s="51"/>
      <c r="K373" s="51"/>
      <c r="L373" s="63">
        <f t="shared" ref="L373:L376" si="66">SUM(G373:K373)-F373</f>
        <v>0</v>
      </c>
      <c r="M373" t="str">
        <f t="shared" si="63"/>
        <v/>
      </c>
    </row>
    <row r="374" spans="1:13" x14ac:dyDescent="0.3">
      <c r="A374" s="46">
        <f t="shared" si="65"/>
        <v>45870</v>
      </c>
      <c r="B374" s="280"/>
      <c r="C374" s="281"/>
      <c r="D374" s="281"/>
      <c r="E374" s="59"/>
      <c r="F374" s="51"/>
      <c r="G374" s="51"/>
      <c r="H374" s="51"/>
      <c r="I374" s="51"/>
      <c r="J374" s="51"/>
      <c r="K374" s="51"/>
      <c r="L374" s="63">
        <f t="shared" si="66"/>
        <v>0</v>
      </c>
      <c r="M374" t="str">
        <f t="shared" si="63"/>
        <v/>
      </c>
    </row>
    <row r="375" spans="1:13" x14ac:dyDescent="0.3">
      <c r="A375" s="46">
        <f t="shared" si="65"/>
        <v>45870</v>
      </c>
      <c r="B375" s="280"/>
      <c r="C375" s="281"/>
      <c r="D375" s="281"/>
      <c r="E375" s="59"/>
      <c r="F375" s="51"/>
      <c r="G375" s="51"/>
      <c r="H375" s="51"/>
      <c r="I375" s="51"/>
      <c r="J375" s="51"/>
      <c r="K375" s="51"/>
      <c r="L375" s="63">
        <f t="shared" si="66"/>
        <v>0</v>
      </c>
      <c r="M375" t="str">
        <f t="shared" si="63"/>
        <v/>
      </c>
    </row>
    <row r="376" spans="1:13" x14ac:dyDescent="0.3">
      <c r="A376" s="46">
        <f t="shared" si="65"/>
        <v>45870</v>
      </c>
      <c r="B376" s="280"/>
      <c r="C376" s="281"/>
      <c r="D376" s="281"/>
      <c r="E376" s="59"/>
      <c r="F376" s="51"/>
      <c r="G376" s="51"/>
      <c r="H376" s="51"/>
      <c r="I376" s="51"/>
      <c r="J376" s="51"/>
      <c r="K376" s="51"/>
      <c r="L376" s="63">
        <f t="shared" si="66"/>
        <v>0</v>
      </c>
      <c r="M376" t="str">
        <f t="shared" si="63"/>
        <v/>
      </c>
    </row>
    <row r="377" spans="1:13" ht="15" thickBot="1" x14ac:dyDescent="0.35">
      <c r="A377" s="129"/>
      <c r="B377" s="89"/>
      <c r="C377" s="94"/>
      <c r="D377" s="94"/>
      <c r="E377" s="60"/>
      <c r="F377" s="55"/>
      <c r="G377" s="55"/>
      <c r="H377" s="55"/>
      <c r="I377" s="55"/>
      <c r="J377" s="55"/>
      <c r="K377" s="55"/>
      <c r="M377" t="str">
        <f t="shared" si="63"/>
        <v/>
      </c>
    </row>
    <row r="378" spans="1:13" ht="16.2" thickTop="1" x14ac:dyDescent="0.3">
      <c r="A378" s="439" t="s">
        <v>547</v>
      </c>
      <c r="B378" s="90"/>
      <c r="C378" s="95"/>
      <c r="D378" s="95"/>
      <c r="E378" s="326">
        <f t="shared" ref="E378:K378" si="67">SUM(E372:E377)</f>
        <v>0</v>
      </c>
      <c r="F378" s="326">
        <f t="shared" si="67"/>
        <v>0</v>
      </c>
      <c r="G378" s="326">
        <f t="shared" si="67"/>
        <v>0</v>
      </c>
      <c r="H378" s="326">
        <f t="shared" si="67"/>
        <v>0</v>
      </c>
      <c r="I378" s="326">
        <f t="shared" si="67"/>
        <v>0</v>
      </c>
      <c r="J378" s="326">
        <f t="shared" si="67"/>
        <v>0</v>
      </c>
      <c r="K378" s="326">
        <f t="shared" si="67"/>
        <v>0</v>
      </c>
      <c r="M378" t="str">
        <f t="shared" si="63"/>
        <v/>
      </c>
    </row>
    <row r="379" spans="1:13" x14ac:dyDescent="0.3">
      <c r="A379" s="35"/>
      <c r="B379" s="91"/>
      <c r="C379" s="96"/>
      <c r="D379" s="97"/>
      <c r="E379" s="35"/>
      <c r="F379" s="35"/>
      <c r="G379" s="35"/>
      <c r="H379" s="35"/>
      <c r="I379" s="35"/>
      <c r="J379" s="34"/>
      <c r="K379" s="61"/>
      <c r="M379" t="str">
        <f t="shared" si="63"/>
        <v/>
      </c>
    </row>
    <row r="380" spans="1:13" ht="17.399999999999999" x14ac:dyDescent="0.3">
      <c r="A380" s="67">
        <f>DATE(INT(LEFT($B$3,4)),9,1)</f>
        <v>45901</v>
      </c>
      <c r="B380" s="92"/>
      <c r="C380" s="441"/>
      <c r="D380" s="98"/>
      <c r="E380" s="68"/>
      <c r="F380" s="68"/>
      <c r="G380" s="68"/>
      <c r="H380" s="68"/>
      <c r="I380" s="68"/>
      <c r="J380" s="70"/>
      <c r="K380" s="69"/>
      <c r="M380" t="str">
        <f t="shared" si="63"/>
        <v/>
      </c>
    </row>
    <row r="381" spans="1:13" x14ac:dyDescent="0.3">
      <c r="A381" s="36"/>
      <c r="B381" s="93"/>
      <c r="C381" s="99"/>
      <c r="D381" s="99"/>
      <c r="E381" s="36"/>
      <c r="F381" s="36"/>
      <c r="G381" s="36"/>
      <c r="H381" s="36"/>
      <c r="I381" s="36"/>
      <c r="J381" s="45"/>
      <c r="K381" s="36"/>
      <c r="M381" t="str">
        <f t="shared" si="63"/>
        <v/>
      </c>
    </row>
    <row r="382" spans="1:13" x14ac:dyDescent="0.3">
      <c r="A382" s="46">
        <f>$A$380</f>
        <v>45901</v>
      </c>
      <c r="B382" s="280"/>
      <c r="C382" s="281"/>
      <c r="D382" s="281"/>
      <c r="E382" s="59"/>
      <c r="F382" s="51"/>
      <c r="G382" s="273"/>
      <c r="H382" s="51"/>
      <c r="I382" s="51"/>
      <c r="J382" s="51"/>
      <c r="K382" s="51"/>
      <c r="L382" s="63">
        <f>SUM(G382:K382)-F382</f>
        <v>0</v>
      </c>
      <c r="M382" t="str">
        <f t="shared" si="63"/>
        <v/>
      </c>
    </row>
    <row r="383" spans="1:13" x14ac:dyDescent="0.3">
      <c r="A383" s="46">
        <f t="shared" ref="A383:A386" si="68">$A$380</f>
        <v>45901</v>
      </c>
      <c r="B383" s="280"/>
      <c r="C383" s="281"/>
      <c r="D383" s="281"/>
      <c r="E383" s="59"/>
      <c r="F383" s="51"/>
      <c r="G383" s="51"/>
      <c r="H383" s="51"/>
      <c r="I383" s="51"/>
      <c r="J383" s="51"/>
      <c r="K383" s="51"/>
      <c r="L383" s="63">
        <f t="shared" ref="L383:L386" si="69">SUM(G383:K383)-F383</f>
        <v>0</v>
      </c>
      <c r="M383" t="str">
        <f t="shared" si="63"/>
        <v/>
      </c>
    </row>
    <row r="384" spans="1:13" x14ac:dyDescent="0.3">
      <c r="A384" s="46">
        <f t="shared" si="68"/>
        <v>45901</v>
      </c>
      <c r="B384" s="280"/>
      <c r="C384" s="281"/>
      <c r="D384" s="281"/>
      <c r="E384" s="59"/>
      <c r="F384" s="51"/>
      <c r="G384" s="51"/>
      <c r="H384" s="51"/>
      <c r="I384" s="51"/>
      <c r="J384" s="51"/>
      <c r="K384" s="51"/>
      <c r="L384" s="63">
        <f t="shared" si="69"/>
        <v>0</v>
      </c>
      <c r="M384" t="str">
        <f t="shared" si="63"/>
        <v/>
      </c>
    </row>
    <row r="385" spans="1:13" x14ac:dyDescent="0.3">
      <c r="A385" s="46">
        <f t="shared" si="68"/>
        <v>45901</v>
      </c>
      <c r="B385" s="280"/>
      <c r="C385" s="281"/>
      <c r="D385" s="281"/>
      <c r="E385" s="59"/>
      <c r="F385" s="51"/>
      <c r="G385" s="51"/>
      <c r="H385" s="51"/>
      <c r="I385" s="51"/>
      <c r="J385" s="51"/>
      <c r="K385" s="51"/>
      <c r="L385" s="63">
        <f t="shared" si="69"/>
        <v>0</v>
      </c>
      <c r="M385" t="str">
        <f t="shared" si="63"/>
        <v/>
      </c>
    </row>
    <row r="386" spans="1:13" x14ac:dyDescent="0.3">
      <c r="A386" s="46">
        <f t="shared" si="68"/>
        <v>45901</v>
      </c>
      <c r="B386" s="280"/>
      <c r="C386" s="281"/>
      <c r="D386" s="281"/>
      <c r="E386" s="59"/>
      <c r="F386" s="51"/>
      <c r="G386" s="51"/>
      <c r="H386" s="51"/>
      <c r="I386" s="51"/>
      <c r="J386" s="51"/>
      <c r="K386" s="51"/>
      <c r="L386" s="63">
        <f t="shared" si="69"/>
        <v>0</v>
      </c>
      <c r="M386" t="str">
        <f t="shared" si="63"/>
        <v/>
      </c>
    </row>
    <row r="387" spans="1:13" ht="15" thickBot="1" x14ac:dyDescent="0.35">
      <c r="A387" s="129"/>
      <c r="B387" s="89"/>
      <c r="C387" s="94"/>
      <c r="D387" s="94"/>
      <c r="E387" s="60"/>
      <c r="F387" s="55"/>
      <c r="G387" s="55"/>
      <c r="H387" s="55"/>
      <c r="I387" s="55"/>
      <c r="J387" s="55"/>
      <c r="K387" s="55"/>
      <c r="M387" t="str">
        <f t="shared" ref="M387:M396" si="70">B387&amp;D387</f>
        <v/>
      </c>
    </row>
    <row r="388" spans="1:13" ht="16.2" thickTop="1" x14ac:dyDescent="0.3">
      <c r="A388" s="439" t="s">
        <v>548</v>
      </c>
      <c r="B388" s="90"/>
      <c r="C388" s="95"/>
      <c r="D388" s="95"/>
      <c r="E388" s="326">
        <f t="shared" ref="E388:K388" si="71">SUM(E382:E387)</f>
        <v>0</v>
      </c>
      <c r="F388" s="326">
        <f t="shared" si="71"/>
        <v>0</v>
      </c>
      <c r="G388" s="326">
        <f t="shared" si="71"/>
        <v>0</v>
      </c>
      <c r="H388" s="326">
        <f t="shared" si="71"/>
        <v>0</v>
      </c>
      <c r="I388" s="326">
        <f t="shared" si="71"/>
        <v>0</v>
      </c>
      <c r="J388" s="326">
        <f t="shared" si="71"/>
        <v>0</v>
      </c>
      <c r="K388" s="326">
        <f t="shared" si="71"/>
        <v>0</v>
      </c>
      <c r="M388" t="str">
        <f t="shared" si="70"/>
        <v/>
      </c>
    </row>
    <row r="389" spans="1:13" x14ac:dyDescent="0.3">
      <c r="A389" s="35"/>
      <c r="B389" s="91"/>
      <c r="C389" s="96"/>
      <c r="D389" s="97"/>
      <c r="E389" s="35"/>
      <c r="F389" s="35"/>
      <c r="G389" s="35"/>
      <c r="H389" s="35"/>
      <c r="I389" s="35"/>
      <c r="J389" s="34"/>
      <c r="K389" s="61"/>
      <c r="M389" t="str">
        <f t="shared" si="70"/>
        <v/>
      </c>
    </row>
    <row r="390" spans="1:13" ht="17.399999999999999" x14ac:dyDescent="0.3">
      <c r="A390" s="67">
        <f>DATE(INT(LEFT($B$3,4)),10,1)</f>
        <v>45931</v>
      </c>
      <c r="B390" s="92"/>
      <c r="C390" s="441"/>
      <c r="D390" s="98"/>
      <c r="E390" s="68"/>
      <c r="F390" s="68"/>
      <c r="G390" s="68"/>
      <c r="H390" s="68"/>
      <c r="I390" s="68"/>
      <c r="J390" s="70"/>
      <c r="K390" s="69"/>
      <c r="M390" t="str">
        <f t="shared" si="70"/>
        <v/>
      </c>
    </row>
    <row r="391" spans="1:13" x14ac:dyDescent="0.3">
      <c r="A391" s="36"/>
      <c r="B391" s="93"/>
      <c r="C391" s="99"/>
      <c r="D391" s="99"/>
      <c r="E391" s="36"/>
      <c r="F391" s="36"/>
      <c r="G391" s="36"/>
      <c r="H391" s="36"/>
      <c r="I391" s="36"/>
      <c r="J391" s="45"/>
      <c r="K391" s="36"/>
      <c r="M391" t="str">
        <f t="shared" si="70"/>
        <v/>
      </c>
    </row>
    <row r="392" spans="1:13" x14ac:dyDescent="0.3">
      <c r="A392" s="46">
        <f>$A$390</f>
        <v>45931</v>
      </c>
      <c r="B392" s="280"/>
      <c r="C392" s="281"/>
      <c r="D392" s="281"/>
      <c r="E392" s="59"/>
      <c r="F392" s="273"/>
      <c r="G392" s="273"/>
      <c r="H392" s="273"/>
      <c r="I392" s="51"/>
      <c r="J392" s="51"/>
      <c r="K392" s="51"/>
      <c r="L392" s="63">
        <f>SUM(G392:K392)-F392</f>
        <v>0</v>
      </c>
      <c r="M392" t="str">
        <f t="shared" si="70"/>
        <v/>
      </c>
    </row>
    <row r="393" spans="1:13" x14ac:dyDescent="0.3">
      <c r="A393" s="46">
        <f t="shared" ref="A393:A396" si="72">$A$390</f>
        <v>45931</v>
      </c>
      <c r="B393" s="280"/>
      <c r="C393" s="281"/>
      <c r="D393" s="281"/>
      <c r="E393" s="59"/>
      <c r="F393" s="273"/>
      <c r="G393" s="273"/>
      <c r="H393" s="273"/>
      <c r="I393" s="51"/>
      <c r="J393" s="51"/>
      <c r="K393" s="51"/>
      <c r="L393" s="63">
        <f t="shared" ref="L393:L396" si="73">SUM(G393:K393)-F393</f>
        <v>0</v>
      </c>
      <c r="M393" t="str">
        <f t="shared" si="70"/>
        <v/>
      </c>
    </row>
    <row r="394" spans="1:13" x14ac:dyDescent="0.3">
      <c r="A394" s="46">
        <f t="shared" si="72"/>
        <v>45931</v>
      </c>
      <c r="B394" s="280"/>
      <c r="C394" s="281"/>
      <c r="D394" s="281"/>
      <c r="E394" s="59"/>
      <c r="F394" s="273"/>
      <c r="G394" s="273"/>
      <c r="H394" s="273"/>
      <c r="I394" s="51"/>
      <c r="J394" s="51"/>
      <c r="K394" s="51"/>
      <c r="L394" s="63">
        <f t="shared" si="73"/>
        <v>0</v>
      </c>
      <c r="M394" t="str">
        <f t="shared" si="70"/>
        <v/>
      </c>
    </row>
    <row r="395" spans="1:13" x14ac:dyDescent="0.3">
      <c r="A395" s="46">
        <f t="shared" si="72"/>
        <v>45931</v>
      </c>
      <c r="B395" s="280"/>
      <c r="C395" s="281"/>
      <c r="D395" s="281"/>
      <c r="E395" s="59"/>
      <c r="F395" s="273"/>
      <c r="G395" s="273"/>
      <c r="H395" s="273"/>
      <c r="I395" s="51"/>
      <c r="J395" s="51"/>
      <c r="K395" s="51"/>
      <c r="L395" s="63">
        <f t="shared" si="73"/>
        <v>0</v>
      </c>
      <c r="M395" t="str">
        <f t="shared" si="70"/>
        <v/>
      </c>
    </row>
    <row r="396" spans="1:13" x14ac:dyDescent="0.3">
      <c r="A396" s="46">
        <f t="shared" si="72"/>
        <v>45931</v>
      </c>
      <c r="B396" s="280"/>
      <c r="C396" s="281"/>
      <c r="D396" s="281"/>
      <c r="E396" s="59"/>
      <c r="F396" s="273"/>
      <c r="G396" s="273"/>
      <c r="H396" s="273"/>
      <c r="I396" s="51"/>
      <c r="J396" s="51"/>
      <c r="K396" s="51"/>
      <c r="L396" s="63">
        <f t="shared" si="73"/>
        <v>0</v>
      </c>
      <c r="M396" t="str">
        <f t="shared" si="70"/>
        <v/>
      </c>
    </row>
    <row r="397" spans="1:13" ht="15" thickBot="1" x14ac:dyDescent="0.35">
      <c r="A397" s="129"/>
      <c r="B397" s="89"/>
      <c r="C397" s="94"/>
      <c r="D397" s="94"/>
      <c r="E397" s="60"/>
      <c r="F397" s="55"/>
      <c r="G397" s="55"/>
      <c r="H397" s="55"/>
      <c r="I397" s="55"/>
      <c r="J397" s="55"/>
      <c r="K397" s="55"/>
      <c r="M397" t="str">
        <f t="shared" ref="M397:M416" si="74">B397&amp;D397</f>
        <v/>
      </c>
    </row>
    <row r="398" spans="1:13" ht="16.2" thickTop="1" x14ac:dyDescent="0.3">
      <c r="A398" s="439" t="s">
        <v>549</v>
      </c>
      <c r="B398" s="90"/>
      <c r="C398" s="95"/>
      <c r="D398" s="95"/>
      <c r="E398" s="326">
        <f t="shared" ref="E398:K398" si="75">SUM(E392:E397)</f>
        <v>0</v>
      </c>
      <c r="F398" s="326">
        <f t="shared" si="75"/>
        <v>0</v>
      </c>
      <c r="G398" s="326">
        <f t="shared" si="75"/>
        <v>0</v>
      </c>
      <c r="H398" s="326">
        <f t="shared" si="75"/>
        <v>0</v>
      </c>
      <c r="I398" s="326">
        <f t="shared" si="75"/>
        <v>0</v>
      </c>
      <c r="J398" s="326">
        <f t="shared" si="75"/>
        <v>0</v>
      </c>
      <c r="K398" s="326">
        <f t="shared" si="75"/>
        <v>0</v>
      </c>
      <c r="M398" t="str">
        <f t="shared" si="74"/>
        <v/>
      </c>
    </row>
    <row r="399" spans="1:13" x14ac:dyDescent="0.3">
      <c r="A399" s="35"/>
      <c r="B399" s="91"/>
      <c r="C399" s="96"/>
      <c r="D399" s="97"/>
      <c r="E399" s="35"/>
      <c r="F399" s="35"/>
      <c r="G399" s="35"/>
      <c r="H399" s="35"/>
      <c r="I399" s="35"/>
      <c r="J399" s="34"/>
      <c r="K399" s="61"/>
      <c r="M399" t="str">
        <f t="shared" si="74"/>
        <v/>
      </c>
    </row>
    <row r="400" spans="1:13" ht="17.399999999999999" x14ac:dyDescent="0.3">
      <c r="A400" s="67">
        <f>DATE(INT(LEFT($B$3,4)),11,1)</f>
        <v>45962</v>
      </c>
      <c r="B400" s="92"/>
      <c r="C400" s="441"/>
      <c r="D400" s="98"/>
      <c r="E400" s="68"/>
      <c r="F400" s="68"/>
      <c r="G400" s="68"/>
      <c r="H400" s="68"/>
      <c r="I400" s="68"/>
      <c r="J400" s="70"/>
      <c r="K400" s="69"/>
      <c r="M400" t="str">
        <f t="shared" si="74"/>
        <v/>
      </c>
    </row>
    <row r="401" spans="1:13" x14ac:dyDescent="0.3">
      <c r="A401" s="36"/>
      <c r="B401" s="93"/>
      <c r="C401" s="99"/>
      <c r="D401" s="99"/>
      <c r="E401" s="36"/>
      <c r="F401" s="36"/>
      <c r="G401" s="36"/>
      <c r="H401" s="36"/>
      <c r="I401" s="36"/>
      <c r="J401" s="45"/>
      <c r="K401" s="36"/>
      <c r="M401" t="str">
        <f t="shared" si="74"/>
        <v/>
      </c>
    </row>
    <row r="402" spans="1:13" x14ac:dyDescent="0.3">
      <c r="A402" s="46">
        <f>$A$400</f>
        <v>45962</v>
      </c>
      <c r="B402" s="280"/>
      <c r="C402" s="281"/>
      <c r="D402" s="281"/>
      <c r="E402" s="59"/>
      <c r="F402" s="51"/>
      <c r="G402" s="51"/>
      <c r="H402" s="51"/>
      <c r="I402" s="51"/>
      <c r="J402" s="51"/>
      <c r="K402" s="51"/>
      <c r="L402" s="63">
        <f>SUM(G402:K402)-F402</f>
        <v>0</v>
      </c>
      <c r="M402" t="str">
        <f t="shared" si="74"/>
        <v/>
      </c>
    </row>
    <row r="403" spans="1:13" x14ac:dyDescent="0.3">
      <c r="A403" s="46">
        <f t="shared" ref="A403:A406" si="76">$A$400</f>
        <v>45962</v>
      </c>
      <c r="B403" s="280"/>
      <c r="C403" s="281"/>
      <c r="D403" s="281"/>
      <c r="E403" s="59"/>
      <c r="F403" s="51"/>
      <c r="G403" s="51"/>
      <c r="H403" s="51"/>
      <c r="I403" s="51"/>
      <c r="J403" s="51"/>
      <c r="K403" s="51"/>
      <c r="L403" s="63">
        <f t="shared" ref="L403:L406" si="77">SUM(G403:K403)-F403</f>
        <v>0</v>
      </c>
      <c r="M403" t="str">
        <f t="shared" si="74"/>
        <v/>
      </c>
    </row>
    <row r="404" spans="1:13" x14ac:dyDescent="0.3">
      <c r="A404" s="46">
        <f t="shared" si="76"/>
        <v>45962</v>
      </c>
      <c r="B404" s="280"/>
      <c r="C404" s="281"/>
      <c r="D404" s="281"/>
      <c r="E404" s="59"/>
      <c r="F404" s="51"/>
      <c r="G404" s="51"/>
      <c r="H404" s="51"/>
      <c r="I404" s="51"/>
      <c r="J404" s="51"/>
      <c r="K404" s="51"/>
      <c r="L404" s="63">
        <f t="shared" si="77"/>
        <v>0</v>
      </c>
      <c r="M404" t="str">
        <f t="shared" si="74"/>
        <v/>
      </c>
    </row>
    <row r="405" spans="1:13" x14ac:dyDescent="0.3">
      <c r="A405" s="46">
        <f t="shared" si="76"/>
        <v>45962</v>
      </c>
      <c r="B405" s="280"/>
      <c r="C405" s="281"/>
      <c r="D405" s="281"/>
      <c r="E405" s="59"/>
      <c r="F405" s="51"/>
      <c r="G405" s="51"/>
      <c r="H405" s="51"/>
      <c r="I405" s="51"/>
      <c r="J405" s="51"/>
      <c r="K405" s="51"/>
      <c r="L405" s="63">
        <f t="shared" si="77"/>
        <v>0</v>
      </c>
      <c r="M405" t="str">
        <f t="shared" si="74"/>
        <v/>
      </c>
    </row>
    <row r="406" spans="1:13" x14ac:dyDescent="0.3">
      <c r="A406" s="46">
        <f t="shared" si="76"/>
        <v>45962</v>
      </c>
      <c r="B406" s="280"/>
      <c r="C406" s="281"/>
      <c r="D406" s="281"/>
      <c r="E406" s="59"/>
      <c r="F406" s="51"/>
      <c r="G406" s="51"/>
      <c r="H406" s="51"/>
      <c r="I406" s="51"/>
      <c r="J406" s="51"/>
      <c r="K406" s="51"/>
      <c r="L406" s="63">
        <f t="shared" si="77"/>
        <v>0</v>
      </c>
      <c r="M406" t="str">
        <f t="shared" si="74"/>
        <v/>
      </c>
    </row>
    <row r="407" spans="1:13" ht="15" thickBot="1" x14ac:dyDescent="0.35">
      <c r="A407" s="129"/>
      <c r="B407" s="89"/>
      <c r="C407" s="94"/>
      <c r="D407" s="94"/>
      <c r="E407" s="60"/>
      <c r="F407" s="55"/>
      <c r="G407" s="55"/>
      <c r="H407" s="55"/>
      <c r="I407" s="55"/>
      <c r="J407" s="55"/>
      <c r="K407" s="55"/>
      <c r="M407" t="str">
        <f t="shared" si="74"/>
        <v/>
      </c>
    </row>
    <row r="408" spans="1:13" ht="16.2" thickTop="1" x14ac:dyDescent="0.3">
      <c r="A408" s="439" t="s">
        <v>550</v>
      </c>
      <c r="B408" s="90"/>
      <c r="C408" s="95"/>
      <c r="D408" s="95"/>
      <c r="E408" s="326">
        <f t="shared" ref="E408:K408" si="78">SUM(E402:E407)</f>
        <v>0</v>
      </c>
      <c r="F408" s="326">
        <f t="shared" si="78"/>
        <v>0</v>
      </c>
      <c r="G408" s="326">
        <f t="shared" si="78"/>
        <v>0</v>
      </c>
      <c r="H408" s="326">
        <f t="shared" si="78"/>
        <v>0</v>
      </c>
      <c r="I408" s="326">
        <f t="shared" si="78"/>
        <v>0</v>
      </c>
      <c r="J408" s="326">
        <f t="shared" si="78"/>
        <v>0</v>
      </c>
      <c r="K408" s="326">
        <f t="shared" si="78"/>
        <v>0</v>
      </c>
      <c r="M408" t="str">
        <f t="shared" si="74"/>
        <v/>
      </c>
    </row>
    <row r="409" spans="1:13" x14ac:dyDescent="0.3">
      <c r="A409" s="35"/>
      <c r="B409" s="91"/>
      <c r="C409" s="96"/>
      <c r="D409" s="97"/>
      <c r="E409" s="35"/>
      <c r="F409" s="35"/>
      <c r="G409" s="35"/>
      <c r="H409" s="35"/>
      <c r="I409" s="35"/>
      <c r="J409" s="34"/>
      <c r="K409" s="61"/>
      <c r="M409" t="str">
        <f t="shared" si="74"/>
        <v/>
      </c>
    </row>
    <row r="410" spans="1:13" ht="17.399999999999999" x14ac:dyDescent="0.3">
      <c r="A410" s="67">
        <f>DATE(INT(LEFT($B$3,4)),12,1)</f>
        <v>45992</v>
      </c>
      <c r="B410" s="92"/>
      <c r="C410" s="441"/>
      <c r="D410" s="98"/>
      <c r="E410" s="68"/>
      <c r="F410" s="68"/>
      <c r="G410" s="68"/>
      <c r="H410" s="68"/>
      <c r="I410" s="68"/>
      <c r="J410" s="70"/>
      <c r="K410" s="69"/>
      <c r="M410" t="str">
        <f t="shared" si="74"/>
        <v/>
      </c>
    </row>
    <row r="411" spans="1:13" x14ac:dyDescent="0.3">
      <c r="A411" s="36"/>
      <c r="B411" s="93"/>
      <c r="C411" s="99"/>
      <c r="D411" s="99"/>
      <c r="E411" s="36"/>
      <c r="F411" s="36"/>
      <c r="G411" s="36"/>
      <c r="H411" s="36"/>
      <c r="I411" s="36"/>
      <c r="J411" s="45"/>
      <c r="K411" s="36"/>
      <c r="M411" t="str">
        <f t="shared" si="74"/>
        <v/>
      </c>
    </row>
    <row r="412" spans="1:13" x14ac:dyDescent="0.3">
      <c r="A412" s="46">
        <f>$A$410</f>
        <v>45992</v>
      </c>
      <c r="B412" s="280"/>
      <c r="C412" s="281"/>
      <c r="D412" s="281"/>
      <c r="E412" s="59"/>
      <c r="F412" s="51"/>
      <c r="G412" s="51"/>
      <c r="H412" s="51"/>
      <c r="I412" s="51"/>
      <c r="J412" s="51"/>
      <c r="K412" s="51"/>
      <c r="L412" s="63">
        <f>SUM(G412:K412)-F412</f>
        <v>0</v>
      </c>
      <c r="M412" t="str">
        <f t="shared" si="74"/>
        <v/>
      </c>
    </row>
    <row r="413" spans="1:13" x14ac:dyDescent="0.3">
      <c r="A413" s="46">
        <f t="shared" ref="A413:A416" si="79">$A$410</f>
        <v>45992</v>
      </c>
      <c r="B413" s="280"/>
      <c r="C413" s="281"/>
      <c r="D413" s="281"/>
      <c r="E413" s="59"/>
      <c r="F413" s="51"/>
      <c r="G413" s="51"/>
      <c r="H413" s="51"/>
      <c r="I413" s="51"/>
      <c r="J413" s="51"/>
      <c r="K413" s="51"/>
      <c r="L413" s="63">
        <f t="shared" ref="L413:L416" si="80">SUM(G413:K413)-F413</f>
        <v>0</v>
      </c>
      <c r="M413" t="str">
        <f t="shared" si="74"/>
        <v/>
      </c>
    </row>
    <row r="414" spans="1:13" x14ac:dyDescent="0.3">
      <c r="A414" s="46">
        <f t="shared" si="79"/>
        <v>45992</v>
      </c>
      <c r="B414" s="280"/>
      <c r="C414" s="281"/>
      <c r="D414" s="281"/>
      <c r="E414" s="59"/>
      <c r="F414" s="51"/>
      <c r="G414" s="51"/>
      <c r="H414" s="51"/>
      <c r="I414" s="51"/>
      <c r="J414" s="51"/>
      <c r="K414" s="51"/>
      <c r="L414" s="63">
        <f t="shared" si="80"/>
        <v>0</v>
      </c>
      <c r="M414" t="str">
        <f t="shared" si="74"/>
        <v/>
      </c>
    </row>
    <row r="415" spans="1:13" x14ac:dyDescent="0.3">
      <c r="A415" s="46">
        <f t="shared" si="79"/>
        <v>45992</v>
      </c>
      <c r="B415" s="280"/>
      <c r="C415" s="281"/>
      <c r="D415" s="281"/>
      <c r="E415" s="59"/>
      <c r="F415" s="51"/>
      <c r="G415" s="51"/>
      <c r="H415" s="51"/>
      <c r="I415" s="51"/>
      <c r="J415" s="51"/>
      <c r="K415" s="51"/>
      <c r="L415" s="63">
        <f t="shared" si="80"/>
        <v>0</v>
      </c>
      <c r="M415" t="str">
        <f t="shared" si="74"/>
        <v/>
      </c>
    </row>
    <row r="416" spans="1:13" x14ac:dyDescent="0.3">
      <c r="A416" s="46">
        <f t="shared" si="79"/>
        <v>45992</v>
      </c>
      <c r="B416" s="280"/>
      <c r="C416" s="281"/>
      <c r="D416" s="281"/>
      <c r="E416" s="59"/>
      <c r="F416" s="51"/>
      <c r="G416" s="51"/>
      <c r="H416" s="51"/>
      <c r="I416" s="51"/>
      <c r="J416" s="51"/>
      <c r="K416" s="51"/>
      <c r="L416" s="63">
        <f t="shared" si="80"/>
        <v>0</v>
      </c>
      <c r="M416" t="str">
        <f t="shared" si="74"/>
        <v/>
      </c>
    </row>
    <row r="417" spans="1:13" ht="15" thickBot="1" x14ac:dyDescent="0.35">
      <c r="A417" s="129"/>
      <c r="B417" s="89"/>
      <c r="C417" s="94"/>
      <c r="D417" s="94"/>
      <c r="E417" s="60"/>
      <c r="F417" s="55"/>
      <c r="G417" s="55"/>
      <c r="H417" s="55"/>
      <c r="I417" s="55"/>
      <c r="J417" s="55"/>
      <c r="K417" s="55"/>
      <c r="M417" t="str">
        <f t="shared" ref="M417:M426" si="81">B417&amp;D417</f>
        <v/>
      </c>
    </row>
    <row r="418" spans="1:13" ht="16.2" thickTop="1" x14ac:dyDescent="0.3">
      <c r="A418" s="439" t="s">
        <v>551</v>
      </c>
      <c r="B418" s="90"/>
      <c r="C418" s="95"/>
      <c r="D418" s="95"/>
      <c r="E418" s="326">
        <f t="shared" ref="E418:K418" si="82">SUM(E412:E417)</f>
        <v>0</v>
      </c>
      <c r="F418" s="326">
        <f t="shared" si="82"/>
        <v>0</v>
      </c>
      <c r="G418" s="326">
        <f t="shared" si="82"/>
        <v>0</v>
      </c>
      <c r="H418" s="326">
        <f t="shared" si="82"/>
        <v>0</v>
      </c>
      <c r="I418" s="326">
        <f t="shared" si="82"/>
        <v>0</v>
      </c>
      <c r="J418" s="326">
        <f t="shared" si="82"/>
        <v>0</v>
      </c>
      <c r="K418" s="326">
        <f t="shared" si="82"/>
        <v>0</v>
      </c>
      <c r="M418" t="str">
        <f t="shared" si="81"/>
        <v/>
      </c>
    </row>
    <row r="419" spans="1:13" x14ac:dyDescent="0.3">
      <c r="A419" s="35"/>
      <c r="B419" s="91"/>
      <c r="C419" s="96"/>
      <c r="D419" s="97"/>
      <c r="E419" s="35"/>
      <c r="F419" s="35"/>
      <c r="G419" s="35"/>
      <c r="H419" s="35"/>
      <c r="I419" s="35"/>
      <c r="J419" s="34"/>
      <c r="K419" s="61"/>
      <c r="M419" t="str">
        <f t="shared" si="81"/>
        <v/>
      </c>
    </row>
    <row r="420" spans="1:13" ht="17.399999999999999" x14ac:dyDescent="0.3">
      <c r="A420" s="67">
        <f>DATE(INT(LEFT($B$3,4))+1,1,1)</f>
        <v>46023</v>
      </c>
      <c r="B420" s="92"/>
      <c r="C420" s="441"/>
      <c r="D420" s="98"/>
      <c r="E420" s="68"/>
      <c r="F420" s="68"/>
      <c r="G420" s="68"/>
      <c r="H420" s="68"/>
      <c r="I420" s="68"/>
      <c r="J420" s="70"/>
      <c r="K420" s="69"/>
      <c r="M420" t="str">
        <f t="shared" si="81"/>
        <v/>
      </c>
    </row>
    <row r="421" spans="1:13" x14ac:dyDescent="0.3">
      <c r="A421" s="36"/>
      <c r="B421" s="93"/>
      <c r="C421" s="99"/>
      <c r="D421" s="99"/>
      <c r="E421" s="36"/>
      <c r="F421" s="36"/>
      <c r="G421" s="36"/>
      <c r="H421" s="36"/>
      <c r="I421" s="36"/>
      <c r="J421" s="45"/>
      <c r="K421" s="36"/>
      <c r="M421" t="str">
        <f t="shared" si="81"/>
        <v/>
      </c>
    </row>
    <row r="422" spans="1:13" x14ac:dyDescent="0.3">
      <c r="A422" s="46">
        <f>$A$420</f>
        <v>46023</v>
      </c>
      <c r="B422" s="280"/>
      <c r="C422" s="281"/>
      <c r="D422" s="281"/>
      <c r="E422" s="59"/>
      <c r="F422" s="51"/>
      <c r="G422" s="51"/>
      <c r="H422" s="51"/>
      <c r="I422" s="51"/>
      <c r="J422" s="51"/>
      <c r="K422" s="51"/>
      <c r="L422" s="63">
        <f>SUM(G422:K422)-F422</f>
        <v>0</v>
      </c>
      <c r="M422" t="str">
        <f t="shared" si="81"/>
        <v/>
      </c>
    </row>
    <row r="423" spans="1:13" x14ac:dyDescent="0.3">
      <c r="A423" s="46">
        <f t="shared" ref="A423:A426" si="83">$A$420</f>
        <v>46023</v>
      </c>
      <c r="B423" s="280"/>
      <c r="C423" s="281"/>
      <c r="D423" s="281"/>
      <c r="E423" s="59"/>
      <c r="F423" s="51"/>
      <c r="G423" s="51"/>
      <c r="H423" s="51"/>
      <c r="I423" s="51"/>
      <c r="J423" s="51"/>
      <c r="K423" s="51"/>
      <c r="L423" s="63">
        <f t="shared" ref="L423:L426" si="84">SUM(G423:K423)-F423</f>
        <v>0</v>
      </c>
      <c r="M423" t="str">
        <f t="shared" si="81"/>
        <v/>
      </c>
    </row>
    <row r="424" spans="1:13" x14ac:dyDescent="0.3">
      <c r="A424" s="46">
        <f t="shared" si="83"/>
        <v>46023</v>
      </c>
      <c r="B424" s="280"/>
      <c r="C424" s="281"/>
      <c r="D424" s="281"/>
      <c r="E424" s="59"/>
      <c r="F424" s="51"/>
      <c r="G424" s="51"/>
      <c r="H424" s="51"/>
      <c r="I424" s="51"/>
      <c r="J424" s="51"/>
      <c r="K424" s="51"/>
      <c r="L424" s="63">
        <f t="shared" si="84"/>
        <v>0</v>
      </c>
      <c r="M424" t="str">
        <f t="shared" si="81"/>
        <v/>
      </c>
    </row>
    <row r="425" spans="1:13" x14ac:dyDescent="0.3">
      <c r="A425" s="46">
        <f t="shared" si="83"/>
        <v>46023</v>
      </c>
      <c r="B425" s="280"/>
      <c r="C425" s="281"/>
      <c r="D425" s="281"/>
      <c r="E425" s="59"/>
      <c r="F425" s="51"/>
      <c r="G425" s="51"/>
      <c r="H425" s="51"/>
      <c r="I425" s="51"/>
      <c r="J425" s="51"/>
      <c r="K425" s="51"/>
      <c r="L425" s="63">
        <f t="shared" si="84"/>
        <v>0</v>
      </c>
      <c r="M425" t="str">
        <f t="shared" si="81"/>
        <v/>
      </c>
    </row>
    <row r="426" spans="1:13" x14ac:dyDescent="0.3">
      <c r="A426" s="46">
        <f t="shared" si="83"/>
        <v>46023</v>
      </c>
      <c r="B426" s="280"/>
      <c r="C426" s="281"/>
      <c r="D426" s="281"/>
      <c r="E426" s="59"/>
      <c r="F426" s="51"/>
      <c r="G426" s="51"/>
      <c r="H426" s="51"/>
      <c r="I426" s="51"/>
      <c r="J426" s="51"/>
      <c r="K426" s="51"/>
      <c r="L426" s="63">
        <f t="shared" si="84"/>
        <v>0</v>
      </c>
      <c r="M426" t="str">
        <f t="shared" si="81"/>
        <v/>
      </c>
    </row>
    <row r="427" spans="1:13" ht="15" thickBot="1" x14ac:dyDescent="0.35">
      <c r="A427" s="129"/>
      <c r="B427" s="89"/>
      <c r="C427" s="94"/>
      <c r="D427" s="94"/>
      <c r="E427" s="60"/>
      <c r="F427" s="55"/>
      <c r="G427" s="55"/>
      <c r="H427" s="55"/>
      <c r="I427" s="55"/>
      <c r="J427" s="55"/>
      <c r="K427" s="55"/>
      <c r="M427" t="str">
        <f t="shared" ref="M427:M446" si="85">B427&amp;D427</f>
        <v/>
      </c>
    </row>
    <row r="428" spans="1:13" ht="16.2" thickTop="1" x14ac:dyDescent="0.3">
      <c r="A428" s="439" t="s">
        <v>552</v>
      </c>
      <c r="B428" s="90"/>
      <c r="C428" s="95"/>
      <c r="D428" s="95"/>
      <c r="E428" s="326">
        <f t="shared" ref="E428:K428" si="86">SUM(E422:E427)</f>
        <v>0</v>
      </c>
      <c r="F428" s="326">
        <f t="shared" si="86"/>
        <v>0</v>
      </c>
      <c r="G428" s="326">
        <f t="shared" si="86"/>
        <v>0</v>
      </c>
      <c r="H428" s="326">
        <f t="shared" si="86"/>
        <v>0</v>
      </c>
      <c r="I428" s="326">
        <f t="shared" si="86"/>
        <v>0</v>
      </c>
      <c r="J428" s="326">
        <f t="shared" si="86"/>
        <v>0</v>
      </c>
      <c r="K428" s="326">
        <f t="shared" si="86"/>
        <v>0</v>
      </c>
      <c r="M428" t="str">
        <f t="shared" si="85"/>
        <v/>
      </c>
    </row>
    <row r="429" spans="1:13" x14ac:dyDescent="0.3">
      <c r="A429" s="35"/>
      <c r="B429" s="91"/>
      <c r="C429" s="96"/>
      <c r="D429" s="97"/>
      <c r="E429" s="35"/>
      <c r="F429" s="35"/>
      <c r="G429" s="35"/>
      <c r="H429" s="35"/>
      <c r="I429" s="35"/>
      <c r="J429" s="34"/>
      <c r="K429" s="61"/>
      <c r="M429" t="str">
        <f t="shared" si="85"/>
        <v/>
      </c>
    </row>
    <row r="430" spans="1:13" ht="17.399999999999999" x14ac:dyDescent="0.3">
      <c r="A430" s="67">
        <f>DATE(INT(LEFT($B$3,4))+1,2,1)</f>
        <v>46054</v>
      </c>
      <c r="B430" s="92"/>
      <c r="C430" s="441"/>
      <c r="D430" s="98"/>
      <c r="E430" s="68"/>
      <c r="F430" s="68"/>
      <c r="G430" s="68"/>
      <c r="H430" s="68"/>
      <c r="I430" s="68"/>
      <c r="J430" s="70"/>
      <c r="K430" s="69"/>
      <c r="M430" t="str">
        <f t="shared" si="85"/>
        <v/>
      </c>
    </row>
    <row r="431" spans="1:13" x14ac:dyDescent="0.3">
      <c r="A431" s="36"/>
      <c r="B431" s="93"/>
      <c r="C431" s="99"/>
      <c r="D431" s="99"/>
      <c r="E431" s="36"/>
      <c r="F431" s="36"/>
      <c r="G431" s="36"/>
      <c r="H431" s="36"/>
      <c r="I431" s="36"/>
      <c r="J431" s="45"/>
      <c r="K431" s="36"/>
      <c r="M431" t="str">
        <f t="shared" si="85"/>
        <v/>
      </c>
    </row>
    <row r="432" spans="1:13" x14ac:dyDescent="0.3">
      <c r="A432" s="46">
        <f>$A$430</f>
        <v>46054</v>
      </c>
      <c r="B432" s="84"/>
      <c r="C432" s="84"/>
      <c r="D432" s="84"/>
      <c r="E432" s="59"/>
      <c r="F432" s="51"/>
      <c r="G432" s="51"/>
      <c r="H432" s="51"/>
      <c r="I432" s="51"/>
      <c r="J432" s="51"/>
      <c r="K432" s="51"/>
      <c r="L432" s="63">
        <f>SUM(G432:K432)-F432</f>
        <v>0</v>
      </c>
      <c r="M432" t="str">
        <f t="shared" si="85"/>
        <v/>
      </c>
    </row>
    <row r="433" spans="1:13" x14ac:dyDescent="0.3">
      <c r="A433" s="46">
        <f t="shared" ref="A433:A436" si="87">$A$430</f>
        <v>46054</v>
      </c>
      <c r="B433" s="84"/>
      <c r="C433" s="84"/>
      <c r="D433" s="84"/>
      <c r="E433" s="59"/>
      <c r="F433" s="51"/>
      <c r="G433" s="51"/>
      <c r="H433" s="51"/>
      <c r="I433" s="51"/>
      <c r="J433" s="51"/>
      <c r="K433" s="51"/>
      <c r="L433" s="63">
        <f t="shared" ref="L433:L436" si="88">SUM(G433:K433)-F433</f>
        <v>0</v>
      </c>
      <c r="M433" t="str">
        <f t="shared" si="85"/>
        <v/>
      </c>
    </row>
    <row r="434" spans="1:13" x14ac:dyDescent="0.3">
      <c r="A434" s="46">
        <f t="shared" si="87"/>
        <v>46054</v>
      </c>
      <c r="B434" s="84"/>
      <c r="C434" s="84"/>
      <c r="D434" s="84"/>
      <c r="E434" s="59"/>
      <c r="F434" s="51"/>
      <c r="G434" s="51"/>
      <c r="H434" s="51"/>
      <c r="I434" s="51"/>
      <c r="J434" s="51"/>
      <c r="K434" s="51"/>
      <c r="L434" s="63">
        <f t="shared" si="88"/>
        <v>0</v>
      </c>
      <c r="M434" t="str">
        <f t="shared" si="85"/>
        <v/>
      </c>
    </row>
    <row r="435" spans="1:13" x14ac:dyDescent="0.3">
      <c r="A435" s="46">
        <f t="shared" si="87"/>
        <v>46054</v>
      </c>
      <c r="B435" s="84"/>
      <c r="C435" s="84"/>
      <c r="D435" s="84"/>
      <c r="E435" s="59"/>
      <c r="F435" s="51"/>
      <c r="G435" s="51"/>
      <c r="H435" s="51"/>
      <c r="I435" s="51"/>
      <c r="J435" s="51"/>
      <c r="K435" s="51"/>
      <c r="L435" s="63">
        <f t="shared" si="88"/>
        <v>0</v>
      </c>
      <c r="M435" t="str">
        <f t="shared" si="85"/>
        <v/>
      </c>
    </row>
    <row r="436" spans="1:13" x14ac:dyDescent="0.3">
      <c r="A436" s="46">
        <f t="shared" si="87"/>
        <v>46054</v>
      </c>
      <c r="B436" s="84"/>
      <c r="C436" s="84"/>
      <c r="D436" s="84"/>
      <c r="E436" s="59"/>
      <c r="F436" s="51"/>
      <c r="G436" s="51"/>
      <c r="H436" s="51"/>
      <c r="I436" s="51"/>
      <c r="J436" s="51"/>
      <c r="K436" s="51"/>
      <c r="L436" s="63">
        <f t="shared" si="88"/>
        <v>0</v>
      </c>
      <c r="M436" t="str">
        <f t="shared" si="85"/>
        <v/>
      </c>
    </row>
    <row r="437" spans="1:13" ht="15" thickBot="1" x14ac:dyDescent="0.35">
      <c r="A437" s="129"/>
      <c r="B437" s="89"/>
      <c r="C437" s="94"/>
      <c r="D437" s="94"/>
      <c r="E437" s="60"/>
      <c r="F437" s="55"/>
      <c r="G437" s="55"/>
      <c r="H437" s="55"/>
      <c r="I437" s="55"/>
      <c r="J437" s="55"/>
      <c r="K437" s="55"/>
      <c r="M437" t="str">
        <f t="shared" si="85"/>
        <v/>
      </c>
    </row>
    <row r="438" spans="1:13" ht="16.2" thickTop="1" x14ac:dyDescent="0.3">
      <c r="A438" s="439" t="s">
        <v>553</v>
      </c>
      <c r="B438" s="90"/>
      <c r="C438" s="95"/>
      <c r="D438" s="95"/>
      <c r="E438" s="326">
        <f t="shared" ref="E438:K438" si="89">SUM(E432:E437)</f>
        <v>0</v>
      </c>
      <c r="F438" s="326">
        <f t="shared" si="89"/>
        <v>0</v>
      </c>
      <c r="G438" s="326">
        <f t="shared" si="89"/>
        <v>0</v>
      </c>
      <c r="H438" s="326">
        <f t="shared" si="89"/>
        <v>0</v>
      </c>
      <c r="I438" s="326">
        <f t="shared" si="89"/>
        <v>0</v>
      </c>
      <c r="J438" s="326">
        <f t="shared" si="89"/>
        <v>0</v>
      </c>
      <c r="K438" s="326">
        <f t="shared" si="89"/>
        <v>0</v>
      </c>
      <c r="M438" t="str">
        <f t="shared" si="85"/>
        <v/>
      </c>
    </row>
    <row r="439" spans="1:13" x14ac:dyDescent="0.3">
      <c r="A439" s="35"/>
      <c r="B439" s="91"/>
      <c r="C439" s="96"/>
      <c r="D439" s="97"/>
      <c r="E439" s="35"/>
      <c r="F439" s="35"/>
      <c r="G439" s="35"/>
      <c r="H439" s="35"/>
      <c r="I439" s="35"/>
      <c r="J439" s="34"/>
      <c r="K439" s="61"/>
      <c r="M439" t="str">
        <f t="shared" si="85"/>
        <v/>
      </c>
    </row>
    <row r="440" spans="1:13" ht="17.399999999999999" x14ac:dyDescent="0.3">
      <c r="A440" s="67">
        <f>DATE(INT(LEFT($B$3,4))+1,3,1)</f>
        <v>46082</v>
      </c>
      <c r="B440" s="92"/>
      <c r="C440" s="441"/>
      <c r="D440" s="98"/>
      <c r="E440" s="68"/>
      <c r="F440" s="68"/>
      <c r="G440" s="68"/>
      <c r="H440" s="68"/>
      <c r="I440" s="68"/>
      <c r="J440" s="70"/>
      <c r="K440" s="69"/>
      <c r="M440" t="str">
        <f t="shared" si="85"/>
        <v/>
      </c>
    </row>
    <row r="441" spans="1:13" x14ac:dyDescent="0.3">
      <c r="A441" s="36"/>
      <c r="B441" s="93"/>
      <c r="C441" s="99"/>
      <c r="D441" s="99"/>
      <c r="E441" s="36"/>
      <c r="F441" s="36"/>
      <c r="G441" s="36"/>
      <c r="H441" s="36"/>
      <c r="I441" s="36"/>
      <c r="J441" s="45"/>
      <c r="K441" s="36"/>
      <c r="M441" t="str">
        <f t="shared" si="85"/>
        <v/>
      </c>
    </row>
    <row r="442" spans="1:13" x14ac:dyDescent="0.3">
      <c r="A442" s="46">
        <f>$A$440</f>
        <v>46082</v>
      </c>
      <c r="B442" s="280"/>
      <c r="C442" s="281"/>
      <c r="D442" s="281"/>
      <c r="E442" s="59"/>
      <c r="F442" s="51"/>
      <c r="G442" s="51"/>
      <c r="H442" s="51"/>
      <c r="I442" s="51"/>
      <c r="J442" s="51"/>
      <c r="K442" s="51"/>
      <c r="L442" s="63">
        <f>SUM(G442:K442)-F442</f>
        <v>0</v>
      </c>
      <c r="M442" t="str">
        <f t="shared" si="85"/>
        <v/>
      </c>
    </row>
    <row r="443" spans="1:13" x14ac:dyDescent="0.3">
      <c r="A443" s="46">
        <f>$A$440</f>
        <v>46082</v>
      </c>
      <c r="B443" s="84"/>
      <c r="C443" s="84"/>
      <c r="D443" s="84"/>
      <c r="E443" s="59"/>
      <c r="F443" s="51"/>
      <c r="G443" s="51"/>
      <c r="H443" s="51"/>
      <c r="I443" s="51"/>
      <c r="J443" s="51"/>
      <c r="K443" s="51"/>
      <c r="L443" s="63"/>
      <c r="M443" t="str">
        <f t="shared" si="85"/>
        <v/>
      </c>
    </row>
    <row r="444" spans="1:13" x14ac:dyDescent="0.3">
      <c r="A444" s="46">
        <f>$A$440</f>
        <v>46082</v>
      </c>
      <c r="B444" s="84"/>
      <c r="C444" s="84"/>
      <c r="D444" s="84"/>
      <c r="E444" s="59"/>
      <c r="F444" s="51"/>
      <c r="G444" s="51"/>
      <c r="H444" s="51"/>
      <c r="I444" s="51"/>
      <c r="J444" s="51"/>
      <c r="K444" s="51"/>
      <c r="L444" s="63"/>
      <c r="M444" t="str">
        <f t="shared" si="85"/>
        <v/>
      </c>
    </row>
    <row r="445" spans="1:13" x14ac:dyDescent="0.3">
      <c r="A445" s="46">
        <f>$A$440</f>
        <v>46082</v>
      </c>
      <c r="B445" s="84"/>
      <c r="C445" s="84"/>
      <c r="D445" s="84"/>
      <c r="E445" s="59"/>
      <c r="F445" s="51"/>
      <c r="G445" s="51"/>
      <c r="H445" s="51"/>
      <c r="I445" s="51"/>
      <c r="J445" s="51"/>
      <c r="K445" s="51"/>
      <c r="L445" s="63"/>
      <c r="M445" t="str">
        <f t="shared" ref="M445" si="90">B445&amp;D445</f>
        <v/>
      </c>
    </row>
    <row r="446" spans="1:13" x14ac:dyDescent="0.3">
      <c r="A446" s="46">
        <f>$A$440</f>
        <v>46082</v>
      </c>
      <c r="B446" s="84"/>
      <c r="C446" s="84"/>
      <c r="D446" s="84"/>
      <c r="E446" s="59"/>
      <c r="F446" s="51"/>
      <c r="G446" s="51"/>
      <c r="H446" s="51"/>
      <c r="I446" s="51"/>
      <c r="J446" s="51"/>
      <c r="K446" s="51"/>
      <c r="L446" s="63"/>
      <c r="M446" t="str">
        <f t="shared" si="85"/>
        <v/>
      </c>
    </row>
    <row r="447" spans="1:13" ht="15" thickBot="1" x14ac:dyDescent="0.35">
      <c r="A447" s="129"/>
      <c r="B447" s="89"/>
      <c r="C447" s="94"/>
      <c r="D447" s="94"/>
      <c r="E447" s="60"/>
      <c r="F447" s="55"/>
      <c r="G447" s="55"/>
      <c r="H447" s="55"/>
      <c r="I447" s="55"/>
      <c r="J447" s="55"/>
      <c r="K447" s="55"/>
    </row>
    <row r="448" spans="1:13" ht="16.2" thickTop="1" x14ac:dyDescent="0.3">
      <c r="A448" s="439" t="s">
        <v>554</v>
      </c>
      <c r="B448" s="90"/>
      <c r="C448" s="95"/>
      <c r="D448" s="95"/>
      <c r="E448" s="326">
        <f t="shared" ref="E448:K448" si="91">SUM(E442:E447)</f>
        <v>0</v>
      </c>
      <c r="F448" s="326">
        <f t="shared" si="91"/>
        <v>0</v>
      </c>
      <c r="G448" s="326">
        <f t="shared" si="91"/>
        <v>0</v>
      </c>
      <c r="H448" s="326">
        <f t="shared" si="91"/>
        <v>0</v>
      </c>
      <c r="I448" s="326">
        <f t="shared" si="91"/>
        <v>0</v>
      </c>
      <c r="J448" s="326">
        <f t="shared" si="91"/>
        <v>0</v>
      </c>
      <c r="K448" s="326">
        <f t="shared" si="91"/>
        <v>0</v>
      </c>
    </row>
    <row r="449" spans="1:11" x14ac:dyDescent="0.3">
      <c r="A449" s="330"/>
      <c r="B449" s="442"/>
      <c r="C449" s="375"/>
      <c r="D449" s="375"/>
      <c r="E449" s="442"/>
      <c r="F449" s="375"/>
      <c r="G449" s="375"/>
      <c r="H449" s="442"/>
      <c r="I449" s="375"/>
      <c r="J449" s="375"/>
      <c r="K449" s="443"/>
    </row>
    <row r="450" spans="1:11" ht="17.399999999999999" x14ac:dyDescent="0.35">
      <c r="A450" s="267" t="s">
        <v>91</v>
      </c>
      <c r="B450" s="268"/>
      <c r="C450" s="268"/>
      <c r="D450" s="268"/>
      <c r="E450" s="333">
        <f>E338+E348+E358+E368+E378+E388+E398+E408+E418+E428+E438+E448</f>
        <v>0</v>
      </c>
      <c r="F450" s="333">
        <f t="shared" ref="F450:K450" si="92">F338+F348+F358+F368+F378+F388+F398+F408+F418+F428+F438+F448</f>
        <v>0</v>
      </c>
      <c r="G450" s="333">
        <f t="shared" si="92"/>
        <v>0</v>
      </c>
      <c r="H450" s="333">
        <f t="shared" si="92"/>
        <v>0</v>
      </c>
      <c r="I450" s="333">
        <f t="shared" si="92"/>
        <v>0</v>
      </c>
      <c r="J450" s="333">
        <f t="shared" si="92"/>
        <v>0</v>
      </c>
      <c r="K450" s="334">
        <f t="shared" si="92"/>
        <v>0</v>
      </c>
    </row>
    <row r="451" spans="1:11" x14ac:dyDescent="0.3">
      <c r="I451" s="66"/>
    </row>
  </sheetData>
  <pageMargins left="0.7" right="0.7" top="0.75" bottom="0.75" header="0.3" footer="0.3"/>
  <pageSetup paperSize="9" orientation="portrait" r:id="rId1"/>
  <ignoredErrors>
    <ignoredError sqref="H263:H288 H296:H319" formulaRange="1"/>
  </ignoredErrors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800100</xdr:colOff>
                <xdr:row>2</xdr:row>
                <xdr:rowOff>99060</xdr:rowOff>
              </from>
              <to>
                <xdr:col>4</xdr:col>
                <xdr:colOff>1234440</xdr:colOff>
                <xdr:row>4</xdr:row>
                <xdr:rowOff>68580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42"/>
  <sheetViews>
    <sheetView showGridLines="0" topLeftCell="A222" zoomScale="95" zoomScaleNormal="95" workbookViewId="0">
      <selection activeCell="D11" sqref="D11:D22"/>
    </sheetView>
  </sheetViews>
  <sheetFormatPr defaultRowHeight="14.4" x14ac:dyDescent="0.3"/>
  <cols>
    <col min="1" max="1" width="19.88671875" bestFit="1" customWidth="1"/>
    <col min="2" max="6" width="27.88671875" bestFit="1" customWidth="1"/>
    <col min="7" max="7" width="29.6640625" bestFit="1" customWidth="1"/>
    <col min="8" max="9" width="27.88671875" bestFit="1" customWidth="1"/>
    <col min="10" max="10" width="20.33203125" customWidth="1"/>
    <col min="11" max="11" width="19" customWidth="1"/>
    <col min="12" max="12" width="18.33203125" customWidth="1"/>
    <col min="13" max="13" width="19.33203125" customWidth="1"/>
    <col min="14" max="14" width="19.44140625" customWidth="1"/>
    <col min="15" max="15" width="21.6640625" customWidth="1"/>
  </cols>
  <sheetData>
    <row r="1" spans="1:6" ht="3" customHeight="1" x14ac:dyDescent="0.3"/>
    <row r="2" spans="1:6" ht="17.399999999999999" x14ac:dyDescent="0.35">
      <c r="A2" s="311" t="s">
        <v>0</v>
      </c>
      <c r="B2" s="353">
        <f>'PREL INFO'!C2</f>
        <v>0</v>
      </c>
      <c r="C2" s="354"/>
    </row>
    <row r="3" spans="1:6" ht="17.399999999999999" x14ac:dyDescent="0.35">
      <c r="A3" s="312" t="s">
        <v>9</v>
      </c>
      <c r="B3" s="519" t="str">
        <f>'PREL INFO'!C15</f>
        <v>2025-26</v>
      </c>
      <c r="C3" s="520"/>
    </row>
    <row r="4" spans="1:6" ht="17.399999999999999" x14ac:dyDescent="0.35">
      <c r="A4" s="313" t="s">
        <v>78</v>
      </c>
      <c r="B4" s="521" t="s">
        <v>169</v>
      </c>
      <c r="C4" s="522"/>
    </row>
    <row r="7" spans="1:6" ht="18" x14ac:dyDescent="0.35">
      <c r="A7" s="14" t="s">
        <v>170</v>
      </c>
    </row>
    <row r="8" spans="1:6" ht="9" customHeight="1" x14ac:dyDescent="0.3"/>
    <row r="9" spans="1:6" ht="17.399999999999999" x14ac:dyDescent="0.3">
      <c r="A9" s="317" t="s">
        <v>81</v>
      </c>
      <c r="B9" s="16"/>
      <c r="C9" s="16"/>
      <c r="D9" s="16"/>
      <c r="E9" s="16"/>
      <c r="F9" s="41"/>
    </row>
    <row r="10" spans="1:6" ht="32.25" customHeight="1" x14ac:dyDescent="0.3">
      <c r="A10" s="327" t="s">
        <v>82</v>
      </c>
      <c r="B10" s="322" t="s">
        <v>171</v>
      </c>
      <c r="C10" s="322" t="s">
        <v>172</v>
      </c>
      <c r="D10" s="322" t="s">
        <v>173</v>
      </c>
      <c r="E10" s="322" t="s">
        <v>174</v>
      </c>
      <c r="F10" s="329" t="s">
        <v>91</v>
      </c>
    </row>
    <row r="11" spans="1:6" x14ac:dyDescent="0.3">
      <c r="A11" s="21">
        <f>DATE(INT(LEFT($B$3,4)),4,1)</f>
        <v>45748</v>
      </c>
      <c r="B11" s="277"/>
      <c r="C11" s="277"/>
      <c r="D11" s="277"/>
      <c r="E11" s="277"/>
      <c r="F11" s="278">
        <f>SUM(B11:E11)</f>
        <v>0</v>
      </c>
    </row>
    <row r="12" spans="1:6" x14ac:dyDescent="0.3">
      <c r="A12" s="21">
        <f>DATE(INT(LEFT($B$3,4)),5,1)</f>
        <v>45778</v>
      </c>
      <c r="B12" s="277"/>
      <c r="C12" s="277"/>
      <c r="D12" s="86"/>
      <c r="E12" s="277"/>
      <c r="F12" s="278">
        <f t="shared" ref="F12:F22" si="0">SUM(B12:E12)</f>
        <v>0</v>
      </c>
    </row>
    <row r="13" spans="1:6" x14ac:dyDescent="0.3">
      <c r="A13" s="21">
        <f>DATE(INT(LEFT($B$3,4)),6,1)</f>
        <v>45809</v>
      </c>
      <c r="B13" s="277"/>
      <c r="C13" s="277"/>
      <c r="D13" s="86"/>
      <c r="E13" s="277"/>
      <c r="F13" s="278">
        <f t="shared" si="0"/>
        <v>0</v>
      </c>
    </row>
    <row r="14" spans="1:6" x14ac:dyDescent="0.3">
      <c r="A14" s="21">
        <f>DATE(INT(LEFT($B$3,4)),7,1)</f>
        <v>45839</v>
      </c>
      <c r="B14" s="51"/>
      <c r="C14" s="277"/>
      <c r="D14" s="86"/>
      <c r="E14" s="277"/>
      <c r="F14" s="22">
        <f t="shared" si="0"/>
        <v>0</v>
      </c>
    </row>
    <row r="15" spans="1:6" x14ac:dyDescent="0.3">
      <c r="A15" s="21">
        <f>DATE(INT(LEFT($B$3,4)),8,1)</f>
        <v>45870</v>
      </c>
      <c r="B15" s="51"/>
      <c r="C15" s="277"/>
      <c r="D15" s="86"/>
      <c r="E15" s="277"/>
      <c r="F15" s="22">
        <f t="shared" si="0"/>
        <v>0</v>
      </c>
    </row>
    <row r="16" spans="1:6" x14ac:dyDescent="0.3">
      <c r="A16" s="21">
        <f>DATE(INT(LEFT($B$3,4)),9,1)</f>
        <v>45901</v>
      </c>
      <c r="B16" s="51"/>
      <c r="C16" s="277"/>
      <c r="D16" s="86"/>
      <c r="E16" s="277"/>
      <c r="F16" s="22">
        <f t="shared" si="0"/>
        <v>0</v>
      </c>
    </row>
    <row r="17" spans="1:6" x14ac:dyDescent="0.3">
      <c r="A17" s="21">
        <f>DATE(INT(LEFT($B$3,4)),10,1)</f>
        <v>45931</v>
      </c>
      <c r="B17" s="51"/>
      <c r="C17" s="277"/>
      <c r="D17" s="86"/>
      <c r="E17" s="277"/>
      <c r="F17" s="22">
        <f t="shared" si="0"/>
        <v>0</v>
      </c>
    </row>
    <row r="18" spans="1:6" x14ac:dyDescent="0.3">
      <c r="A18" s="21">
        <f>DATE(INT(LEFT($B$3,4)),11,1)</f>
        <v>45962</v>
      </c>
      <c r="B18" s="51"/>
      <c r="C18" s="277"/>
      <c r="D18" s="86"/>
      <c r="E18" s="277"/>
      <c r="F18" s="22">
        <f t="shared" si="0"/>
        <v>0</v>
      </c>
    </row>
    <row r="19" spans="1:6" x14ac:dyDescent="0.3">
      <c r="A19" s="21">
        <f>DATE(INT(LEFT($B$3,4)),12,1)</f>
        <v>45992</v>
      </c>
      <c r="B19" s="51"/>
      <c r="C19" s="277"/>
      <c r="D19" s="86"/>
      <c r="E19" s="277"/>
      <c r="F19" s="22">
        <f t="shared" si="0"/>
        <v>0</v>
      </c>
    </row>
    <row r="20" spans="1:6" x14ac:dyDescent="0.3">
      <c r="A20" s="21">
        <f>DATE(INT(LEFT($B$3,4))+1,1,1)</f>
        <v>46023</v>
      </c>
      <c r="B20" s="51"/>
      <c r="C20" s="277"/>
      <c r="D20" s="86"/>
      <c r="E20" s="277"/>
      <c r="F20" s="22">
        <f t="shared" si="0"/>
        <v>0</v>
      </c>
    </row>
    <row r="21" spans="1:6" x14ac:dyDescent="0.3">
      <c r="A21" s="21">
        <f>DATE(INT(LEFT($B$3,4))+1,2,1)</f>
        <v>46054</v>
      </c>
      <c r="B21" s="51"/>
      <c r="C21" s="277"/>
      <c r="D21" s="86"/>
      <c r="E21" s="277"/>
      <c r="F21" s="22">
        <f t="shared" si="0"/>
        <v>0</v>
      </c>
    </row>
    <row r="22" spans="1:6" x14ac:dyDescent="0.3">
      <c r="A22" s="21">
        <f>DATE(INT(LEFT($B$3,4))+1,3,1)</f>
        <v>46082</v>
      </c>
      <c r="B22" s="51"/>
      <c r="C22" s="277"/>
      <c r="D22" s="86"/>
      <c r="E22" s="277"/>
      <c r="F22" s="22">
        <f t="shared" si="0"/>
        <v>0</v>
      </c>
    </row>
    <row r="23" spans="1:6" x14ac:dyDescent="0.3">
      <c r="A23" s="355"/>
      <c r="B23" s="356"/>
      <c r="C23" s="356"/>
      <c r="D23" s="356"/>
      <c r="E23" s="356"/>
      <c r="F23" s="357"/>
    </row>
    <row r="24" spans="1:6" ht="16.8" x14ac:dyDescent="0.3">
      <c r="A24" s="358" t="s">
        <v>91</v>
      </c>
      <c r="B24" s="342">
        <f t="shared" ref="B24:E24" si="1">SUM(B11:B22)</f>
        <v>0</v>
      </c>
      <c r="C24" s="342">
        <f t="shared" si="1"/>
        <v>0</v>
      </c>
      <c r="D24" s="342">
        <f t="shared" si="1"/>
        <v>0</v>
      </c>
      <c r="E24" s="342">
        <f t="shared" si="1"/>
        <v>0</v>
      </c>
      <c r="F24" s="343">
        <f>SUM(F11:F22)</f>
        <v>0</v>
      </c>
    </row>
    <row r="28" spans="1:6" ht="18" x14ac:dyDescent="0.35">
      <c r="A28" s="14" t="s">
        <v>175</v>
      </c>
    </row>
    <row r="30" spans="1:6" ht="17.399999999999999" x14ac:dyDescent="0.3">
      <c r="A30" s="317" t="s">
        <v>81</v>
      </c>
      <c r="B30" s="16"/>
      <c r="C30" s="16"/>
      <c r="D30" s="16"/>
      <c r="E30" s="16"/>
      <c r="F30" s="41"/>
    </row>
    <row r="31" spans="1:6" ht="30" customHeight="1" x14ac:dyDescent="0.3">
      <c r="A31" s="327" t="s">
        <v>82</v>
      </c>
      <c r="B31" s="322" t="s">
        <v>176</v>
      </c>
      <c r="C31" s="322" t="s">
        <v>177</v>
      </c>
      <c r="D31" s="322" t="s">
        <v>178</v>
      </c>
      <c r="E31" s="322" t="s">
        <v>179</v>
      </c>
      <c r="F31" s="329" t="s">
        <v>91</v>
      </c>
    </row>
    <row r="32" spans="1:6" x14ac:dyDescent="0.3">
      <c r="A32" s="21">
        <f>DATE(INT(LEFT($B$3,4)),4,1)</f>
        <v>45748</v>
      </c>
      <c r="B32" s="277"/>
      <c r="C32" s="277"/>
      <c r="D32" s="277"/>
      <c r="E32" s="277"/>
      <c r="F32" s="278">
        <f>SUM(B32:E32)</f>
        <v>0</v>
      </c>
    </row>
    <row r="33" spans="1:6" x14ac:dyDescent="0.3">
      <c r="A33" s="21">
        <f>DATE(INT(LEFT($B$3,4)),5,1)</f>
        <v>45778</v>
      </c>
      <c r="B33" s="277"/>
      <c r="C33" s="277"/>
      <c r="D33" s="277"/>
      <c r="E33" s="277"/>
      <c r="F33" s="278">
        <f t="shared" ref="F33:F43" si="2">SUM(B33:E33)</f>
        <v>0</v>
      </c>
    </row>
    <row r="34" spans="1:6" x14ac:dyDescent="0.3">
      <c r="A34" s="21">
        <f>DATE(INT(LEFT($B$3,4)),6,1)</f>
        <v>45809</v>
      </c>
      <c r="B34" s="277"/>
      <c r="C34" s="277"/>
      <c r="D34" s="277"/>
      <c r="E34" s="277"/>
      <c r="F34" s="278">
        <f t="shared" si="2"/>
        <v>0</v>
      </c>
    </row>
    <row r="35" spans="1:6" x14ac:dyDescent="0.3">
      <c r="A35" s="21">
        <f>DATE(INT(LEFT($B$3,4)),7,1)</f>
        <v>45839</v>
      </c>
      <c r="B35" s="277"/>
      <c r="C35" s="277"/>
      <c r="D35" s="277"/>
      <c r="E35" s="277"/>
      <c r="F35" s="22">
        <f t="shared" si="2"/>
        <v>0</v>
      </c>
    </row>
    <row r="36" spans="1:6" x14ac:dyDescent="0.3">
      <c r="A36" s="21">
        <f>DATE(INT(LEFT($B$3,4)),8,1)</f>
        <v>45870</v>
      </c>
      <c r="B36" s="277"/>
      <c r="C36" s="277"/>
      <c r="D36" s="277"/>
      <c r="E36" s="277"/>
      <c r="F36" s="22">
        <f t="shared" si="2"/>
        <v>0</v>
      </c>
    </row>
    <row r="37" spans="1:6" x14ac:dyDescent="0.3">
      <c r="A37" s="21">
        <f>DATE(INT(LEFT($B$3,4)),9,1)</f>
        <v>45901</v>
      </c>
      <c r="B37" s="277"/>
      <c r="C37" s="277"/>
      <c r="D37" s="277"/>
      <c r="E37" s="277"/>
      <c r="F37" s="22">
        <f t="shared" si="2"/>
        <v>0</v>
      </c>
    </row>
    <row r="38" spans="1:6" x14ac:dyDescent="0.3">
      <c r="A38" s="21">
        <f>DATE(INT(LEFT($B$3,4)),10,1)</f>
        <v>45931</v>
      </c>
      <c r="B38" s="277"/>
      <c r="C38" s="277"/>
      <c r="D38" s="277"/>
      <c r="E38" s="277"/>
      <c r="F38" s="22">
        <f t="shared" si="2"/>
        <v>0</v>
      </c>
    </row>
    <row r="39" spans="1:6" x14ac:dyDescent="0.3">
      <c r="A39" s="21">
        <f>DATE(INT(LEFT($B$3,4)),11,1)</f>
        <v>45962</v>
      </c>
      <c r="B39" s="277"/>
      <c r="C39" s="277"/>
      <c r="D39" s="277"/>
      <c r="E39" s="277"/>
      <c r="F39" s="22">
        <f t="shared" si="2"/>
        <v>0</v>
      </c>
    </row>
    <row r="40" spans="1:6" x14ac:dyDescent="0.3">
      <c r="A40" s="21">
        <f>DATE(INT(LEFT($B$3,4)),12,1)</f>
        <v>45992</v>
      </c>
      <c r="B40" s="277"/>
      <c r="C40" s="277"/>
      <c r="D40" s="277"/>
      <c r="E40" s="277"/>
      <c r="F40" s="22">
        <f t="shared" si="2"/>
        <v>0</v>
      </c>
    </row>
    <row r="41" spans="1:6" x14ac:dyDescent="0.3">
      <c r="A41" s="21">
        <f>DATE(INT(LEFT($B$3,4))+1,1,1)</f>
        <v>46023</v>
      </c>
      <c r="B41" s="277"/>
      <c r="C41" s="277"/>
      <c r="D41" s="277"/>
      <c r="E41" s="277"/>
      <c r="F41" s="22">
        <f t="shared" si="2"/>
        <v>0</v>
      </c>
    </row>
    <row r="42" spans="1:6" x14ac:dyDescent="0.3">
      <c r="A42" s="21">
        <f>DATE(INT(LEFT($B$3,4))+1,2,1)</f>
        <v>46054</v>
      </c>
      <c r="B42" s="277"/>
      <c r="C42" s="277"/>
      <c r="D42" s="277"/>
      <c r="E42" s="277"/>
      <c r="F42" s="22">
        <f t="shared" si="2"/>
        <v>0</v>
      </c>
    </row>
    <row r="43" spans="1:6" x14ac:dyDescent="0.3">
      <c r="A43" s="21">
        <f>DATE(INT(LEFT($B$3,4))+1,3,1)</f>
        <v>46082</v>
      </c>
      <c r="B43" s="277"/>
      <c r="C43" s="277"/>
      <c r="D43" s="277"/>
      <c r="E43" s="277"/>
      <c r="F43" s="22">
        <f t="shared" si="2"/>
        <v>0</v>
      </c>
    </row>
    <row r="44" spans="1:6" x14ac:dyDescent="0.3">
      <c r="A44" s="355"/>
      <c r="B44" s="356"/>
      <c r="C44" s="356"/>
      <c r="D44" s="356"/>
      <c r="E44" s="356"/>
      <c r="F44" s="357"/>
    </row>
    <row r="45" spans="1:6" ht="16.8" x14ac:dyDescent="0.3">
      <c r="A45" s="358" t="s">
        <v>91</v>
      </c>
      <c r="B45" s="342">
        <f t="shared" ref="B45:E45" si="3">SUM(B32:B43)</f>
        <v>0</v>
      </c>
      <c r="C45" s="342">
        <f t="shared" si="3"/>
        <v>0</v>
      </c>
      <c r="D45" s="342">
        <f t="shared" si="3"/>
        <v>0</v>
      </c>
      <c r="E45" s="342">
        <f t="shared" si="3"/>
        <v>0</v>
      </c>
      <c r="F45" s="343">
        <f>SUM(F32:F43)</f>
        <v>0</v>
      </c>
    </row>
    <row r="49" spans="1:7" ht="18" x14ac:dyDescent="0.35">
      <c r="A49" s="14" t="s">
        <v>180</v>
      </c>
    </row>
    <row r="50" spans="1:7" ht="17.399999999999999" x14ac:dyDescent="0.35">
      <c r="A50" s="130"/>
    </row>
    <row r="51" spans="1:7" ht="17.399999999999999" x14ac:dyDescent="0.3">
      <c r="A51" s="317" t="s">
        <v>81</v>
      </c>
      <c r="B51" s="16"/>
      <c r="C51" s="16"/>
      <c r="D51" s="16"/>
      <c r="E51" s="16"/>
      <c r="F51" s="16"/>
      <c r="G51" s="41"/>
    </row>
    <row r="52" spans="1:7" ht="33" customHeight="1" x14ac:dyDescent="0.3">
      <c r="A52" s="327" t="s">
        <v>82</v>
      </c>
      <c r="B52" s="322" t="s">
        <v>181</v>
      </c>
      <c r="C52" s="322" t="s">
        <v>182</v>
      </c>
      <c r="D52" s="322" t="s">
        <v>182</v>
      </c>
      <c r="E52" s="322" t="s">
        <v>183</v>
      </c>
      <c r="F52" s="322" t="s">
        <v>184</v>
      </c>
      <c r="G52" s="359" t="s">
        <v>185</v>
      </c>
    </row>
    <row r="53" spans="1:7" x14ac:dyDescent="0.3">
      <c r="A53" s="21">
        <f>DATE(INT(LEFT($B$3,4)),4,1)</f>
        <v>45748</v>
      </c>
      <c r="B53" s="277">
        <v>0</v>
      </c>
      <c r="C53" s="277">
        <v>0</v>
      </c>
      <c r="D53" s="277">
        <v>0</v>
      </c>
      <c r="E53" s="277">
        <v>0</v>
      </c>
      <c r="F53" s="277">
        <f>SUM(B53:D53)-E53</f>
        <v>0</v>
      </c>
      <c r="G53" s="278">
        <v>0</v>
      </c>
    </row>
    <row r="54" spans="1:7" x14ac:dyDescent="0.3">
      <c r="A54" s="21">
        <f>DATE(INT(LEFT($B$3,4)),5,1)</f>
        <v>45778</v>
      </c>
      <c r="B54" s="277">
        <v>0</v>
      </c>
      <c r="C54" s="277">
        <v>0</v>
      </c>
      <c r="D54" s="277">
        <v>0</v>
      </c>
      <c r="E54" s="277">
        <v>0</v>
      </c>
      <c r="F54" s="277">
        <f t="shared" ref="F54:F64" si="4">SUM(B54:D54)-E54</f>
        <v>0</v>
      </c>
      <c r="G54" s="278">
        <v>0</v>
      </c>
    </row>
    <row r="55" spans="1:7" x14ac:dyDescent="0.3">
      <c r="A55" s="21">
        <f>DATE(INT(LEFT($B$3,4)),6,1)</f>
        <v>45809</v>
      </c>
      <c r="B55" s="277">
        <v>0</v>
      </c>
      <c r="C55" s="277">
        <v>0</v>
      </c>
      <c r="D55" s="277">
        <v>0</v>
      </c>
      <c r="E55" s="277">
        <v>0</v>
      </c>
      <c r="F55" s="277">
        <f t="shared" si="4"/>
        <v>0</v>
      </c>
      <c r="G55" s="278">
        <v>0</v>
      </c>
    </row>
    <row r="56" spans="1:7" x14ac:dyDescent="0.3">
      <c r="A56" s="21">
        <f>DATE(INT(LEFT($B$3,4)),7,1)</f>
        <v>45839</v>
      </c>
      <c r="B56" s="277">
        <v>0</v>
      </c>
      <c r="C56" s="277">
        <v>0</v>
      </c>
      <c r="D56" s="277">
        <v>0</v>
      </c>
      <c r="E56" s="277">
        <v>0</v>
      </c>
      <c r="F56" s="277">
        <f t="shared" si="4"/>
        <v>0</v>
      </c>
      <c r="G56" s="278">
        <v>0</v>
      </c>
    </row>
    <row r="57" spans="1:7" x14ac:dyDescent="0.3">
      <c r="A57" s="21">
        <f>DATE(INT(LEFT($B$3,4)),8,1)</f>
        <v>45870</v>
      </c>
      <c r="B57" s="277">
        <v>0</v>
      </c>
      <c r="C57" s="277">
        <v>0</v>
      </c>
      <c r="D57" s="277">
        <v>0</v>
      </c>
      <c r="E57" s="277">
        <v>0</v>
      </c>
      <c r="F57" s="277">
        <f t="shared" si="4"/>
        <v>0</v>
      </c>
      <c r="G57" s="278">
        <v>0</v>
      </c>
    </row>
    <row r="58" spans="1:7" x14ac:dyDescent="0.3">
      <c r="A58" s="21">
        <f>DATE(INT(LEFT($B$3,4)),9,1)</f>
        <v>45901</v>
      </c>
      <c r="B58" s="277">
        <v>0</v>
      </c>
      <c r="C58" s="277">
        <v>0</v>
      </c>
      <c r="D58" s="277">
        <v>0</v>
      </c>
      <c r="E58" s="277">
        <v>0</v>
      </c>
      <c r="F58" s="277">
        <f t="shared" si="4"/>
        <v>0</v>
      </c>
      <c r="G58" s="278">
        <v>0</v>
      </c>
    </row>
    <row r="59" spans="1:7" x14ac:dyDescent="0.3">
      <c r="A59" s="21">
        <f>DATE(INT(LEFT($B$3,4)),10,1)</f>
        <v>45931</v>
      </c>
      <c r="B59" s="277">
        <v>0</v>
      </c>
      <c r="C59" s="277">
        <v>0</v>
      </c>
      <c r="D59" s="277">
        <v>0</v>
      </c>
      <c r="E59" s="277">
        <v>0</v>
      </c>
      <c r="F59" s="277">
        <f t="shared" si="4"/>
        <v>0</v>
      </c>
      <c r="G59" s="278">
        <v>0</v>
      </c>
    </row>
    <row r="60" spans="1:7" x14ac:dyDescent="0.3">
      <c r="A60" s="21">
        <f>DATE(INT(LEFT($B$3,4)),11,1)</f>
        <v>45962</v>
      </c>
      <c r="B60" s="277">
        <v>0</v>
      </c>
      <c r="C60" s="277">
        <v>0</v>
      </c>
      <c r="D60" s="277">
        <v>0</v>
      </c>
      <c r="E60" s="277">
        <v>0</v>
      </c>
      <c r="F60" s="277">
        <f t="shared" si="4"/>
        <v>0</v>
      </c>
      <c r="G60" s="278">
        <v>0</v>
      </c>
    </row>
    <row r="61" spans="1:7" x14ac:dyDescent="0.3">
      <c r="A61" s="21">
        <f>DATE(INT(LEFT($B$3,4)),12,1)</f>
        <v>45992</v>
      </c>
      <c r="B61" s="277">
        <v>0</v>
      </c>
      <c r="C61" s="277"/>
      <c r="D61" s="277">
        <v>0</v>
      </c>
      <c r="E61" s="277">
        <v>0</v>
      </c>
      <c r="F61" s="277">
        <f t="shared" si="4"/>
        <v>0</v>
      </c>
      <c r="G61" s="278">
        <v>0</v>
      </c>
    </row>
    <row r="62" spans="1:7" x14ac:dyDescent="0.3">
      <c r="A62" s="21">
        <f>DATE(INT(LEFT($B$3,4))+1,1,1)</f>
        <v>46023</v>
      </c>
      <c r="B62" s="277">
        <v>0</v>
      </c>
      <c r="C62" s="277">
        <v>0</v>
      </c>
      <c r="D62" s="277">
        <v>0</v>
      </c>
      <c r="E62" s="277">
        <v>0</v>
      </c>
      <c r="F62" s="277">
        <f t="shared" si="4"/>
        <v>0</v>
      </c>
      <c r="G62" s="278">
        <v>0</v>
      </c>
    </row>
    <row r="63" spans="1:7" x14ac:dyDescent="0.3">
      <c r="A63" s="21">
        <f>DATE(INT(LEFT($B$3,4))+1,2,1)</f>
        <v>46054</v>
      </c>
      <c r="B63" s="277">
        <v>0</v>
      </c>
      <c r="C63" s="277">
        <v>0</v>
      </c>
      <c r="D63" s="277">
        <v>0</v>
      </c>
      <c r="E63" s="277">
        <v>0</v>
      </c>
      <c r="F63" s="277">
        <f t="shared" si="4"/>
        <v>0</v>
      </c>
      <c r="G63" s="278">
        <v>0</v>
      </c>
    </row>
    <row r="64" spans="1:7" x14ac:dyDescent="0.3">
      <c r="A64" s="21">
        <f>DATE(INT(LEFT($B$3,4))+1,3,1)</f>
        <v>46082</v>
      </c>
      <c r="B64" s="277">
        <v>0</v>
      </c>
      <c r="C64" s="277">
        <v>0</v>
      </c>
      <c r="D64" s="277">
        <v>0</v>
      </c>
      <c r="E64" s="277">
        <v>0</v>
      </c>
      <c r="F64" s="277">
        <f t="shared" si="4"/>
        <v>0</v>
      </c>
      <c r="G64" s="278">
        <v>0</v>
      </c>
    </row>
    <row r="65" spans="1:7" x14ac:dyDescent="0.3">
      <c r="A65" s="355"/>
      <c r="B65" s="360"/>
      <c r="C65" s="360"/>
      <c r="D65" s="360"/>
      <c r="E65" s="360"/>
      <c r="F65" s="360"/>
      <c r="G65" s="361"/>
    </row>
    <row r="66" spans="1:7" ht="16.8" x14ac:dyDescent="0.3">
      <c r="A66" s="358" t="s">
        <v>91</v>
      </c>
      <c r="B66" s="342">
        <f t="shared" ref="B66:G66" si="5">SUM(B53:B65)</f>
        <v>0</v>
      </c>
      <c r="C66" s="342">
        <f t="shared" si="5"/>
        <v>0</v>
      </c>
      <c r="D66" s="342">
        <f>SUM(D53:D65)</f>
        <v>0</v>
      </c>
      <c r="E66" s="342">
        <f t="shared" si="5"/>
        <v>0</v>
      </c>
      <c r="F66" s="342">
        <f t="shared" si="5"/>
        <v>0</v>
      </c>
      <c r="G66" s="343">
        <f t="shared" si="5"/>
        <v>0</v>
      </c>
    </row>
    <row r="67" spans="1:7" ht="17.399999999999999" x14ac:dyDescent="0.35">
      <c r="A67" s="130"/>
    </row>
    <row r="68" spans="1:7" ht="17.399999999999999" x14ac:dyDescent="0.35">
      <c r="A68" s="130"/>
    </row>
    <row r="69" spans="1:7" ht="17.399999999999999" x14ac:dyDescent="0.35">
      <c r="A69" s="130"/>
    </row>
    <row r="70" spans="1:7" ht="18" x14ac:dyDescent="0.35">
      <c r="A70" s="14" t="s">
        <v>186</v>
      </c>
    </row>
    <row r="71" spans="1:7" ht="17.399999999999999" x14ac:dyDescent="0.35">
      <c r="A71" s="130"/>
    </row>
    <row r="72" spans="1:7" ht="17.399999999999999" x14ac:dyDescent="0.3">
      <c r="A72" s="317" t="s">
        <v>81</v>
      </c>
      <c r="B72" s="16"/>
      <c r="C72" s="16"/>
      <c r="D72" s="16"/>
      <c r="E72" s="41"/>
    </row>
    <row r="73" spans="1:7" ht="30" customHeight="1" x14ac:dyDescent="0.3">
      <c r="A73" s="306" t="s">
        <v>82</v>
      </c>
      <c r="B73" s="322" t="s">
        <v>187</v>
      </c>
      <c r="C73" s="322" t="s">
        <v>188</v>
      </c>
      <c r="D73" s="322" t="s">
        <v>175</v>
      </c>
      <c r="E73" s="359" t="s">
        <v>189</v>
      </c>
    </row>
    <row r="74" spans="1:7" x14ac:dyDescent="0.3">
      <c r="A74" s="21">
        <f>DATE(INT(LEFT($B$3,4)),4,1)</f>
        <v>45748</v>
      </c>
      <c r="B74" s="282">
        <v>0</v>
      </c>
      <c r="C74" s="282">
        <v>0</v>
      </c>
      <c r="D74" s="282">
        <v>0</v>
      </c>
      <c r="E74" s="278">
        <f>SUM(B74:C74)-D74</f>
        <v>0</v>
      </c>
    </row>
    <row r="75" spans="1:7" x14ac:dyDescent="0.3">
      <c r="A75" s="21">
        <f>DATE(INT(LEFT($B$3,4)),5,1)</f>
        <v>45778</v>
      </c>
      <c r="B75" s="282">
        <v>0</v>
      </c>
      <c r="C75" s="282">
        <v>0</v>
      </c>
      <c r="D75" s="282">
        <v>0</v>
      </c>
      <c r="E75" s="278">
        <f t="shared" ref="E75:E84" si="6">SUM(B75:C75)-D75</f>
        <v>0</v>
      </c>
    </row>
    <row r="76" spans="1:7" x14ac:dyDescent="0.3">
      <c r="A76" s="21">
        <f>DATE(INT(LEFT($B$3,4)),6,1)</f>
        <v>45809</v>
      </c>
      <c r="B76" s="282">
        <v>0</v>
      </c>
      <c r="C76" s="282">
        <v>0</v>
      </c>
      <c r="D76" s="282">
        <v>0</v>
      </c>
      <c r="E76" s="278">
        <f t="shared" si="6"/>
        <v>0</v>
      </c>
    </row>
    <row r="77" spans="1:7" x14ac:dyDescent="0.3">
      <c r="A77" s="21">
        <f>DATE(INT(LEFT($B$3,4)),7,1)</f>
        <v>45839</v>
      </c>
      <c r="B77" s="282">
        <v>0</v>
      </c>
      <c r="C77" s="282">
        <v>0</v>
      </c>
      <c r="D77" s="282">
        <v>0</v>
      </c>
      <c r="E77" s="278">
        <f t="shared" si="6"/>
        <v>0</v>
      </c>
    </row>
    <row r="78" spans="1:7" x14ac:dyDescent="0.3">
      <c r="A78" s="21">
        <f>DATE(INT(LEFT($B$3,4)),8,1)</f>
        <v>45870</v>
      </c>
      <c r="B78" s="282">
        <v>0</v>
      </c>
      <c r="C78" s="282">
        <v>0</v>
      </c>
      <c r="D78" s="282">
        <v>0</v>
      </c>
      <c r="E78" s="278">
        <f t="shared" si="6"/>
        <v>0</v>
      </c>
    </row>
    <row r="79" spans="1:7" x14ac:dyDescent="0.3">
      <c r="A79" s="21">
        <f>DATE(INT(LEFT($B$3,4)),9,1)</f>
        <v>45901</v>
      </c>
      <c r="B79" s="282">
        <v>0</v>
      </c>
      <c r="C79" s="282">
        <v>0</v>
      </c>
      <c r="D79" s="282">
        <v>0</v>
      </c>
      <c r="E79" s="278">
        <f t="shared" si="6"/>
        <v>0</v>
      </c>
    </row>
    <row r="80" spans="1:7" x14ac:dyDescent="0.3">
      <c r="A80" s="21">
        <f>DATE(INT(LEFT($B$3,4)),10,1)</f>
        <v>45931</v>
      </c>
      <c r="B80" s="282">
        <v>0</v>
      </c>
      <c r="C80" s="282">
        <v>0</v>
      </c>
      <c r="D80" s="282">
        <v>0</v>
      </c>
      <c r="E80" s="278">
        <f t="shared" si="6"/>
        <v>0</v>
      </c>
    </row>
    <row r="81" spans="1:7" x14ac:dyDescent="0.3">
      <c r="A81" s="21">
        <f>DATE(INT(LEFT($B$3,4)),11,1)</f>
        <v>45962</v>
      </c>
      <c r="B81" s="282">
        <v>0</v>
      </c>
      <c r="C81" s="282">
        <v>0</v>
      </c>
      <c r="D81" s="282">
        <v>0</v>
      </c>
      <c r="E81" s="278">
        <f t="shared" si="6"/>
        <v>0</v>
      </c>
    </row>
    <row r="82" spans="1:7" x14ac:dyDescent="0.3">
      <c r="A82" s="21">
        <f>DATE(INT(LEFT($B$3,4)),12,1)</f>
        <v>45992</v>
      </c>
      <c r="B82" s="282">
        <v>0</v>
      </c>
      <c r="C82" s="282">
        <v>0</v>
      </c>
      <c r="D82" s="282">
        <v>0</v>
      </c>
      <c r="E82" s="278">
        <f t="shared" si="6"/>
        <v>0</v>
      </c>
    </row>
    <row r="83" spans="1:7" x14ac:dyDescent="0.3">
      <c r="A83" s="21">
        <f>DATE(INT(LEFT($B$3,4))+1,1,1)</f>
        <v>46023</v>
      </c>
      <c r="B83" s="282">
        <v>0</v>
      </c>
      <c r="C83" s="282">
        <v>0</v>
      </c>
      <c r="D83" s="282">
        <v>0</v>
      </c>
      <c r="E83" s="278">
        <f t="shared" si="6"/>
        <v>0</v>
      </c>
    </row>
    <row r="84" spans="1:7" x14ac:dyDescent="0.3">
      <c r="A84" s="21">
        <f>DATE(INT(LEFT($B$3,4))+1,2,1)</f>
        <v>46054</v>
      </c>
      <c r="B84" s="282">
        <v>0</v>
      </c>
      <c r="C84" s="282">
        <v>0</v>
      </c>
      <c r="D84" s="282">
        <v>0</v>
      </c>
      <c r="E84" s="278">
        <f t="shared" si="6"/>
        <v>0</v>
      </c>
    </row>
    <row r="85" spans="1:7" x14ac:dyDescent="0.3">
      <c r="A85" s="21">
        <f>DATE(INT(LEFT($B$3,4))+1,3,1)</f>
        <v>46082</v>
      </c>
      <c r="B85" s="282">
        <v>0</v>
      </c>
      <c r="C85" s="282">
        <v>0</v>
      </c>
      <c r="D85" s="282">
        <v>0</v>
      </c>
      <c r="E85" s="278">
        <f>SUM(B85:C85)-D85</f>
        <v>0</v>
      </c>
    </row>
    <row r="86" spans="1:7" x14ac:dyDescent="0.3">
      <c r="A86" s="355"/>
      <c r="B86" s="356"/>
      <c r="C86" s="356"/>
      <c r="D86" s="356"/>
      <c r="E86" s="357"/>
    </row>
    <row r="87" spans="1:7" ht="16.8" x14ac:dyDescent="0.3">
      <c r="A87" s="358" t="s">
        <v>91</v>
      </c>
      <c r="B87" s="342">
        <f t="shared" ref="B87:C87" si="7">SUM(B74:B85)</f>
        <v>0</v>
      </c>
      <c r="C87" s="342">
        <f t="shared" si="7"/>
        <v>0</v>
      </c>
      <c r="D87" s="342">
        <f>SUM(D74:D85)</f>
        <v>0</v>
      </c>
      <c r="E87" s="343">
        <f>SUM(E74:E85)</f>
        <v>0</v>
      </c>
    </row>
    <row r="88" spans="1:7" ht="17.399999999999999" x14ac:dyDescent="0.35">
      <c r="A88" s="130"/>
    </row>
    <row r="89" spans="1:7" ht="17.399999999999999" x14ac:dyDescent="0.35">
      <c r="A89" s="130"/>
    </row>
    <row r="90" spans="1:7" ht="17.399999999999999" x14ac:dyDescent="0.35">
      <c r="A90" s="130"/>
    </row>
    <row r="91" spans="1:7" ht="18" x14ac:dyDescent="0.35">
      <c r="A91" s="14" t="s">
        <v>493</v>
      </c>
    </row>
    <row r="92" spans="1:7" ht="17.399999999999999" x14ac:dyDescent="0.35">
      <c r="A92" s="130"/>
    </row>
    <row r="93" spans="1:7" ht="18" customHeight="1" x14ac:dyDescent="0.3">
      <c r="A93" s="317" t="s">
        <v>81</v>
      </c>
      <c r="B93" s="16"/>
      <c r="C93" s="16"/>
      <c r="D93" s="16"/>
      <c r="E93" s="16"/>
      <c r="F93" s="16"/>
      <c r="G93" s="41"/>
    </row>
    <row r="94" spans="1:7" ht="30" customHeight="1" x14ac:dyDescent="0.3">
      <c r="A94" s="306" t="s">
        <v>82</v>
      </c>
      <c r="B94" s="323" t="s">
        <v>128</v>
      </c>
      <c r="C94" s="323" t="s">
        <v>128</v>
      </c>
      <c r="D94" s="323" t="s">
        <v>128</v>
      </c>
      <c r="E94" s="323" t="s">
        <v>128</v>
      </c>
      <c r="F94" s="323" t="s">
        <v>175</v>
      </c>
      <c r="G94" s="325" t="s">
        <v>191</v>
      </c>
    </row>
    <row r="95" spans="1:7" ht="20.100000000000001" customHeight="1" x14ac:dyDescent="0.3">
      <c r="A95" s="362" t="s">
        <v>190</v>
      </c>
      <c r="B95" s="363" t="s">
        <v>181</v>
      </c>
      <c r="C95" s="363"/>
      <c r="D95" s="364"/>
      <c r="E95" s="364"/>
      <c r="F95" s="363"/>
      <c r="G95" s="366"/>
    </row>
    <row r="96" spans="1:7" x14ac:dyDescent="0.3">
      <c r="A96" s="21">
        <f>DATE(INT(LEFT($B$3,4)),4,1)</f>
        <v>45748</v>
      </c>
      <c r="B96" s="282"/>
      <c r="C96" s="282"/>
      <c r="D96" s="282"/>
      <c r="E96" s="282"/>
      <c r="F96" s="282"/>
      <c r="G96" s="278">
        <f>SUM(B96:E96)-F96</f>
        <v>0</v>
      </c>
    </row>
    <row r="97" spans="1:7" x14ac:dyDescent="0.3">
      <c r="A97" s="21">
        <f>DATE(INT(LEFT($B$3,4)),5,1)</f>
        <v>45778</v>
      </c>
      <c r="B97" s="282"/>
      <c r="C97" s="282"/>
      <c r="D97" s="282"/>
      <c r="E97" s="282"/>
      <c r="F97" s="282"/>
      <c r="G97" s="278">
        <f t="shared" ref="G97:G107" si="8">SUM(B97:E97)-F97</f>
        <v>0</v>
      </c>
    </row>
    <row r="98" spans="1:7" x14ac:dyDescent="0.3">
      <c r="A98" s="21">
        <f>DATE(INT(LEFT($B$3,4)),6,1)</f>
        <v>45809</v>
      </c>
      <c r="B98" s="282"/>
      <c r="C98" s="282"/>
      <c r="D98" s="282"/>
      <c r="E98" s="282"/>
      <c r="F98" s="282"/>
      <c r="G98" s="278">
        <f t="shared" si="8"/>
        <v>0</v>
      </c>
    </row>
    <row r="99" spans="1:7" x14ac:dyDescent="0.3">
      <c r="A99" s="21">
        <f>DATE(INT(LEFT($B$3,4)),7,1)</f>
        <v>45839</v>
      </c>
      <c r="B99" s="282"/>
      <c r="C99" s="282"/>
      <c r="D99" s="282"/>
      <c r="E99" s="282"/>
      <c r="F99" s="282"/>
      <c r="G99" s="278">
        <f t="shared" si="8"/>
        <v>0</v>
      </c>
    </row>
    <row r="100" spans="1:7" x14ac:dyDescent="0.3">
      <c r="A100" s="21">
        <f>DATE(INT(LEFT($B$3,4)),8,1)</f>
        <v>45870</v>
      </c>
      <c r="B100" s="282"/>
      <c r="C100" s="282"/>
      <c r="D100" s="282"/>
      <c r="E100" s="282"/>
      <c r="F100" s="282"/>
      <c r="G100" s="278">
        <f t="shared" si="8"/>
        <v>0</v>
      </c>
    </row>
    <row r="101" spans="1:7" x14ac:dyDescent="0.3">
      <c r="A101" s="21">
        <f>DATE(INT(LEFT($B$3,4)),9,1)</f>
        <v>45901</v>
      </c>
      <c r="B101" s="282"/>
      <c r="C101" s="282"/>
      <c r="D101" s="282"/>
      <c r="E101" s="282"/>
      <c r="F101" s="282"/>
      <c r="G101" s="278">
        <f t="shared" si="8"/>
        <v>0</v>
      </c>
    </row>
    <row r="102" spans="1:7" x14ac:dyDescent="0.3">
      <c r="A102" s="21">
        <f>DATE(INT(LEFT($B$3,4)),10,1)</f>
        <v>45931</v>
      </c>
      <c r="B102" s="282"/>
      <c r="C102" s="282"/>
      <c r="D102" s="282"/>
      <c r="E102" s="282"/>
      <c r="F102" s="282"/>
      <c r="G102" s="278">
        <f t="shared" si="8"/>
        <v>0</v>
      </c>
    </row>
    <row r="103" spans="1:7" x14ac:dyDescent="0.3">
      <c r="A103" s="21">
        <f>DATE(INT(LEFT($B$3,4)),11,1)</f>
        <v>45962</v>
      </c>
      <c r="B103" s="282"/>
      <c r="C103" s="282"/>
      <c r="D103" s="282"/>
      <c r="E103" s="282"/>
      <c r="F103" s="282"/>
      <c r="G103" s="278">
        <f t="shared" si="8"/>
        <v>0</v>
      </c>
    </row>
    <row r="104" spans="1:7" x14ac:dyDescent="0.3">
      <c r="A104" s="21">
        <f>DATE(INT(LEFT($B$3,4)),12,1)</f>
        <v>45992</v>
      </c>
      <c r="B104" s="282"/>
      <c r="C104" s="282"/>
      <c r="D104" s="282"/>
      <c r="E104" s="282"/>
      <c r="F104" s="282"/>
      <c r="G104" s="278">
        <f t="shared" si="8"/>
        <v>0</v>
      </c>
    </row>
    <row r="105" spans="1:7" x14ac:dyDescent="0.3">
      <c r="A105" s="21">
        <f>DATE(INT(LEFT($B$3,4))+1,1,1)</f>
        <v>46023</v>
      </c>
      <c r="B105" s="282"/>
      <c r="C105" s="282"/>
      <c r="D105" s="282"/>
      <c r="E105" s="282"/>
      <c r="F105" s="282"/>
      <c r="G105" s="278">
        <f t="shared" si="8"/>
        <v>0</v>
      </c>
    </row>
    <row r="106" spans="1:7" x14ac:dyDescent="0.3">
      <c r="A106" s="21">
        <f>DATE(INT(LEFT($B$3,4))+1,2,1)</f>
        <v>46054</v>
      </c>
      <c r="B106" s="282"/>
      <c r="C106" s="282"/>
      <c r="D106" s="282"/>
      <c r="E106" s="282"/>
      <c r="F106" s="282"/>
      <c r="G106" s="278">
        <f t="shared" si="8"/>
        <v>0</v>
      </c>
    </row>
    <row r="107" spans="1:7" x14ac:dyDescent="0.3">
      <c r="A107" s="21">
        <f>DATE(INT(LEFT($B$3,4))+1,3,1)</f>
        <v>46082</v>
      </c>
      <c r="B107" s="282"/>
      <c r="C107" s="282"/>
      <c r="D107" s="282"/>
      <c r="E107" s="282"/>
      <c r="F107" s="282"/>
      <c r="G107" s="278">
        <f t="shared" si="8"/>
        <v>0</v>
      </c>
    </row>
    <row r="108" spans="1:7" x14ac:dyDescent="0.3">
      <c r="A108" s="355"/>
      <c r="B108" s="365"/>
      <c r="C108" s="365"/>
      <c r="D108" s="365"/>
      <c r="E108" s="360"/>
      <c r="F108" s="360"/>
      <c r="G108" s="361"/>
    </row>
    <row r="109" spans="1:7" ht="16.8" x14ac:dyDescent="0.3">
      <c r="A109" s="358" t="s">
        <v>91</v>
      </c>
      <c r="B109" s="342">
        <f t="shared" ref="B109:D109" si="9">SUM(B96:B107)</f>
        <v>0</v>
      </c>
      <c r="C109" s="342">
        <f t="shared" si="9"/>
        <v>0</v>
      </c>
      <c r="D109" s="342">
        <f t="shared" si="9"/>
        <v>0</v>
      </c>
      <c r="E109" s="342">
        <f>SUM(E96:E107)</f>
        <v>0</v>
      </c>
      <c r="F109" s="342">
        <f>SUM(F96:F107)</f>
        <v>0</v>
      </c>
      <c r="G109" s="343">
        <f>SUM(G96:G107)</f>
        <v>0</v>
      </c>
    </row>
    <row r="114" spans="1:7" ht="18" x14ac:dyDescent="0.35">
      <c r="A114" s="14" t="s">
        <v>192</v>
      </c>
    </row>
    <row r="115" spans="1:7" ht="18" x14ac:dyDescent="0.35">
      <c r="A115" s="14"/>
    </row>
    <row r="116" spans="1:7" ht="17.399999999999999" x14ac:dyDescent="0.3">
      <c r="A116" s="317" t="s">
        <v>81</v>
      </c>
      <c r="B116" s="16"/>
      <c r="C116" s="16"/>
      <c r="D116" s="16"/>
      <c r="E116" s="16"/>
      <c r="F116" s="16"/>
      <c r="G116" s="41"/>
    </row>
    <row r="117" spans="1:7" ht="30" customHeight="1" x14ac:dyDescent="0.3">
      <c r="A117" s="306" t="s">
        <v>82</v>
      </c>
      <c r="B117" s="323" t="s">
        <v>118</v>
      </c>
      <c r="C117" s="323" t="s">
        <v>193</v>
      </c>
      <c r="D117" s="323" t="s">
        <v>193</v>
      </c>
      <c r="E117" s="323" t="s">
        <v>193</v>
      </c>
      <c r="F117" s="323" t="s">
        <v>175</v>
      </c>
      <c r="G117" s="325" t="s">
        <v>194</v>
      </c>
    </row>
    <row r="118" spans="1:7" ht="20.100000000000001" customHeight="1" x14ac:dyDescent="0.3">
      <c r="A118" s="362" t="s">
        <v>190</v>
      </c>
      <c r="B118" s="363"/>
      <c r="C118" s="363"/>
      <c r="D118" s="364"/>
      <c r="E118" s="364"/>
      <c r="F118" s="363"/>
      <c r="G118" s="366"/>
    </row>
    <row r="119" spans="1:7" x14ac:dyDescent="0.3">
      <c r="A119" s="21">
        <f>DATE(INT(LEFT($B$3,4)),4,1)</f>
        <v>45748</v>
      </c>
      <c r="B119" s="282">
        <v>0</v>
      </c>
      <c r="C119" s="282">
        <v>0</v>
      </c>
      <c r="D119" s="282">
        <v>0</v>
      </c>
      <c r="E119" s="282">
        <v>0</v>
      </c>
      <c r="F119" s="282">
        <v>0</v>
      </c>
      <c r="G119" s="278">
        <f>SUM(B119:E119)-F119</f>
        <v>0</v>
      </c>
    </row>
    <row r="120" spans="1:7" x14ac:dyDescent="0.3">
      <c r="A120" s="21">
        <f>DATE(INT(LEFT($B$3,4)),5,1)</f>
        <v>45778</v>
      </c>
      <c r="B120" s="282">
        <v>0</v>
      </c>
      <c r="C120" s="282">
        <v>0</v>
      </c>
      <c r="D120" s="282">
        <v>0</v>
      </c>
      <c r="E120" s="282">
        <v>0</v>
      </c>
      <c r="F120" s="282">
        <v>0</v>
      </c>
      <c r="G120" s="278">
        <f t="shared" ref="G120:G130" si="10">SUM(B120:E120)-F120</f>
        <v>0</v>
      </c>
    </row>
    <row r="121" spans="1:7" x14ac:dyDescent="0.3">
      <c r="A121" s="21">
        <f>DATE(INT(LEFT($B$3,4)),6,1)</f>
        <v>45809</v>
      </c>
      <c r="B121" s="282">
        <v>0</v>
      </c>
      <c r="C121" s="282">
        <v>0</v>
      </c>
      <c r="D121" s="282">
        <v>0</v>
      </c>
      <c r="E121" s="282">
        <v>0</v>
      </c>
      <c r="F121" s="282">
        <v>0</v>
      </c>
      <c r="G121" s="278">
        <f t="shared" si="10"/>
        <v>0</v>
      </c>
    </row>
    <row r="122" spans="1:7" x14ac:dyDescent="0.3">
      <c r="A122" s="21">
        <f>DATE(INT(LEFT($B$3,4)),7,1)</f>
        <v>45839</v>
      </c>
      <c r="B122" s="282">
        <v>0</v>
      </c>
      <c r="C122" s="282">
        <v>0</v>
      </c>
      <c r="D122" s="282">
        <v>0</v>
      </c>
      <c r="E122" s="282">
        <v>0</v>
      </c>
      <c r="F122" s="282">
        <v>0</v>
      </c>
      <c r="G122" s="278">
        <f t="shared" si="10"/>
        <v>0</v>
      </c>
    </row>
    <row r="123" spans="1:7" x14ac:dyDescent="0.3">
      <c r="A123" s="21">
        <f>DATE(INT(LEFT($B$3,4)),8,1)</f>
        <v>45870</v>
      </c>
      <c r="B123" s="282">
        <v>0</v>
      </c>
      <c r="C123" s="282">
        <v>0</v>
      </c>
      <c r="D123" s="282">
        <v>0</v>
      </c>
      <c r="E123" s="282">
        <v>0</v>
      </c>
      <c r="F123" s="282">
        <v>0</v>
      </c>
      <c r="G123" s="278">
        <f t="shared" si="10"/>
        <v>0</v>
      </c>
    </row>
    <row r="124" spans="1:7" x14ac:dyDescent="0.3">
      <c r="A124" s="21">
        <f>DATE(INT(LEFT($B$3,4)),9,1)</f>
        <v>45901</v>
      </c>
      <c r="B124" s="282">
        <v>0</v>
      </c>
      <c r="C124" s="282">
        <v>0</v>
      </c>
      <c r="D124" s="282">
        <v>0</v>
      </c>
      <c r="E124" s="282">
        <v>0</v>
      </c>
      <c r="F124" s="282">
        <v>0</v>
      </c>
      <c r="G124" s="278">
        <f t="shared" si="10"/>
        <v>0</v>
      </c>
    </row>
    <row r="125" spans="1:7" x14ac:dyDescent="0.3">
      <c r="A125" s="21">
        <f>DATE(INT(LEFT($B$3,4)),10,1)</f>
        <v>45931</v>
      </c>
      <c r="B125" s="282">
        <v>0</v>
      </c>
      <c r="C125" s="282">
        <v>0</v>
      </c>
      <c r="D125" s="282">
        <v>0</v>
      </c>
      <c r="E125" s="282">
        <v>0</v>
      </c>
      <c r="F125" s="282">
        <v>0</v>
      </c>
      <c r="G125" s="278">
        <f t="shared" si="10"/>
        <v>0</v>
      </c>
    </row>
    <row r="126" spans="1:7" x14ac:dyDescent="0.3">
      <c r="A126" s="21">
        <f>DATE(INT(LEFT($B$3,4)),11,1)</f>
        <v>45962</v>
      </c>
      <c r="B126" s="282">
        <v>0</v>
      </c>
      <c r="C126" s="282">
        <v>0</v>
      </c>
      <c r="D126" s="282">
        <v>0</v>
      </c>
      <c r="E126" s="282">
        <v>0</v>
      </c>
      <c r="F126" s="282">
        <v>0</v>
      </c>
      <c r="G126" s="278">
        <f t="shared" si="10"/>
        <v>0</v>
      </c>
    </row>
    <row r="127" spans="1:7" x14ac:dyDescent="0.3">
      <c r="A127" s="21">
        <f>DATE(INT(LEFT($B$3,4)),12,1)</f>
        <v>45992</v>
      </c>
      <c r="B127" s="282">
        <v>0</v>
      </c>
      <c r="C127" s="282">
        <v>0</v>
      </c>
      <c r="D127" s="282">
        <v>0</v>
      </c>
      <c r="E127" s="282">
        <v>0</v>
      </c>
      <c r="F127" s="282">
        <v>0</v>
      </c>
      <c r="G127" s="278">
        <f t="shared" si="10"/>
        <v>0</v>
      </c>
    </row>
    <row r="128" spans="1:7" x14ac:dyDescent="0.3">
      <c r="A128" s="21">
        <f>DATE(INT(LEFT($B$3,4))+1,1,1)</f>
        <v>46023</v>
      </c>
      <c r="B128" s="282">
        <v>0</v>
      </c>
      <c r="C128" s="282">
        <v>0</v>
      </c>
      <c r="D128" s="282">
        <v>0</v>
      </c>
      <c r="E128" s="282">
        <v>0</v>
      </c>
      <c r="F128" s="282">
        <v>0</v>
      </c>
      <c r="G128" s="278">
        <f t="shared" si="10"/>
        <v>0</v>
      </c>
    </row>
    <row r="129" spans="1:9" x14ac:dyDescent="0.3">
      <c r="A129" s="21">
        <f>DATE(INT(LEFT($B$3,4))+1,2,1)</f>
        <v>46054</v>
      </c>
      <c r="B129" s="282">
        <v>0</v>
      </c>
      <c r="C129" s="282">
        <v>0</v>
      </c>
      <c r="D129" s="282">
        <v>0</v>
      </c>
      <c r="E129" s="282">
        <v>0</v>
      </c>
      <c r="F129" s="282">
        <v>0</v>
      </c>
      <c r="G129" s="278">
        <f t="shared" si="10"/>
        <v>0</v>
      </c>
    </row>
    <row r="130" spans="1:9" x14ac:dyDescent="0.3">
      <c r="A130" s="21">
        <f>DATE(INT(LEFT($B$3,4))+1,3,1)</f>
        <v>46082</v>
      </c>
      <c r="B130" s="282">
        <v>0</v>
      </c>
      <c r="C130" s="282">
        <v>0</v>
      </c>
      <c r="D130" s="282">
        <v>0</v>
      </c>
      <c r="E130" s="282">
        <v>0</v>
      </c>
      <c r="F130" s="282">
        <v>0</v>
      </c>
      <c r="G130" s="278">
        <f t="shared" si="10"/>
        <v>0</v>
      </c>
    </row>
    <row r="131" spans="1:9" x14ac:dyDescent="0.3">
      <c r="A131" s="355"/>
      <c r="B131" s="365"/>
      <c r="C131" s="365"/>
      <c r="D131" s="365"/>
      <c r="E131" s="360"/>
      <c r="F131" s="360"/>
      <c r="G131" s="361"/>
    </row>
    <row r="132" spans="1:9" ht="16.8" x14ac:dyDescent="0.3">
      <c r="A132" s="358" t="s">
        <v>91</v>
      </c>
      <c r="B132" s="342">
        <f>SUM(B119:B130)</f>
        <v>0</v>
      </c>
      <c r="C132" s="342">
        <f>SUM(C119:C130)</f>
        <v>0</v>
      </c>
      <c r="D132" s="342">
        <f>SUM(D119:D130)</f>
        <v>0</v>
      </c>
      <c r="E132" s="342">
        <f t="shared" ref="E132:G132" si="11">SUM(E119:E130)</f>
        <v>0</v>
      </c>
      <c r="F132" s="342">
        <f t="shared" si="11"/>
        <v>0</v>
      </c>
      <c r="G132" s="343">
        <f t="shared" si="11"/>
        <v>0</v>
      </c>
    </row>
    <row r="136" spans="1:9" ht="18" x14ac:dyDescent="0.35">
      <c r="A136" s="14" t="s">
        <v>195</v>
      </c>
    </row>
    <row r="138" spans="1:9" ht="17.399999999999999" x14ac:dyDescent="0.3">
      <c r="A138" s="317" t="s">
        <v>81</v>
      </c>
      <c r="B138" s="16"/>
      <c r="C138" s="16"/>
      <c r="D138" s="16"/>
      <c r="E138" s="16"/>
      <c r="F138" s="16"/>
      <c r="G138" s="16"/>
      <c r="H138" s="16"/>
      <c r="I138" s="41"/>
    </row>
    <row r="139" spans="1:9" ht="18" customHeight="1" x14ac:dyDescent="0.3">
      <c r="A139" s="501" t="s">
        <v>82</v>
      </c>
      <c r="B139" s="523">
        <v>0.05</v>
      </c>
      <c r="C139" s="524"/>
      <c r="D139" s="523">
        <v>0.12</v>
      </c>
      <c r="E139" s="524"/>
      <c r="F139" s="523">
        <v>0.18</v>
      </c>
      <c r="G139" s="524"/>
      <c r="H139" s="523">
        <v>0.28000000000000003</v>
      </c>
      <c r="I139" s="525"/>
    </row>
    <row r="140" spans="1:9" ht="24.9" customHeight="1" x14ac:dyDescent="0.3">
      <c r="A140" s="502"/>
      <c r="B140" s="322" t="s">
        <v>197</v>
      </c>
      <c r="C140" s="322" t="s">
        <v>196</v>
      </c>
      <c r="D140" s="322" t="s">
        <v>197</v>
      </c>
      <c r="E140" s="322" t="s">
        <v>196</v>
      </c>
      <c r="F140" s="322" t="s">
        <v>197</v>
      </c>
      <c r="G140" s="322" t="s">
        <v>196</v>
      </c>
      <c r="H140" s="322" t="s">
        <v>197</v>
      </c>
      <c r="I140" s="359" t="s">
        <v>196</v>
      </c>
    </row>
    <row r="141" spans="1:9" x14ac:dyDescent="0.3">
      <c r="A141" s="21">
        <f>DATE(INT(LEFT($B$3,4)),4,1)</f>
        <v>45748</v>
      </c>
      <c r="B141" s="277">
        <v>0</v>
      </c>
      <c r="C141" s="277">
        <v>0</v>
      </c>
      <c r="D141" s="277">
        <v>0</v>
      </c>
      <c r="E141" s="277">
        <v>0</v>
      </c>
      <c r="F141" s="277">
        <v>0</v>
      </c>
      <c r="G141" s="277">
        <v>0</v>
      </c>
      <c r="H141" s="277">
        <v>0</v>
      </c>
      <c r="I141" s="277">
        <v>0</v>
      </c>
    </row>
    <row r="142" spans="1:9" x14ac:dyDescent="0.3">
      <c r="A142" s="21">
        <f>DATE(INT(LEFT($B$3,4)),5,1)</f>
        <v>45778</v>
      </c>
      <c r="B142" s="277">
        <v>0</v>
      </c>
      <c r="C142" s="277">
        <v>0</v>
      </c>
      <c r="D142" s="277">
        <v>0</v>
      </c>
      <c r="E142" s="277">
        <v>0</v>
      </c>
      <c r="F142" s="277">
        <v>0</v>
      </c>
      <c r="G142" s="277">
        <v>0</v>
      </c>
      <c r="H142" s="277">
        <v>0</v>
      </c>
      <c r="I142" s="277">
        <v>0</v>
      </c>
    </row>
    <row r="143" spans="1:9" x14ac:dyDescent="0.3">
      <c r="A143" s="21">
        <f>DATE(INT(LEFT($B$3,4)),6,1)</f>
        <v>45809</v>
      </c>
      <c r="B143" s="277">
        <v>0</v>
      </c>
      <c r="C143" s="277">
        <v>0</v>
      </c>
      <c r="D143" s="277">
        <v>0</v>
      </c>
      <c r="E143" s="277">
        <v>0</v>
      </c>
      <c r="F143" s="277">
        <v>0</v>
      </c>
      <c r="G143" s="277">
        <v>0</v>
      </c>
      <c r="H143" s="277">
        <v>0</v>
      </c>
      <c r="I143" s="277">
        <v>0</v>
      </c>
    </row>
    <row r="144" spans="1:9" x14ac:dyDescent="0.3">
      <c r="A144" s="21">
        <f>DATE(INT(LEFT($B$3,4)),7,1)</f>
        <v>45839</v>
      </c>
      <c r="B144" s="277">
        <v>0</v>
      </c>
      <c r="C144" s="277">
        <v>0</v>
      </c>
      <c r="D144" s="277">
        <v>0</v>
      </c>
      <c r="E144" s="277">
        <v>0</v>
      </c>
      <c r="F144" s="277">
        <v>0</v>
      </c>
      <c r="G144" s="277">
        <v>0</v>
      </c>
      <c r="H144" s="277">
        <v>0</v>
      </c>
      <c r="I144" s="277">
        <v>0</v>
      </c>
    </row>
    <row r="145" spans="1:9" x14ac:dyDescent="0.3">
      <c r="A145" s="21">
        <f>DATE(INT(LEFT($B$3,4)),8,1)</f>
        <v>45870</v>
      </c>
      <c r="B145" s="277">
        <v>0</v>
      </c>
      <c r="C145" s="277">
        <v>0</v>
      </c>
      <c r="D145" s="277">
        <v>0</v>
      </c>
      <c r="E145" s="277">
        <v>0</v>
      </c>
      <c r="F145" s="277">
        <v>0</v>
      </c>
      <c r="G145" s="277">
        <v>0</v>
      </c>
      <c r="H145" s="277">
        <v>0</v>
      </c>
      <c r="I145" s="277">
        <v>0</v>
      </c>
    </row>
    <row r="146" spans="1:9" x14ac:dyDescent="0.3">
      <c r="A146" s="21">
        <f>DATE(INT(LEFT($B$3,4)),9,1)</f>
        <v>45901</v>
      </c>
      <c r="B146" s="277">
        <v>0</v>
      </c>
      <c r="C146" s="277">
        <v>0</v>
      </c>
      <c r="D146" s="277">
        <v>0</v>
      </c>
      <c r="E146" s="277">
        <v>0</v>
      </c>
      <c r="F146" s="277">
        <v>0</v>
      </c>
      <c r="G146" s="277">
        <v>0</v>
      </c>
      <c r="H146" s="277">
        <v>0</v>
      </c>
      <c r="I146" s="277">
        <v>0</v>
      </c>
    </row>
    <row r="147" spans="1:9" x14ac:dyDescent="0.3">
      <c r="A147" s="21">
        <f>DATE(INT(LEFT($B$3,4)),10,1)</f>
        <v>45931</v>
      </c>
      <c r="B147" s="277">
        <v>0</v>
      </c>
      <c r="C147" s="277">
        <v>0</v>
      </c>
      <c r="D147" s="277">
        <v>0</v>
      </c>
      <c r="E147" s="277">
        <v>0</v>
      </c>
      <c r="F147" s="277">
        <v>0</v>
      </c>
      <c r="G147" s="277">
        <v>0</v>
      </c>
      <c r="H147" s="277">
        <v>0</v>
      </c>
      <c r="I147" s="277">
        <v>0</v>
      </c>
    </row>
    <row r="148" spans="1:9" x14ac:dyDescent="0.3">
      <c r="A148" s="21">
        <f>DATE(INT(LEFT($B$3,4)),11,1)</f>
        <v>45962</v>
      </c>
      <c r="B148" s="277">
        <v>0</v>
      </c>
      <c r="C148" s="277">
        <v>0</v>
      </c>
      <c r="D148" s="277">
        <v>0</v>
      </c>
      <c r="E148" s="277">
        <v>0</v>
      </c>
      <c r="F148" s="277">
        <v>0</v>
      </c>
      <c r="G148" s="277">
        <v>0</v>
      </c>
      <c r="H148" s="277">
        <v>0</v>
      </c>
      <c r="I148" s="277">
        <v>0</v>
      </c>
    </row>
    <row r="149" spans="1:9" x14ac:dyDescent="0.3">
      <c r="A149" s="21">
        <f>DATE(INT(LEFT($B$3,4)),12,1)</f>
        <v>45992</v>
      </c>
      <c r="B149" s="277">
        <v>0</v>
      </c>
      <c r="C149" s="277">
        <v>0</v>
      </c>
      <c r="D149" s="277">
        <v>0</v>
      </c>
      <c r="E149" s="277">
        <v>0</v>
      </c>
      <c r="F149" s="277">
        <v>0</v>
      </c>
      <c r="G149" s="277">
        <v>0</v>
      </c>
      <c r="H149" s="277">
        <v>0</v>
      </c>
      <c r="I149" s="277">
        <v>0</v>
      </c>
    </row>
    <row r="150" spans="1:9" x14ac:dyDescent="0.3">
      <c r="A150" s="21">
        <f>DATE(INT(LEFT($B$3,4))+1,1,1)</f>
        <v>46023</v>
      </c>
      <c r="B150" s="277">
        <v>0</v>
      </c>
      <c r="C150" s="277">
        <v>0</v>
      </c>
      <c r="D150" s="277">
        <v>0</v>
      </c>
      <c r="E150" s="277">
        <v>0</v>
      </c>
      <c r="F150" s="277">
        <v>0</v>
      </c>
      <c r="G150" s="277">
        <v>0</v>
      </c>
      <c r="H150" s="277">
        <v>0</v>
      </c>
      <c r="I150" s="277">
        <v>0</v>
      </c>
    </row>
    <row r="151" spans="1:9" x14ac:dyDescent="0.3">
      <c r="A151" s="21">
        <f>DATE(INT(LEFT($B$3,4))+1,2,1)</f>
        <v>46054</v>
      </c>
      <c r="B151" s="277">
        <v>0</v>
      </c>
      <c r="C151" s="277">
        <v>0</v>
      </c>
      <c r="D151" s="277">
        <v>0</v>
      </c>
      <c r="E151" s="277">
        <v>0</v>
      </c>
      <c r="F151" s="277">
        <v>0</v>
      </c>
      <c r="G151" s="277">
        <v>0</v>
      </c>
      <c r="H151" s="277">
        <v>0</v>
      </c>
      <c r="I151" s="277">
        <v>0</v>
      </c>
    </row>
    <row r="152" spans="1:9" x14ac:dyDescent="0.3">
      <c r="A152" s="21">
        <f>DATE(INT(LEFT($B$3,4))+1,3,1)</f>
        <v>46082</v>
      </c>
      <c r="B152" s="277">
        <v>0</v>
      </c>
      <c r="C152" s="277">
        <v>0</v>
      </c>
      <c r="D152" s="277">
        <v>0</v>
      </c>
      <c r="E152" s="277">
        <v>0</v>
      </c>
      <c r="F152" s="277">
        <v>0</v>
      </c>
      <c r="G152" s="277">
        <v>0</v>
      </c>
      <c r="H152" s="277">
        <v>0</v>
      </c>
      <c r="I152" s="277">
        <v>0</v>
      </c>
    </row>
    <row r="153" spans="1:9" x14ac:dyDescent="0.3">
      <c r="A153" s="355"/>
      <c r="B153" s="360"/>
      <c r="C153" s="360"/>
      <c r="D153" s="360"/>
      <c r="E153" s="360"/>
      <c r="F153" s="360"/>
      <c r="G153" s="360"/>
      <c r="H153" s="360"/>
      <c r="I153" s="361"/>
    </row>
    <row r="154" spans="1:9" ht="16.8" x14ac:dyDescent="0.3">
      <c r="A154" s="358" t="s">
        <v>91</v>
      </c>
      <c r="B154" s="342">
        <f>SUM(B141:B153)</f>
        <v>0</v>
      </c>
      <c r="C154" s="342">
        <f t="shared" ref="C154:I154" si="12">SUM(C141:C153)</f>
        <v>0</v>
      </c>
      <c r="D154" s="342">
        <f t="shared" si="12"/>
        <v>0</v>
      </c>
      <c r="E154" s="342">
        <f t="shared" si="12"/>
        <v>0</v>
      </c>
      <c r="F154" s="342">
        <f t="shared" si="12"/>
        <v>0</v>
      </c>
      <c r="G154" s="342">
        <f t="shared" si="12"/>
        <v>0</v>
      </c>
      <c r="H154" s="342">
        <f t="shared" si="12"/>
        <v>0</v>
      </c>
      <c r="I154" s="343">
        <f t="shared" si="12"/>
        <v>0</v>
      </c>
    </row>
    <row r="158" spans="1:9" ht="18" x14ac:dyDescent="0.35">
      <c r="A158" s="14" t="s">
        <v>198</v>
      </c>
    </row>
    <row r="160" spans="1:9" ht="17.399999999999999" x14ac:dyDescent="0.3">
      <c r="A160" s="317" t="s">
        <v>81</v>
      </c>
      <c r="B160" s="16"/>
      <c r="C160" s="16"/>
      <c r="D160" s="16"/>
      <c r="E160" s="16"/>
      <c r="F160" s="16"/>
      <c r="G160" s="16"/>
      <c r="H160" s="16"/>
      <c r="I160" s="41"/>
    </row>
    <row r="161" spans="1:9" ht="18" customHeight="1" x14ac:dyDescent="0.3">
      <c r="A161" s="501" t="s">
        <v>82</v>
      </c>
      <c r="B161" s="523">
        <v>0.05</v>
      </c>
      <c r="C161" s="524"/>
      <c r="D161" s="523">
        <v>0.12</v>
      </c>
      <c r="E161" s="524"/>
      <c r="F161" s="523">
        <v>0.18</v>
      </c>
      <c r="G161" s="524"/>
      <c r="H161" s="523">
        <v>0.28000000000000003</v>
      </c>
      <c r="I161" s="525"/>
    </row>
    <row r="162" spans="1:9" ht="24.9" customHeight="1" x14ac:dyDescent="0.3">
      <c r="A162" s="502"/>
      <c r="B162" s="322" t="s">
        <v>197</v>
      </c>
      <c r="C162" s="322" t="s">
        <v>196</v>
      </c>
      <c r="D162" s="322" t="s">
        <v>197</v>
      </c>
      <c r="E162" s="322" t="s">
        <v>196</v>
      </c>
      <c r="F162" s="322" t="s">
        <v>197</v>
      </c>
      <c r="G162" s="322" t="s">
        <v>196</v>
      </c>
      <c r="H162" s="322" t="s">
        <v>197</v>
      </c>
      <c r="I162" s="359" t="s">
        <v>196</v>
      </c>
    </row>
    <row r="163" spans="1:9" x14ac:dyDescent="0.3">
      <c r="A163" s="21">
        <f>DATE(INT(LEFT($B$3,4)),4,1)</f>
        <v>45748</v>
      </c>
      <c r="B163" s="277">
        <v>0</v>
      </c>
      <c r="C163" s="277">
        <v>0</v>
      </c>
      <c r="D163" s="277">
        <v>0</v>
      </c>
      <c r="E163" s="277">
        <v>0</v>
      </c>
      <c r="F163" s="277">
        <v>0</v>
      </c>
      <c r="G163" s="277">
        <v>0</v>
      </c>
      <c r="H163" s="277">
        <v>0</v>
      </c>
      <c r="I163" s="277">
        <v>0</v>
      </c>
    </row>
    <row r="164" spans="1:9" x14ac:dyDescent="0.3">
      <c r="A164" s="21">
        <f>DATE(INT(LEFT($B$3,4)),5,1)</f>
        <v>45778</v>
      </c>
      <c r="B164" s="277">
        <v>0</v>
      </c>
      <c r="C164" s="277">
        <v>0</v>
      </c>
      <c r="D164" s="277">
        <v>0</v>
      </c>
      <c r="E164" s="277">
        <v>0</v>
      </c>
      <c r="F164" s="277">
        <v>0</v>
      </c>
      <c r="G164" s="277">
        <v>0</v>
      </c>
      <c r="H164" s="277">
        <v>0</v>
      </c>
      <c r="I164" s="277">
        <v>0</v>
      </c>
    </row>
    <row r="165" spans="1:9" x14ac:dyDescent="0.3">
      <c r="A165" s="21">
        <f>DATE(INT(LEFT($B$3,4)),6,1)</f>
        <v>45809</v>
      </c>
      <c r="B165" s="277">
        <v>0</v>
      </c>
      <c r="C165" s="277">
        <v>0</v>
      </c>
      <c r="D165" s="277">
        <v>0</v>
      </c>
      <c r="E165" s="277">
        <v>0</v>
      </c>
      <c r="F165" s="277">
        <v>0</v>
      </c>
      <c r="G165" s="277">
        <v>0</v>
      </c>
      <c r="H165" s="277">
        <v>0</v>
      </c>
      <c r="I165" s="277">
        <v>0</v>
      </c>
    </row>
    <row r="166" spans="1:9" x14ac:dyDescent="0.3">
      <c r="A166" s="21">
        <f>DATE(INT(LEFT($B$3,4)),7,1)</f>
        <v>45839</v>
      </c>
      <c r="B166" s="277">
        <v>0</v>
      </c>
      <c r="C166" s="277">
        <v>0</v>
      </c>
      <c r="D166" s="277">
        <v>0</v>
      </c>
      <c r="E166" s="277">
        <v>0</v>
      </c>
      <c r="F166" s="277">
        <v>0</v>
      </c>
      <c r="G166" s="277">
        <v>0</v>
      </c>
      <c r="H166" s="277">
        <v>0</v>
      </c>
      <c r="I166" s="277">
        <v>0</v>
      </c>
    </row>
    <row r="167" spans="1:9" x14ac:dyDescent="0.3">
      <c r="A167" s="21">
        <f>DATE(INT(LEFT($B$3,4)),8,1)</f>
        <v>45870</v>
      </c>
      <c r="B167" s="277">
        <v>0</v>
      </c>
      <c r="C167" s="277">
        <v>0</v>
      </c>
      <c r="D167" s="277">
        <v>0</v>
      </c>
      <c r="E167" s="277">
        <v>0</v>
      </c>
      <c r="F167" s="277">
        <v>0</v>
      </c>
      <c r="G167" s="277">
        <v>0</v>
      </c>
      <c r="H167" s="277">
        <v>0</v>
      </c>
      <c r="I167" s="277">
        <v>0</v>
      </c>
    </row>
    <row r="168" spans="1:9" x14ac:dyDescent="0.3">
      <c r="A168" s="21">
        <f>DATE(INT(LEFT($B$3,4)),9,1)</f>
        <v>45901</v>
      </c>
      <c r="B168" s="277">
        <v>0</v>
      </c>
      <c r="C168" s="277">
        <v>0</v>
      </c>
      <c r="D168" s="277">
        <v>0</v>
      </c>
      <c r="E168" s="277">
        <v>0</v>
      </c>
      <c r="F168" s="277">
        <v>0</v>
      </c>
      <c r="G168" s="277">
        <v>0</v>
      </c>
      <c r="H168" s="277">
        <v>0</v>
      </c>
      <c r="I168" s="277">
        <v>0</v>
      </c>
    </row>
    <row r="169" spans="1:9" x14ac:dyDescent="0.3">
      <c r="A169" s="21">
        <f>DATE(INT(LEFT($B$3,4)),10,1)</f>
        <v>45931</v>
      </c>
      <c r="B169" s="277">
        <v>0</v>
      </c>
      <c r="C169" s="277">
        <v>0</v>
      </c>
      <c r="D169" s="277">
        <v>0</v>
      </c>
      <c r="E169" s="277">
        <v>0</v>
      </c>
      <c r="F169" s="277">
        <v>0</v>
      </c>
      <c r="G169" s="277">
        <v>0</v>
      </c>
      <c r="H169" s="277">
        <v>0</v>
      </c>
      <c r="I169" s="277">
        <v>0</v>
      </c>
    </row>
    <row r="170" spans="1:9" x14ac:dyDescent="0.3">
      <c r="A170" s="21">
        <f>DATE(INT(LEFT($B$3,4)),11,1)</f>
        <v>45962</v>
      </c>
      <c r="B170" s="277">
        <v>0</v>
      </c>
      <c r="C170" s="277">
        <v>0</v>
      </c>
      <c r="D170" s="277">
        <v>0</v>
      </c>
      <c r="E170" s="277">
        <v>0</v>
      </c>
      <c r="F170" s="277">
        <v>0</v>
      </c>
      <c r="G170" s="277">
        <v>0</v>
      </c>
      <c r="H170" s="277">
        <v>0</v>
      </c>
      <c r="I170" s="277">
        <v>0</v>
      </c>
    </row>
    <row r="171" spans="1:9" x14ac:dyDescent="0.3">
      <c r="A171" s="21">
        <f>DATE(INT(LEFT($B$3,4)),12,1)</f>
        <v>45992</v>
      </c>
      <c r="B171" s="277">
        <v>0</v>
      </c>
      <c r="C171" s="277">
        <v>0</v>
      </c>
      <c r="D171" s="277">
        <v>0</v>
      </c>
      <c r="E171" s="277">
        <v>0</v>
      </c>
      <c r="F171" s="277">
        <v>0</v>
      </c>
      <c r="G171" s="277">
        <v>0</v>
      </c>
      <c r="H171" s="277">
        <v>0</v>
      </c>
      <c r="I171" s="277">
        <v>0</v>
      </c>
    </row>
    <row r="172" spans="1:9" x14ac:dyDescent="0.3">
      <c r="A172" s="21">
        <f>DATE(INT(LEFT($B$3,4))+1,1,1)</f>
        <v>46023</v>
      </c>
      <c r="B172" s="277">
        <v>0</v>
      </c>
      <c r="C172" s="277">
        <v>0</v>
      </c>
      <c r="D172" s="277">
        <v>0</v>
      </c>
      <c r="E172" s="277">
        <v>0</v>
      </c>
      <c r="F172" s="277">
        <v>0</v>
      </c>
      <c r="G172" s="277">
        <v>0</v>
      </c>
      <c r="H172" s="277">
        <v>0</v>
      </c>
      <c r="I172" s="277">
        <v>0</v>
      </c>
    </row>
    <row r="173" spans="1:9" x14ac:dyDescent="0.3">
      <c r="A173" s="21">
        <f>DATE(INT(LEFT($B$3,4))+1,2,1)</f>
        <v>46054</v>
      </c>
      <c r="B173" s="277">
        <v>0</v>
      </c>
      <c r="C173" s="277">
        <v>0</v>
      </c>
      <c r="D173" s="277">
        <v>0</v>
      </c>
      <c r="E173" s="277">
        <v>0</v>
      </c>
      <c r="F173" s="277">
        <v>0</v>
      </c>
      <c r="G173" s="277">
        <v>0</v>
      </c>
      <c r="H173" s="277">
        <v>0</v>
      </c>
      <c r="I173" s="277">
        <v>0</v>
      </c>
    </row>
    <row r="174" spans="1:9" x14ac:dyDescent="0.3">
      <c r="A174" s="21">
        <f>DATE(INT(LEFT($B$3,4))+1,3,1)</f>
        <v>46082</v>
      </c>
      <c r="B174" s="277">
        <v>0</v>
      </c>
      <c r="C174" s="277">
        <v>0</v>
      </c>
      <c r="D174" s="277">
        <v>0</v>
      </c>
      <c r="E174" s="277">
        <v>0</v>
      </c>
      <c r="F174" s="277">
        <v>0</v>
      </c>
      <c r="G174" s="277">
        <v>0</v>
      </c>
      <c r="H174" s="277">
        <v>0</v>
      </c>
      <c r="I174" s="277">
        <v>0</v>
      </c>
    </row>
    <row r="175" spans="1:9" x14ac:dyDescent="0.3">
      <c r="A175" s="355"/>
      <c r="B175" s="360"/>
      <c r="C175" s="360"/>
      <c r="D175" s="360"/>
      <c r="E175" s="360"/>
      <c r="F175" s="360"/>
      <c r="G175" s="360"/>
      <c r="H175" s="360"/>
      <c r="I175" s="361"/>
    </row>
    <row r="176" spans="1:9" ht="16.8" x14ac:dyDescent="0.3">
      <c r="A176" s="358" t="s">
        <v>91</v>
      </c>
      <c r="B176" s="342">
        <f>SUM(B163:B175)</f>
        <v>0</v>
      </c>
      <c r="C176" s="342">
        <f t="shared" ref="C176" si="13">SUM(C163:C175)</f>
        <v>0</v>
      </c>
      <c r="D176" s="342">
        <f t="shared" ref="D176" si="14">SUM(D163:D175)</f>
        <v>0</v>
      </c>
      <c r="E176" s="342">
        <f t="shared" ref="E176" si="15">SUM(E163:E175)</f>
        <v>0</v>
      </c>
      <c r="F176" s="342">
        <f t="shared" ref="F176" si="16">SUM(F163:F175)</f>
        <v>0</v>
      </c>
      <c r="G176" s="342">
        <f t="shared" ref="G176" si="17">SUM(G163:G175)</f>
        <v>0</v>
      </c>
      <c r="H176" s="342">
        <f t="shared" ref="H176" si="18">SUM(H163:H175)</f>
        <v>0</v>
      </c>
      <c r="I176" s="343">
        <f t="shared" ref="I176" si="19">SUM(I163:I175)</f>
        <v>0</v>
      </c>
    </row>
    <row r="180" spans="1:11" ht="18" x14ac:dyDescent="0.35">
      <c r="A180" s="14" t="s">
        <v>204</v>
      </c>
    </row>
    <row r="182" spans="1:11" ht="18" customHeight="1" x14ac:dyDescent="0.3">
      <c r="A182" s="317" t="s">
        <v>81</v>
      </c>
      <c r="B182" s="16"/>
      <c r="C182" s="16"/>
      <c r="D182" s="16"/>
      <c r="E182" s="16"/>
      <c r="F182" s="16"/>
      <c r="G182" s="16"/>
      <c r="H182" s="16"/>
      <c r="I182" s="16"/>
      <c r="J182" s="16"/>
      <c r="K182" s="41"/>
    </row>
    <row r="183" spans="1:11" ht="33" customHeight="1" x14ac:dyDescent="0.3">
      <c r="A183" s="367" t="s">
        <v>82</v>
      </c>
      <c r="B183" s="322" t="s">
        <v>205</v>
      </c>
      <c r="C183" s="322" t="s">
        <v>206</v>
      </c>
      <c r="D183" s="322" t="s">
        <v>207</v>
      </c>
      <c r="E183" s="322" t="s">
        <v>208</v>
      </c>
      <c r="F183" s="322" t="s">
        <v>209</v>
      </c>
      <c r="G183" s="322" t="s">
        <v>210</v>
      </c>
      <c r="H183" s="322" t="s">
        <v>210</v>
      </c>
      <c r="I183" s="322" t="s">
        <v>210</v>
      </c>
      <c r="J183" s="322" t="s">
        <v>210</v>
      </c>
      <c r="K183" s="359" t="s">
        <v>91</v>
      </c>
    </row>
    <row r="184" spans="1:11" ht="20.100000000000001" customHeight="1" x14ac:dyDescent="0.3">
      <c r="A184" s="362" t="s">
        <v>190</v>
      </c>
      <c r="B184" s="368"/>
      <c r="C184" s="368"/>
      <c r="D184" s="368"/>
      <c r="E184" s="368"/>
      <c r="F184" s="368"/>
      <c r="G184" s="368"/>
      <c r="H184" s="368"/>
      <c r="I184" s="368"/>
      <c r="J184" s="368"/>
      <c r="K184" s="369"/>
    </row>
    <row r="185" spans="1:11" x14ac:dyDescent="0.3">
      <c r="A185" s="21">
        <f>DATE(INT(LEFT($B$3,4)),4,1)</f>
        <v>45748</v>
      </c>
      <c r="B185" s="283">
        <v>0</v>
      </c>
      <c r="C185" s="283">
        <v>0</v>
      </c>
      <c r="D185" s="283">
        <v>0</v>
      </c>
      <c r="E185" s="283">
        <v>0</v>
      </c>
      <c r="F185" s="283">
        <v>0</v>
      </c>
      <c r="G185" s="283">
        <v>0</v>
      </c>
      <c r="H185" s="283">
        <v>0</v>
      </c>
      <c r="I185" s="283">
        <v>0</v>
      </c>
      <c r="J185" s="283">
        <v>0</v>
      </c>
      <c r="K185" s="283">
        <f>SUM(B185:J185)</f>
        <v>0</v>
      </c>
    </row>
    <row r="186" spans="1:11" x14ac:dyDescent="0.3">
      <c r="A186" s="21">
        <f>DATE(INT(LEFT($B$3,4)),5,1)</f>
        <v>45778</v>
      </c>
      <c r="B186" s="283">
        <v>0</v>
      </c>
      <c r="C186" s="283">
        <v>0</v>
      </c>
      <c r="D186" s="283">
        <v>0</v>
      </c>
      <c r="E186" s="283">
        <v>0</v>
      </c>
      <c r="F186" s="283">
        <v>0</v>
      </c>
      <c r="G186" s="283">
        <v>0</v>
      </c>
      <c r="H186" s="283">
        <v>0</v>
      </c>
      <c r="I186" s="283">
        <v>0</v>
      </c>
      <c r="J186" s="283">
        <v>0</v>
      </c>
      <c r="K186" s="283">
        <f t="shared" ref="K186:K196" si="20">SUM(B186:J186)</f>
        <v>0</v>
      </c>
    </row>
    <row r="187" spans="1:11" x14ac:dyDescent="0.3">
      <c r="A187" s="21">
        <f>DATE(INT(LEFT($B$3,4)),6,1)</f>
        <v>45809</v>
      </c>
      <c r="B187" s="283">
        <v>0</v>
      </c>
      <c r="C187" s="283">
        <v>0</v>
      </c>
      <c r="D187" s="283">
        <v>0</v>
      </c>
      <c r="E187" s="283">
        <v>0</v>
      </c>
      <c r="F187" s="283">
        <v>0</v>
      </c>
      <c r="G187" s="283">
        <v>0</v>
      </c>
      <c r="H187" s="283">
        <v>0</v>
      </c>
      <c r="I187" s="283">
        <v>0</v>
      </c>
      <c r="J187" s="283">
        <v>0</v>
      </c>
      <c r="K187" s="283">
        <f t="shared" si="20"/>
        <v>0</v>
      </c>
    </row>
    <row r="188" spans="1:11" x14ac:dyDescent="0.3">
      <c r="A188" s="21">
        <f>DATE(INT(LEFT($B$3,4)),7,1)</f>
        <v>45839</v>
      </c>
      <c r="B188" s="283">
        <v>0</v>
      </c>
      <c r="C188" s="283">
        <v>0</v>
      </c>
      <c r="D188" s="283">
        <v>0</v>
      </c>
      <c r="E188" s="283">
        <v>0</v>
      </c>
      <c r="F188" s="283">
        <v>0</v>
      </c>
      <c r="G188" s="283">
        <v>0</v>
      </c>
      <c r="H188" s="283">
        <v>0</v>
      </c>
      <c r="I188" s="283">
        <v>0</v>
      </c>
      <c r="J188" s="283">
        <v>0</v>
      </c>
      <c r="K188" s="283">
        <f t="shared" si="20"/>
        <v>0</v>
      </c>
    </row>
    <row r="189" spans="1:11" x14ac:dyDescent="0.3">
      <c r="A189" s="21">
        <f>DATE(INT(LEFT($B$3,4)),8,1)</f>
        <v>45870</v>
      </c>
      <c r="B189" s="283">
        <v>0</v>
      </c>
      <c r="C189" s="283">
        <v>0</v>
      </c>
      <c r="D189" s="283">
        <v>0</v>
      </c>
      <c r="E189" s="283">
        <v>0</v>
      </c>
      <c r="F189" s="283">
        <v>0</v>
      </c>
      <c r="G189" s="283">
        <v>0</v>
      </c>
      <c r="H189" s="283">
        <v>0</v>
      </c>
      <c r="I189" s="283">
        <v>0</v>
      </c>
      <c r="J189" s="283">
        <v>0</v>
      </c>
      <c r="K189" s="283">
        <f t="shared" si="20"/>
        <v>0</v>
      </c>
    </row>
    <row r="190" spans="1:11" x14ac:dyDescent="0.3">
      <c r="A190" s="21">
        <f>DATE(INT(LEFT($B$3,4)),9,1)</f>
        <v>45901</v>
      </c>
      <c r="B190" s="283">
        <v>0</v>
      </c>
      <c r="C190" s="283">
        <v>0</v>
      </c>
      <c r="D190" s="283">
        <v>0</v>
      </c>
      <c r="E190" s="283">
        <v>0</v>
      </c>
      <c r="F190" s="283">
        <v>0</v>
      </c>
      <c r="G190" s="283">
        <v>0</v>
      </c>
      <c r="H190" s="283">
        <v>0</v>
      </c>
      <c r="I190" s="283">
        <v>0</v>
      </c>
      <c r="J190" s="283">
        <v>0</v>
      </c>
      <c r="K190" s="283">
        <f t="shared" si="20"/>
        <v>0</v>
      </c>
    </row>
    <row r="191" spans="1:11" x14ac:dyDescent="0.3">
      <c r="A191" s="21">
        <f>DATE(INT(LEFT($B$3,4)),10,1)</f>
        <v>45931</v>
      </c>
      <c r="B191" s="283">
        <v>0</v>
      </c>
      <c r="C191" s="283">
        <v>0</v>
      </c>
      <c r="D191" s="283">
        <v>0</v>
      </c>
      <c r="E191" s="283">
        <v>0</v>
      </c>
      <c r="F191" s="283">
        <v>0</v>
      </c>
      <c r="G191" s="283">
        <v>0</v>
      </c>
      <c r="H191" s="283">
        <v>0</v>
      </c>
      <c r="I191" s="283">
        <v>0</v>
      </c>
      <c r="J191" s="283">
        <v>0</v>
      </c>
      <c r="K191" s="283">
        <f t="shared" si="20"/>
        <v>0</v>
      </c>
    </row>
    <row r="192" spans="1:11" x14ac:dyDescent="0.3">
      <c r="A192" s="21">
        <f>DATE(INT(LEFT($B$3,4)),11,1)</f>
        <v>45962</v>
      </c>
      <c r="B192" s="283">
        <v>0</v>
      </c>
      <c r="C192" s="283">
        <v>0</v>
      </c>
      <c r="D192" s="283">
        <v>0</v>
      </c>
      <c r="E192" s="283">
        <v>0</v>
      </c>
      <c r="F192" s="283">
        <v>0</v>
      </c>
      <c r="G192" s="283">
        <v>0</v>
      </c>
      <c r="H192" s="283">
        <v>0</v>
      </c>
      <c r="I192" s="283">
        <v>0</v>
      </c>
      <c r="J192" s="283">
        <v>0</v>
      </c>
      <c r="K192" s="283">
        <f t="shared" si="20"/>
        <v>0</v>
      </c>
    </row>
    <row r="193" spans="1:11" x14ac:dyDescent="0.3">
      <c r="A193" s="21">
        <f>DATE(INT(LEFT($B$3,4)),12,1)</f>
        <v>45992</v>
      </c>
      <c r="B193" s="283">
        <v>0</v>
      </c>
      <c r="C193" s="283">
        <v>0</v>
      </c>
      <c r="D193" s="283">
        <v>0</v>
      </c>
      <c r="E193" s="283">
        <v>0</v>
      </c>
      <c r="F193" s="283">
        <v>0</v>
      </c>
      <c r="G193" s="283">
        <v>0</v>
      </c>
      <c r="H193" s="283">
        <v>0</v>
      </c>
      <c r="I193" s="283">
        <v>0</v>
      </c>
      <c r="J193" s="283">
        <v>0</v>
      </c>
      <c r="K193" s="283">
        <f t="shared" si="20"/>
        <v>0</v>
      </c>
    </row>
    <row r="194" spans="1:11" x14ac:dyDescent="0.3">
      <c r="A194" s="21">
        <f>DATE(INT(LEFT($B$3,4))+1,1,1)</f>
        <v>46023</v>
      </c>
      <c r="B194" s="283">
        <v>0</v>
      </c>
      <c r="C194" s="283">
        <v>0</v>
      </c>
      <c r="D194" s="283">
        <v>0</v>
      </c>
      <c r="E194" s="283">
        <v>0</v>
      </c>
      <c r="F194" s="283">
        <v>0</v>
      </c>
      <c r="G194" s="283">
        <v>0</v>
      </c>
      <c r="H194" s="283">
        <v>0</v>
      </c>
      <c r="I194" s="283">
        <v>0</v>
      </c>
      <c r="J194" s="283">
        <v>0</v>
      </c>
      <c r="K194" s="283">
        <f t="shared" si="20"/>
        <v>0</v>
      </c>
    </row>
    <row r="195" spans="1:11" x14ac:dyDescent="0.3">
      <c r="A195" s="21">
        <f>DATE(INT(LEFT($B$3,4))+1,2,1)</f>
        <v>46054</v>
      </c>
      <c r="B195" s="283">
        <v>0</v>
      </c>
      <c r="C195" s="283">
        <v>0</v>
      </c>
      <c r="D195" s="283">
        <v>0</v>
      </c>
      <c r="E195" s="283">
        <v>0</v>
      </c>
      <c r="F195" s="283">
        <v>0</v>
      </c>
      <c r="G195" s="283">
        <v>0</v>
      </c>
      <c r="H195" s="283">
        <v>0</v>
      </c>
      <c r="I195" s="283">
        <v>0</v>
      </c>
      <c r="J195" s="283">
        <v>0</v>
      </c>
      <c r="K195" s="283">
        <f t="shared" si="20"/>
        <v>0</v>
      </c>
    </row>
    <row r="196" spans="1:11" x14ac:dyDescent="0.3">
      <c r="A196" s="21">
        <f>DATE(INT(LEFT($B$3,4))+1,3,1)</f>
        <v>46082</v>
      </c>
      <c r="B196" s="283">
        <v>0</v>
      </c>
      <c r="C196" s="283">
        <v>0</v>
      </c>
      <c r="D196" s="283">
        <v>0</v>
      </c>
      <c r="E196" s="283">
        <v>0</v>
      </c>
      <c r="F196" s="283">
        <v>0</v>
      </c>
      <c r="G196" s="283">
        <v>0</v>
      </c>
      <c r="H196" s="283">
        <v>0</v>
      </c>
      <c r="I196" s="283">
        <v>0</v>
      </c>
      <c r="J196" s="283">
        <v>0</v>
      </c>
      <c r="K196" s="283">
        <f t="shared" si="20"/>
        <v>0</v>
      </c>
    </row>
    <row r="197" spans="1:11" x14ac:dyDescent="0.3">
      <c r="A197" s="355"/>
      <c r="B197" s="360"/>
      <c r="C197" s="360"/>
      <c r="D197" s="360"/>
      <c r="E197" s="360"/>
      <c r="F197" s="360"/>
      <c r="G197" s="360"/>
      <c r="H197" s="365"/>
      <c r="I197" s="360"/>
      <c r="J197" s="360"/>
      <c r="K197" s="361"/>
    </row>
    <row r="198" spans="1:11" ht="16.8" x14ac:dyDescent="0.3">
      <c r="A198" s="358" t="s">
        <v>91</v>
      </c>
      <c r="B198" s="342">
        <f>SUM(B185:B197)</f>
        <v>0</v>
      </c>
      <c r="C198" s="342">
        <f t="shared" ref="C198:K198" si="21">SUM(C185:C197)</f>
        <v>0</v>
      </c>
      <c r="D198" s="342">
        <f t="shared" si="21"/>
        <v>0</v>
      </c>
      <c r="E198" s="342">
        <f t="shared" si="21"/>
        <v>0</v>
      </c>
      <c r="F198" s="342">
        <f t="shared" si="21"/>
        <v>0</v>
      </c>
      <c r="G198" s="342">
        <f t="shared" si="21"/>
        <v>0</v>
      </c>
      <c r="H198" s="342">
        <f t="shared" si="21"/>
        <v>0</v>
      </c>
      <c r="I198" s="342">
        <f t="shared" si="21"/>
        <v>0</v>
      </c>
      <c r="J198" s="342">
        <f t="shared" si="21"/>
        <v>0</v>
      </c>
      <c r="K198" s="343">
        <f t="shared" si="21"/>
        <v>0</v>
      </c>
    </row>
    <row r="202" spans="1:11" ht="18" x14ac:dyDescent="0.35">
      <c r="A202" s="14" t="s">
        <v>202</v>
      </c>
    </row>
    <row r="204" spans="1:11" ht="17.399999999999999" x14ac:dyDescent="0.3">
      <c r="A204" s="317" t="s">
        <v>81</v>
      </c>
      <c r="B204" s="131"/>
      <c r="C204" s="131"/>
      <c r="D204" s="16"/>
      <c r="E204" s="17"/>
      <c r="F204" s="17"/>
      <c r="G204" s="17"/>
      <c r="H204" s="17"/>
      <c r="I204" s="17"/>
      <c r="J204" s="17"/>
      <c r="K204" s="18"/>
    </row>
    <row r="205" spans="1:11" ht="24" customHeight="1" x14ac:dyDescent="0.3">
      <c r="A205" s="501" t="s">
        <v>82</v>
      </c>
      <c r="B205" s="514" t="s">
        <v>201</v>
      </c>
      <c r="C205" s="514"/>
      <c r="D205" s="514" t="s">
        <v>200</v>
      </c>
      <c r="E205" s="514"/>
      <c r="F205" s="514" t="s">
        <v>440</v>
      </c>
      <c r="G205" s="514"/>
      <c r="H205" s="514" t="s">
        <v>201</v>
      </c>
      <c r="I205" s="514"/>
      <c r="J205" s="517" t="s">
        <v>91</v>
      </c>
      <c r="K205" s="515"/>
    </row>
    <row r="206" spans="1:11" ht="20.25" customHeight="1" x14ac:dyDescent="0.3">
      <c r="A206" s="502"/>
      <c r="B206" s="322" t="s">
        <v>438</v>
      </c>
      <c r="C206" s="322" t="s">
        <v>439</v>
      </c>
      <c r="D206" s="322" t="s">
        <v>438</v>
      </c>
      <c r="E206" s="322" t="s">
        <v>439</v>
      </c>
      <c r="F206" s="322" t="s">
        <v>438</v>
      </c>
      <c r="G206" s="322" t="s">
        <v>439</v>
      </c>
      <c r="H206" s="322" t="s">
        <v>438</v>
      </c>
      <c r="I206" s="322" t="s">
        <v>439</v>
      </c>
      <c r="J206" s="322" t="s">
        <v>438</v>
      </c>
      <c r="K206" s="359" t="s">
        <v>439</v>
      </c>
    </row>
    <row r="207" spans="1:11" x14ac:dyDescent="0.3">
      <c r="A207" s="21">
        <f>DATE(INT(LEFT($B$3,4)),4,1)</f>
        <v>45748</v>
      </c>
      <c r="B207" s="277">
        <v>0</v>
      </c>
      <c r="C207" s="277">
        <v>0</v>
      </c>
      <c r="D207" s="277">
        <v>0</v>
      </c>
      <c r="E207" s="277">
        <v>0</v>
      </c>
      <c r="F207" s="277">
        <v>0</v>
      </c>
      <c r="G207" s="277">
        <v>0</v>
      </c>
      <c r="H207" s="277">
        <v>0</v>
      </c>
      <c r="I207" s="277">
        <v>0</v>
      </c>
      <c r="J207" s="277">
        <f>SUMIF($B$206:$I$206,$J$206,B207:I207)</f>
        <v>0</v>
      </c>
      <c r="K207" s="278">
        <f>SUMIF($B$206:$I$206,$K$206,B207:I207)</f>
        <v>0</v>
      </c>
    </row>
    <row r="208" spans="1:11" x14ac:dyDescent="0.3">
      <c r="A208" s="21">
        <f>DATE(INT(LEFT($B$3,4)),5,1)</f>
        <v>45778</v>
      </c>
      <c r="B208" s="277">
        <v>0</v>
      </c>
      <c r="C208" s="277">
        <v>0</v>
      </c>
      <c r="D208" s="277">
        <v>0</v>
      </c>
      <c r="E208" s="277">
        <v>0</v>
      </c>
      <c r="F208" s="277">
        <v>0</v>
      </c>
      <c r="G208" s="277">
        <v>0</v>
      </c>
      <c r="H208" s="277">
        <v>0</v>
      </c>
      <c r="I208" s="277">
        <v>0</v>
      </c>
      <c r="J208" s="277">
        <f t="shared" ref="J208:J218" si="22">SUMIF($B$206:$I$206,$J$206,B208:I208)</f>
        <v>0</v>
      </c>
      <c r="K208" s="278">
        <f t="shared" ref="K208:K218" si="23">SUMIF($B$206:$I$206,$K$206,B208:I208)</f>
        <v>0</v>
      </c>
    </row>
    <row r="209" spans="1:11" x14ac:dyDescent="0.3">
      <c r="A209" s="21">
        <f>DATE(INT(LEFT($B$3,4)),6,1)</f>
        <v>45809</v>
      </c>
      <c r="B209" s="277">
        <v>0</v>
      </c>
      <c r="C209" s="277">
        <v>0</v>
      </c>
      <c r="D209" s="277">
        <v>0</v>
      </c>
      <c r="E209" s="277">
        <v>0</v>
      </c>
      <c r="F209" s="277">
        <v>0</v>
      </c>
      <c r="G209" s="277">
        <v>0</v>
      </c>
      <c r="H209" s="277">
        <v>0</v>
      </c>
      <c r="I209" s="277">
        <v>0</v>
      </c>
      <c r="J209" s="277">
        <f t="shared" si="22"/>
        <v>0</v>
      </c>
      <c r="K209" s="278">
        <f t="shared" si="23"/>
        <v>0</v>
      </c>
    </row>
    <row r="210" spans="1:11" x14ac:dyDescent="0.3">
      <c r="A210" s="21">
        <f>DATE(INT(LEFT($B$3,4)),7,1)</f>
        <v>45839</v>
      </c>
      <c r="B210" s="277">
        <v>0</v>
      </c>
      <c r="C210" s="51">
        <v>0</v>
      </c>
      <c r="D210" s="86"/>
      <c r="E210" s="51">
        <v>0</v>
      </c>
      <c r="F210" s="86">
        <v>0</v>
      </c>
      <c r="G210" s="51">
        <v>0</v>
      </c>
      <c r="H210" s="51">
        <v>0</v>
      </c>
      <c r="I210" s="51">
        <v>0</v>
      </c>
      <c r="J210" s="51">
        <f t="shared" si="22"/>
        <v>0</v>
      </c>
      <c r="K210" s="22">
        <f t="shared" si="23"/>
        <v>0</v>
      </c>
    </row>
    <row r="211" spans="1:11" x14ac:dyDescent="0.3">
      <c r="A211" s="21">
        <f>DATE(INT(LEFT($B$3,4)),8,1)</f>
        <v>45870</v>
      </c>
      <c r="B211" s="277">
        <v>0</v>
      </c>
      <c r="C211" s="51">
        <v>0</v>
      </c>
      <c r="D211" s="86"/>
      <c r="E211" s="51">
        <v>0</v>
      </c>
      <c r="F211" s="86">
        <v>0</v>
      </c>
      <c r="G211" s="51">
        <v>0</v>
      </c>
      <c r="H211" s="51">
        <v>0</v>
      </c>
      <c r="I211" s="51">
        <v>0</v>
      </c>
      <c r="J211" s="51">
        <f t="shared" si="22"/>
        <v>0</v>
      </c>
      <c r="K211" s="22">
        <f t="shared" si="23"/>
        <v>0</v>
      </c>
    </row>
    <row r="212" spans="1:11" x14ac:dyDescent="0.3">
      <c r="A212" s="21">
        <f>DATE(INT(LEFT($B$3,4)),9,1)</f>
        <v>45901</v>
      </c>
      <c r="B212" s="277">
        <v>0</v>
      </c>
      <c r="C212" s="51">
        <v>0</v>
      </c>
      <c r="D212" s="86"/>
      <c r="E212" s="51">
        <v>0</v>
      </c>
      <c r="F212" s="86">
        <v>0</v>
      </c>
      <c r="G212" s="51">
        <v>0</v>
      </c>
      <c r="H212" s="51">
        <v>0</v>
      </c>
      <c r="I212" s="51">
        <v>0</v>
      </c>
      <c r="J212" s="51">
        <f t="shared" si="22"/>
        <v>0</v>
      </c>
      <c r="K212" s="22">
        <f t="shared" si="23"/>
        <v>0</v>
      </c>
    </row>
    <row r="213" spans="1:11" x14ac:dyDescent="0.3">
      <c r="A213" s="21">
        <f>DATE(INT(LEFT($B$3,4)),10,1)</f>
        <v>45931</v>
      </c>
      <c r="B213" s="277">
        <v>0</v>
      </c>
      <c r="C213" s="51">
        <v>0</v>
      </c>
      <c r="D213" s="86"/>
      <c r="E213" s="51">
        <v>0</v>
      </c>
      <c r="F213" s="86">
        <v>0</v>
      </c>
      <c r="G213" s="51">
        <v>0</v>
      </c>
      <c r="H213" s="51">
        <v>0</v>
      </c>
      <c r="I213" s="51">
        <v>0</v>
      </c>
      <c r="J213" s="51">
        <f t="shared" si="22"/>
        <v>0</v>
      </c>
      <c r="K213" s="22">
        <f t="shared" si="23"/>
        <v>0</v>
      </c>
    </row>
    <row r="214" spans="1:11" x14ac:dyDescent="0.3">
      <c r="A214" s="21">
        <f>DATE(INT(LEFT($B$3,4)),11,1)</f>
        <v>45962</v>
      </c>
      <c r="B214" s="277">
        <v>0</v>
      </c>
      <c r="C214" s="51">
        <v>0</v>
      </c>
      <c r="D214" s="86"/>
      <c r="E214" s="51">
        <v>0</v>
      </c>
      <c r="F214" s="86">
        <v>0</v>
      </c>
      <c r="G214" s="51">
        <v>0</v>
      </c>
      <c r="H214" s="51">
        <v>0</v>
      </c>
      <c r="I214" s="51">
        <v>0</v>
      </c>
      <c r="J214" s="51">
        <f t="shared" si="22"/>
        <v>0</v>
      </c>
      <c r="K214" s="22">
        <f t="shared" si="23"/>
        <v>0</v>
      </c>
    </row>
    <row r="215" spans="1:11" x14ac:dyDescent="0.3">
      <c r="A215" s="21">
        <f>DATE(INT(LEFT($B$3,4)),12,1)</f>
        <v>45992</v>
      </c>
      <c r="B215" s="277">
        <v>0</v>
      </c>
      <c r="C215" s="51">
        <v>0</v>
      </c>
      <c r="D215" s="86"/>
      <c r="E215" s="51">
        <v>0</v>
      </c>
      <c r="F215" s="86">
        <v>0</v>
      </c>
      <c r="G215" s="51">
        <v>0</v>
      </c>
      <c r="H215" s="51">
        <v>0</v>
      </c>
      <c r="I215" s="51">
        <v>0</v>
      </c>
      <c r="J215" s="51">
        <f t="shared" si="22"/>
        <v>0</v>
      </c>
      <c r="K215" s="22">
        <f t="shared" si="23"/>
        <v>0</v>
      </c>
    </row>
    <row r="216" spans="1:11" x14ac:dyDescent="0.3">
      <c r="A216" s="21">
        <f>DATE(INT(LEFT($B$3,4))+1,1,1)</f>
        <v>46023</v>
      </c>
      <c r="B216" s="277">
        <v>0</v>
      </c>
      <c r="C216" s="51">
        <v>0</v>
      </c>
      <c r="D216" s="86"/>
      <c r="E216" s="51">
        <v>0</v>
      </c>
      <c r="F216" s="86">
        <v>0</v>
      </c>
      <c r="G216" s="51">
        <v>0</v>
      </c>
      <c r="H216" s="51">
        <v>0</v>
      </c>
      <c r="I216" s="51">
        <v>0</v>
      </c>
      <c r="J216" s="51">
        <f t="shared" si="22"/>
        <v>0</v>
      </c>
      <c r="K216" s="22">
        <f t="shared" si="23"/>
        <v>0</v>
      </c>
    </row>
    <row r="217" spans="1:11" x14ac:dyDescent="0.3">
      <c r="A217" s="21">
        <f>DATE(INT(LEFT($B$3,4))+1,2,1)</f>
        <v>46054</v>
      </c>
      <c r="B217" s="277">
        <v>0</v>
      </c>
      <c r="C217" s="51">
        <v>0</v>
      </c>
      <c r="D217" s="86"/>
      <c r="E217" s="51">
        <v>0</v>
      </c>
      <c r="F217" s="86">
        <v>0</v>
      </c>
      <c r="G217" s="51">
        <v>0</v>
      </c>
      <c r="H217" s="51">
        <v>0</v>
      </c>
      <c r="I217" s="51">
        <v>0</v>
      </c>
      <c r="J217" s="51">
        <f t="shared" si="22"/>
        <v>0</v>
      </c>
      <c r="K217" s="22">
        <f t="shared" si="23"/>
        <v>0</v>
      </c>
    </row>
    <row r="218" spans="1:11" x14ac:dyDescent="0.3">
      <c r="A218" s="21">
        <f>DATE(INT(LEFT($B$3,4))+1,3,1)</f>
        <v>46082</v>
      </c>
      <c r="B218" s="277">
        <v>0</v>
      </c>
      <c r="C218" s="51">
        <v>0</v>
      </c>
      <c r="D218" s="86"/>
      <c r="E218" s="51">
        <v>0</v>
      </c>
      <c r="F218" s="86">
        <v>0</v>
      </c>
      <c r="G218" s="51">
        <v>0</v>
      </c>
      <c r="H218" s="51">
        <v>0</v>
      </c>
      <c r="I218" s="51">
        <v>0</v>
      </c>
      <c r="J218" s="51">
        <f t="shared" si="22"/>
        <v>0</v>
      </c>
      <c r="K218" s="22">
        <f t="shared" si="23"/>
        <v>0</v>
      </c>
    </row>
    <row r="219" spans="1:11" x14ac:dyDescent="0.3">
      <c r="A219" s="355"/>
      <c r="B219" s="360"/>
      <c r="C219" s="360"/>
      <c r="D219" s="360"/>
      <c r="E219" s="360"/>
      <c r="F219" s="360"/>
      <c r="G219" s="360"/>
      <c r="H219" s="360"/>
      <c r="I219" s="360"/>
      <c r="J219" s="360"/>
      <c r="K219" s="361"/>
    </row>
    <row r="220" spans="1:11" ht="16.8" x14ac:dyDescent="0.3">
      <c r="A220" s="358" t="s">
        <v>91</v>
      </c>
      <c r="B220" s="342">
        <f t="shared" ref="B220:K220" si="24">SUM(B207:B219)</f>
        <v>0</v>
      </c>
      <c r="C220" s="342">
        <f t="shared" si="24"/>
        <v>0</v>
      </c>
      <c r="D220" s="342">
        <f t="shared" si="24"/>
        <v>0</v>
      </c>
      <c r="E220" s="342">
        <f t="shared" si="24"/>
        <v>0</v>
      </c>
      <c r="F220" s="342">
        <f t="shared" si="24"/>
        <v>0</v>
      </c>
      <c r="G220" s="342">
        <f t="shared" si="24"/>
        <v>0</v>
      </c>
      <c r="H220" s="342">
        <f t="shared" si="24"/>
        <v>0</v>
      </c>
      <c r="I220" s="342">
        <f t="shared" si="24"/>
        <v>0</v>
      </c>
      <c r="J220" s="342">
        <f t="shared" si="24"/>
        <v>0</v>
      </c>
      <c r="K220" s="343">
        <f t="shared" si="24"/>
        <v>0</v>
      </c>
    </row>
    <row r="224" spans="1:11" ht="18" x14ac:dyDescent="0.35">
      <c r="A224" s="14" t="s">
        <v>203</v>
      </c>
    </row>
    <row r="226" spans="1:11" ht="17.399999999999999" x14ac:dyDescent="0.3">
      <c r="A226" s="317" t="s">
        <v>81</v>
      </c>
      <c r="B226" s="131"/>
      <c r="C226" s="131"/>
      <c r="D226" s="16"/>
      <c r="E226" s="17"/>
      <c r="F226" s="17"/>
      <c r="G226" s="17"/>
      <c r="H226" s="17"/>
      <c r="I226" s="17"/>
      <c r="J226" s="17"/>
      <c r="K226" s="18"/>
    </row>
    <row r="227" spans="1:11" ht="20.100000000000001" customHeight="1" x14ac:dyDescent="0.3">
      <c r="A227" s="501" t="s">
        <v>82</v>
      </c>
      <c r="B227" s="518">
        <v>0.05</v>
      </c>
      <c r="C227" s="518"/>
      <c r="D227" s="518">
        <v>0.12</v>
      </c>
      <c r="E227" s="518"/>
      <c r="F227" s="518">
        <v>0.18</v>
      </c>
      <c r="G227" s="518"/>
      <c r="H227" s="518">
        <v>0.28000000000000003</v>
      </c>
      <c r="I227" s="518"/>
      <c r="J227" s="517" t="s">
        <v>91</v>
      </c>
      <c r="K227" s="515"/>
    </row>
    <row r="228" spans="1:11" ht="20.25" customHeight="1" x14ac:dyDescent="0.3">
      <c r="A228" s="502"/>
      <c r="B228" s="322" t="s">
        <v>438</v>
      </c>
      <c r="C228" s="322" t="s">
        <v>439</v>
      </c>
      <c r="D228" s="322" t="s">
        <v>438</v>
      </c>
      <c r="E228" s="322" t="s">
        <v>439</v>
      </c>
      <c r="F228" s="322" t="s">
        <v>438</v>
      </c>
      <c r="G228" s="322" t="s">
        <v>439</v>
      </c>
      <c r="H228" s="322" t="s">
        <v>438</v>
      </c>
      <c r="I228" s="322" t="s">
        <v>439</v>
      </c>
      <c r="J228" s="322" t="s">
        <v>438</v>
      </c>
      <c r="K228" s="359" t="s">
        <v>439</v>
      </c>
    </row>
    <row r="229" spans="1:11" x14ac:dyDescent="0.3">
      <c r="A229" s="21">
        <f>DATE(INT(LEFT($B$3,4)),4,1)</f>
        <v>45748</v>
      </c>
      <c r="B229" s="277">
        <v>0</v>
      </c>
      <c r="C229" s="277">
        <v>0</v>
      </c>
      <c r="D229" s="277">
        <v>0</v>
      </c>
      <c r="E229" s="277">
        <v>0</v>
      </c>
      <c r="F229" s="277">
        <v>0</v>
      </c>
      <c r="G229" s="277">
        <v>0</v>
      </c>
      <c r="H229" s="277">
        <v>0</v>
      </c>
      <c r="I229" s="277">
        <v>0</v>
      </c>
      <c r="J229" s="277">
        <f>SUMIF($B$228:$I$228,$J$228,B229:I229)</f>
        <v>0</v>
      </c>
      <c r="K229" s="278">
        <f>SUMIF($B$228:$I$228,$K$228,B229:I229)</f>
        <v>0</v>
      </c>
    </row>
    <row r="230" spans="1:11" x14ac:dyDescent="0.3">
      <c r="A230" s="21">
        <f>DATE(INT(LEFT($B$3,4)),5,1)</f>
        <v>45778</v>
      </c>
      <c r="B230" s="277">
        <v>0</v>
      </c>
      <c r="C230" s="277">
        <v>0</v>
      </c>
      <c r="D230" s="277">
        <v>0</v>
      </c>
      <c r="E230" s="277">
        <v>0</v>
      </c>
      <c r="F230" s="277">
        <v>0</v>
      </c>
      <c r="G230" s="277">
        <v>0</v>
      </c>
      <c r="H230" s="277">
        <v>0</v>
      </c>
      <c r="I230" s="277">
        <v>0</v>
      </c>
      <c r="J230" s="277">
        <f t="shared" ref="J230:J235" si="25">SUMIF($B$228:$I$228,$J$228,B230:I230)</f>
        <v>0</v>
      </c>
      <c r="K230" s="278">
        <f t="shared" ref="K230:K235" si="26">SUMIF($B$228:$I$228,$K$228,B230:I230)</f>
        <v>0</v>
      </c>
    </row>
    <row r="231" spans="1:11" x14ac:dyDescent="0.3">
      <c r="A231" s="21">
        <f>DATE(INT(LEFT($B$3,4)),6,1)</f>
        <v>45809</v>
      </c>
      <c r="B231" s="277">
        <v>0</v>
      </c>
      <c r="C231" s="277">
        <v>0</v>
      </c>
      <c r="D231" s="277">
        <v>0</v>
      </c>
      <c r="E231" s="277">
        <v>0</v>
      </c>
      <c r="F231" s="277">
        <v>0</v>
      </c>
      <c r="G231" s="277">
        <v>0</v>
      </c>
      <c r="H231" s="277">
        <v>0</v>
      </c>
      <c r="I231" s="277">
        <v>0</v>
      </c>
      <c r="J231" s="277">
        <f t="shared" si="25"/>
        <v>0</v>
      </c>
      <c r="K231" s="278">
        <f t="shared" si="26"/>
        <v>0</v>
      </c>
    </row>
    <row r="232" spans="1:11" x14ac:dyDescent="0.3">
      <c r="A232" s="21">
        <f>DATE(INT(LEFT($B$3,4)),7,1)</f>
        <v>45839</v>
      </c>
      <c r="B232" s="277">
        <v>0</v>
      </c>
      <c r="C232" s="51">
        <v>0</v>
      </c>
      <c r="D232" s="86">
        <v>0</v>
      </c>
      <c r="E232" s="51">
        <v>0</v>
      </c>
      <c r="F232" s="86">
        <v>0</v>
      </c>
      <c r="G232" s="51">
        <v>0</v>
      </c>
      <c r="H232" s="51">
        <v>0</v>
      </c>
      <c r="I232" s="51">
        <v>0</v>
      </c>
      <c r="J232" s="51">
        <f t="shared" si="25"/>
        <v>0</v>
      </c>
      <c r="K232" s="22">
        <f t="shared" si="26"/>
        <v>0</v>
      </c>
    </row>
    <row r="233" spans="1:11" x14ac:dyDescent="0.3">
      <c r="A233" s="21">
        <f>DATE(INT(LEFT($B$3,4)),8,1)</f>
        <v>45870</v>
      </c>
      <c r="B233" s="277">
        <v>0</v>
      </c>
      <c r="C233" s="51">
        <v>0</v>
      </c>
      <c r="D233" s="86">
        <v>0</v>
      </c>
      <c r="E233" s="51">
        <v>0</v>
      </c>
      <c r="F233" s="86">
        <v>0</v>
      </c>
      <c r="G233" s="51">
        <v>0</v>
      </c>
      <c r="H233" s="51">
        <v>0</v>
      </c>
      <c r="I233" s="51">
        <v>0</v>
      </c>
      <c r="J233" s="51">
        <f t="shared" si="25"/>
        <v>0</v>
      </c>
      <c r="K233" s="22">
        <f t="shared" si="26"/>
        <v>0</v>
      </c>
    </row>
    <row r="234" spans="1:11" x14ac:dyDescent="0.3">
      <c r="A234" s="21">
        <f>DATE(INT(LEFT($B$3,4)),9,1)</f>
        <v>45901</v>
      </c>
      <c r="B234" s="277">
        <v>0</v>
      </c>
      <c r="C234" s="51">
        <v>0</v>
      </c>
      <c r="D234" s="86">
        <v>0</v>
      </c>
      <c r="E234" s="51">
        <v>0</v>
      </c>
      <c r="F234" s="86">
        <v>0</v>
      </c>
      <c r="G234" s="51">
        <v>0</v>
      </c>
      <c r="H234" s="51">
        <v>0</v>
      </c>
      <c r="I234" s="51">
        <v>0</v>
      </c>
      <c r="J234" s="51">
        <f t="shared" si="25"/>
        <v>0</v>
      </c>
      <c r="K234" s="22">
        <f t="shared" si="26"/>
        <v>0</v>
      </c>
    </row>
    <row r="235" spans="1:11" x14ac:dyDescent="0.3">
      <c r="A235" s="21">
        <f>DATE(INT(LEFT($B$3,4)),10,1)</f>
        <v>45931</v>
      </c>
      <c r="B235" s="277">
        <v>0</v>
      </c>
      <c r="C235" s="51">
        <v>0</v>
      </c>
      <c r="D235" s="86">
        <v>0</v>
      </c>
      <c r="E235" s="51">
        <v>0</v>
      </c>
      <c r="F235" s="86">
        <v>0</v>
      </c>
      <c r="G235" s="51">
        <v>0</v>
      </c>
      <c r="H235" s="51">
        <v>0</v>
      </c>
      <c r="I235" s="51">
        <v>0</v>
      </c>
      <c r="J235" s="51">
        <f t="shared" si="25"/>
        <v>0</v>
      </c>
      <c r="K235" s="22">
        <f t="shared" si="26"/>
        <v>0</v>
      </c>
    </row>
    <row r="236" spans="1:11" x14ac:dyDescent="0.3">
      <c r="A236" s="21">
        <f>DATE(INT(LEFT($B$3,4)),11,1)</f>
        <v>45962</v>
      </c>
      <c r="B236" s="277">
        <v>0</v>
      </c>
      <c r="C236" s="51">
        <v>0</v>
      </c>
      <c r="D236" s="86">
        <v>0</v>
      </c>
      <c r="E236" s="51">
        <v>0</v>
      </c>
      <c r="F236" s="86">
        <v>0</v>
      </c>
      <c r="G236" s="51">
        <v>0</v>
      </c>
      <c r="H236" s="51">
        <v>0</v>
      </c>
      <c r="I236" s="51">
        <v>0</v>
      </c>
      <c r="J236" s="51">
        <f t="shared" ref="J236:J240" si="27">SUMIF($B$228:$I$228,$J$228,B236:I236)</f>
        <v>0</v>
      </c>
      <c r="K236" s="22">
        <f t="shared" ref="K236:K240" si="28">SUMIF($B$228:$I$228,$K$228,B236:I236)</f>
        <v>0</v>
      </c>
    </row>
    <row r="237" spans="1:11" x14ac:dyDescent="0.3">
      <c r="A237" s="21">
        <f>DATE(INT(LEFT($B$3,4)),12,1)</f>
        <v>45992</v>
      </c>
      <c r="B237" s="277">
        <v>0</v>
      </c>
      <c r="C237" s="51">
        <v>0</v>
      </c>
      <c r="D237" s="86">
        <v>0</v>
      </c>
      <c r="E237" s="51">
        <v>0</v>
      </c>
      <c r="F237" s="86">
        <v>0</v>
      </c>
      <c r="G237" s="51">
        <v>0</v>
      </c>
      <c r="H237" s="51">
        <v>0</v>
      </c>
      <c r="I237" s="51">
        <v>0</v>
      </c>
      <c r="J237" s="51">
        <f t="shared" si="27"/>
        <v>0</v>
      </c>
      <c r="K237" s="22">
        <f t="shared" si="28"/>
        <v>0</v>
      </c>
    </row>
    <row r="238" spans="1:11" x14ac:dyDescent="0.3">
      <c r="A238" s="21">
        <f>DATE(INT(LEFT($B$3,4))+1,1,1)</f>
        <v>46023</v>
      </c>
      <c r="B238" s="277">
        <v>0</v>
      </c>
      <c r="C238" s="51">
        <v>0</v>
      </c>
      <c r="D238" s="86">
        <v>0</v>
      </c>
      <c r="E238" s="51">
        <v>0</v>
      </c>
      <c r="F238" s="86">
        <v>0</v>
      </c>
      <c r="G238" s="51">
        <v>0</v>
      </c>
      <c r="H238" s="51">
        <v>0</v>
      </c>
      <c r="I238" s="51">
        <v>0</v>
      </c>
      <c r="J238" s="51">
        <f t="shared" si="27"/>
        <v>0</v>
      </c>
      <c r="K238" s="22">
        <f t="shared" si="28"/>
        <v>0</v>
      </c>
    </row>
    <row r="239" spans="1:11" x14ac:dyDescent="0.3">
      <c r="A239" s="21">
        <f>DATE(INT(LEFT($B$3,4))+1,2,1)</f>
        <v>46054</v>
      </c>
      <c r="B239" s="277">
        <v>0</v>
      </c>
      <c r="C239" s="51">
        <v>0</v>
      </c>
      <c r="D239" s="86">
        <v>0</v>
      </c>
      <c r="E239" s="51">
        <v>0</v>
      </c>
      <c r="F239" s="86">
        <v>0</v>
      </c>
      <c r="G239" s="51">
        <v>0</v>
      </c>
      <c r="H239" s="51">
        <v>0</v>
      </c>
      <c r="I239" s="51">
        <v>0</v>
      </c>
      <c r="J239" s="51">
        <f t="shared" si="27"/>
        <v>0</v>
      </c>
      <c r="K239" s="22">
        <f t="shared" si="28"/>
        <v>0</v>
      </c>
    </row>
    <row r="240" spans="1:11" x14ac:dyDescent="0.3">
      <c r="A240" s="21">
        <f>DATE(INT(LEFT($B$3,4))+1,3,1)</f>
        <v>46082</v>
      </c>
      <c r="B240" s="277">
        <v>0</v>
      </c>
      <c r="C240" s="51">
        <v>0</v>
      </c>
      <c r="D240" s="86">
        <v>0</v>
      </c>
      <c r="E240" s="51">
        <v>0</v>
      </c>
      <c r="F240" s="86">
        <v>0</v>
      </c>
      <c r="G240" s="51">
        <v>0</v>
      </c>
      <c r="H240" s="51">
        <v>0</v>
      </c>
      <c r="I240" s="51">
        <v>0</v>
      </c>
      <c r="J240" s="51">
        <f t="shared" si="27"/>
        <v>0</v>
      </c>
      <c r="K240" s="22">
        <f t="shared" si="28"/>
        <v>0</v>
      </c>
    </row>
    <row r="241" spans="1:11" x14ac:dyDescent="0.3">
      <c r="A241" s="355"/>
      <c r="B241" s="360"/>
      <c r="C241" s="360"/>
      <c r="D241" s="360"/>
      <c r="E241" s="360"/>
      <c r="F241" s="360"/>
      <c r="G241" s="360"/>
      <c r="H241" s="360"/>
      <c r="I241" s="360"/>
      <c r="J241" s="360"/>
      <c r="K241" s="361"/>
    </row>
    <row r="242" spans="1:11" ht="16.8" x14ac:dyDescent="0.3">
      <c r="A242" s="358" t="s">
        <v>91</v>
      </c>
      <c r="B242" s="342">
        <f>SUM(B229:B241)</f>
        <v>0</v>
      </c>
      <c r="C242" s="342">
        <f t="shared" ref="C242" si="29">SUM(C229:C241)</f>
        <v>0</v>
      </c>
      <c r="D242" s="342">
        <f t="shared" ref="D242:I242" si="30">SUM(D229:D241)</f>
        <v>0</v>
      </c>
      <c r="E242" s="342">
        <f t="shared" si="30"/>
        <v>0</v>
      </c>
      <c r="F242" s="342">
        <f t="shared" si="30"/>
        <v>0</v>
      </c>
      <c r="G242" s="342">
        <f t="shared" si="30"/>
        <v>0</v>
      </c>
      <c r="H242" s="342">
        <f t="shared" si="30"/>
        <v>0</v>
      </c>
      <c r="I242" s="342">
        <f t="shared" si="30"/>
        <v>0</v>
      </c>
      <c r="J242" s="342">
        <f t="shared" ref="J242:K242" si="31">SUM(J229:J241)</f>
        <v>0</v>
      </c>
      <c r="K242" s="343">
        <f t="shared" si="31"/>
        <v>0</v>
      </c>
    </row>
  </sheetData>
  <mergeCells count="24">
    <mergeCell ref="F139:G139"/>
    <mergeCell ref="H139:I139"/>
    <mergeCell ref="A161:A162"/>
    <mergeCell ref="B161:C161"/>
    <mergeCell ref="D161:E161"/>
    <mergeCell ref="F161:G161"/>
    <mergeCell ref="H161:I161"/>
    <mergeCell ref="B3:C3"/>
    <mergeCell ref="B4:C4"/>
    <mergeCell ref="B139:C139"/>
    <mergeCell ref="D139:E139"/>
    <mergeCell ref="A139:A140"/>
    <mergeCell ref="J205:K205"/>
    <mergeCell ref="B227:C227"/>
    <mergeCell ref="D227:E227"/>
    <mergeCell ref="A227:A228"/>
    <mergeCell ref="J227:K227"/>
    <mergeCell ref="A205:A206"/>
    <mergeCell ref="B205:C205"/>
    <mergeCell ref="D205:E205"/>
    <mergeCell ref="F205:G205"/>
    <mergeCell ref="H205:I205"/>
    <mergeCell ref="F227:G227"/>
    <mergeCell ref="H227:I2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1"/>
  <sheetViews>
    <sheetView showGridLines="0" zoomScale="95" zoomScaleNormal="95" workbookViewId="0">
      <selection activeCell="C80" sqref="C80"/>
    </sheetView>
  </sheetViews>
  <sheetFormatPr defaultRowHeight="14.4" x14ac:dyDescent="0.3"/>
  <cols>
    <col min="1" max="1" width="19.88671875" bestFit="1" customWidth="1"/>
    <col min="2" max="13" width="18.33203125" customWidth="1"/>
    <col min="14" max="14" width="19.44140625" customWidth="1"/>
    <col min="15" max="15" width="21.6640625" customWidth="1"/>
  </cols>
  <sheetData>
    <row r="1" spans="1:14" ht="3" customHeight="1" x14ac:dyDescent="0.3"/>
    <row r="2" spans="1:14" ht="17.399999999999999" x14ac:dyDescent="0.35">
      <c r="A2" s="311" t="s">
        <v>0</v>
      </c>
      <c r="B2" s="370">
        <f>'PREL INFO'!C2</f>
        <v>0</v>
      </c>
      <c r="C2" s="353"/>
      <c r="D2" s="47"/>
    </row>
    <row r="3" spans="1:14" ht="17.399999999999999" x14ac:dyDescent="0.35">
      <c r="A3" s="312" t="s">
        <v>9</v>
      </c>
      <c r="B3" s="528" t="str">
        <f>'PREL INFO'!C15</f>
        <v>2025-26</v>
      </c>
      <c r="C3" s="519"/>
      <c r="D3" s="48"/>
    </row>
    <row r="4" spans="1:14" ht="17.399999999999999" x14ac:dyDescent="0.35">
      <c r="A4" s="313" t="s">
        <v>78</v>
      </c>
      <c r="B4" s="529" t="s">
        <v>211</v>
      </c>
      <c r="C4" s="521"/>
      <c r="D4" s="49"/>
    </row>
    <row r="7" spans="1:14" ht="18" x14ac:dyDescent="0.35">
      <c r="A7" s="14" t="s">
        <v>212</v>
      </c>
    </row>
    <row r="9" spans="1:14" ht="17.399999999999999" x14ac:dyDescent="0.3">
      <c r="A9" s="317" t="s">
        <v>81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32"/>
      <c r="N9" s="47"/>
    </row>
    <row r="10" spans="1:14" ht="20.100000000000001" customHeight="1" x14ac:dyDescent="0.3">
      <c r="A10" s="527" t="s">
        <v>82</v>
      </c>
      <c r="B10" s="517">
        <v>0.05</v>
      </c>
      <c r="C10" s="517"/>
      <c r="D10" s="517"/>
      <c r="E10" s="517">
        <v>0.12</v>
      </c>
      <c r="F10" s="517"/>
      <c r="G10" s="517"/>
      <c r="H10" s="517">
        <v>0.18</v>
      </c>
      <c r="I10" s="517"/>
      <c r="J10" s="517"/>
      <c r="K10" s="517">
        <v>0.28000000000000003</v>
      </c>
      <c r="L10" s="517"/>
      <c r="M10" s="517"/>
      <c r="N10" s="526" t="s">
        <v>157</v>
      </c>
    </row>
    <row r="11" spans="1:14" ht="20.100000000000001" customHeight="1" x14ac:dyDescent="0.3">
      <c r="A11" s="527"/>
      <c r="B11" s="328" t="s">
        <v>105</v>
      </c>
      <c r="C11" s="328" t="s">
        <v>106</v>
      </c>
      <c r="D11" s="328" t="s">
        <v>101</v>
      </c>
      <c r="E11" s="328" t="s">
        <v>105</v>
      </c>
      <c r="F11" s="328" t="s">
        <v>106</v>
      </c>
      <c r="G11" s="328" t="s">
        <v>101</v>
      </c>
      <c r="H11" s="328" t="s">
        <v>105</v>
      </c>
      <c r="I11" s="328" t="s">
        <v>106</v>
      </c>
      <c r="J11" s="328" t="s">
        <v>101</v>
      </c>
      <c r="K11" s="328" t="s">
        <v>105</v>
      </c>
      <c r="L11" s="328" t="s">
        <v>106</v>
      </c>
      <c r="M11" s="328" t="s">
        <v>101</v>
      </c>
      <c r="N11" s="526"/>
    </row>
    <row r="12" spans="1:14" x14ac:dyDescent="0.3">
      <c r="A12" s="21">
        <f>DATE(INT(LEFT($B$3,4)),4,1)</f>
        <v>45748</v>
      </c>
      <c r="B12" s="277"/>
      <c r="C12" s="277"/>
      <c r="D12" s="277"/>
      <c r="E12" s="277"/>
      <c r="F12" s="277"/>
      <c r="G12" s="277"/>
      <c r="H12" s="277"/>
      <c r="I12" s="277"/>
      <c r="J12" s="277"/>
      <c r="K12" s="277"/>
      <c r="L12" s="277"/>
      <c r="M12" s="277"/>
      <c r="N12" s="277"/>
    </row>
    <row r="13" spans="1:14" x14ac:dyDescent="0.3">
      <c r="A13" s="133">
        <f>DATE(INT(LEFT($B$3,4)),5,1)</f>
        <v>45778</v>
      </c>
      <c r="B13" s="277"/>
      <c r="C13" s="277"/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</row>
    <row r="14" spans="1:14" x14ac:dyDescent="0.3">
      <c r="A14" s="133">
        <f>DATE(INT(LEFT($B$3,4)),6,1)</f>
        <v>45809</v>
      </c>
      <c r="B14" s="277"/>
      <c r="C14" s="277"/>
      <c r="D14" s="277"/>
      <c r="E14" s="277"/>
      <c r="F14" s="277"/>
      <c r="G14" s="277"/>
      <c r="H14" s="277"/>
      <c r="I14" s="277"/>
      <c r="J14" s="277"/>
      <c r="K14" s="277"/>
      <c r="L14" s="277"/>
      <c r="M14" s="277"/>
      <c r="N14" s="277"/>
    </row>
    <row r="15" spans="1:14" x14ac:dyDescent="0.3">
      <c r="A15" s="133">
        <f>DATE(INT(LEFT($B$3,4)),7,1)</f>
        <v>45839</v>
      </c>
      <c r="B15" s="51"/>
      <c r="C15" s="51"/>
      <c r="D15" s="51"/>
      <c r="E15" s="51"/>
      <c r="F15" s="51"/>
      <c r="G15" s="51"/>
      <c r="H15" s="51"/>
      <c r="I15" s="51"/>
      <c r="J15" s="51"/>
      <c r="K15" s="277"/>
      <c r="L15" s="277"/>
      <c r="M15" s="277"/>
      <c r="N15" s="51"/>
    </row>
    <row r="16" spans="1:14" x14ac:dyDescent="0.3">
      <c r="A16" s="133">
        <f>DATE(INT(LEFT($B$3,4)),8,1)</f>
        <v>45870</v>
      </c>
      <c r="B16" s="51"/>
      <c r="C16" s="51"/>
      <c r="D16" s="51"/>
      <c r="E16" s="51"/>
      <c r="F16" s="51"/>
      <c r="G16" s="51"/>
      <c r="H16" s="51"/>
      <c r="I16" s="51"/>
      <c r="J16" s="51"/>
      <c r="K16" s="277"/>
      <c r="L16" s="277"/>
      <c r="M16" s="277"/>
      <c r="N16" s="51"/>
    </row>
    <row r="17" spans="1:14" x14ac:dyDescent="0.3">
      <c r="A17" s="133">
        <f>DATE(INT(LEFT($B$3,4)),9,1)</f>
        <v>45901</v>
      </c>
      <c r="B17" s="51"/>
      <c r="C17" s="51"/>
      <c r="D17" s="51"/>
      <c r="E17" s="51"/>
      <c r="F17" s="51"/>
      <c r="G17" s="51"/>
      <c r="H17" s="51"/>
      <c r="I17" s="51"/>
      <c r="J17" s="51"/>
      <c r="K17" s="277"/>
      <c r="L17" s="277"/>
      <c r="M17" s="277"/>
      <c r="N17" s="51"/>
    </row>
    <row r="18" spans="1:14" x14ac:dyDescent="0.3">
      <c r="A18" s="133">
        <f>DATE(INT(LEFT($B$3,4)),10,1)</f>
        <v>45931</v>
      </c>
      <c r="B18" s="51"/>
      <c r="C18" s="51"/>
      <c r="D18" s="51"/>
      <c r="E18" s="51"/>
      <c r="F18" s="51"/>
      <c r="G18" s="51"/>
      <c r="H18" s="51"/>
      <c r="I18" s="51"/>
      <c r="J18" s="51"/>
      <c r="K18" s="277"/>
      <c r="L18" s="277"/>
      <c r="M18" s="277"/>
      <c r="N18" s="51"/>
    </row>
    <row r="19" spans="1:14" x14ac:dyDescent="0.3">
      <c r="A19" s="133">
        <f>DATE(INT(LEFT($B$3,4)),11,1)</f>
        <v>45962</v>
      </c>
      <c r="B19" s="51"/>
      <c r="C19" s="51"/>
      <c r="D19" s="51"/>
      <c r="E19" s="51"/>
      <c r="F19" s="51"/>
      <c r="G19" s="51"/>
      <c r="H19" s="51"/>
      <c r="I19" s="51"/>
      <c r="J19" s="51"/>
      <c r="K19" s="277"/>
      <c r="L19" s="277"/>
      <c r="M19" s="277"/>
      <c r="N19" s="51"/>
    </row>
    <row r="20" spans="1:14" x14ac:dyDescent="0.3">
      <c r="A20" s="133">
        <f>DATE(INT(LEFT($B$3,4)),12,1)</f>
        <v>45992</v>
      </c>
      <c r="B20" s="51"/>
      <c r="C20" s="51"/>
      <c r="D20" s="51"/>
      <c r="E20" s="51"/>
      <c r="F20" s="51"/>
      <c r="G20" s="51"/>
      <c r="H20" s="51"/>
      <c r="I20" s="51"/>
      <c r="J20" s="51"/>
      <c r="K20" s="277"/>
      <c r="L20" s="277"/>
      <c r="M20" s="277"/>
      <c r="N20" s="51"/>
    </row>
    <row r="21" spans="1:14" x14ac:dyDescent="0.3">
      <c r="A21" s="133">
        <f>DATE(INT(LEFT($B$3,4))+1,1,1)</f>
        <v>46023</v>
      </c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</row>
    <row r="22" spans="1:14" x14ac:dyDescent="0.3">
      <c r="A22" s="133">
        <f>DATE(INT(LEFT($B$3,4))+1,2,1)</f>
        <v>46054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</row>
    <row r="23" spans="1:14" x14ac:dyDescent="0.3">
      <c r="A23" s="133">
        <f>DATE(INT(LEFT($B$3,4))+1,3,1)</f>
        <v>46082</v>
      </c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</row>
    <row r="24" spans="1:14" x14ac:dyDescent="0.3">
      <c r="A24" s="355"/>
      <c r="B24" s="371"/>
      <c r="C24" s="371"/>
      <c r="D24" s="371"/>
      <c r="E24" s="371"/>
      <c r="F24" s="371"/>
      <c r="G24" s="371"/>
      <c r="H24" s="371"/>
      <c r="I24" s="371"/>
      <c r="J24" s="371"/>
      <c r="K24" s="371"/>
      <c r="L24" s="371"/>
      <c r="M24" s="371"/>
      <c r="N24" s="372"/>
    </row>
    <row r="25" spans="1:14" ht="16.8" x14ac:dyDescent="0.3">
      <c r="A25" s="358" t="s">
        <v>91</v>
      </c>
      <c r="B25" s="373">
        <f>SUM(B12:B24)</f>
        <v>0</v>
      </c>
      <c r="C25" s="373">
        <f t="shared" ref="C25:N25" si="0">SUM(C12:C24)</f>
        <v>0</v>
      </c>
      <c r="D25" s="373">
        <f t="shared" si="0"/>
        <v>0</v>
      </c>
      <c r="E25" s="373">
        <f t="shared" si="0"/>
        <v>0</v>
      </c>
      <c r="F25" s="373">
        <f t="shared" si="0"/>
        <v>0</v>
      </c>
      <c r="G25" s="373">
        <f t="shared" si="0"/>
        <v>0</v>
      </c>
      <c r="H25" s="373">
        <f t="shared" si="0"/>
        <v>0</v>
      </c>
      <c r="I25" s="373">
        <f t="shared" si="0"/>
        <v>0</v>
      </c>
      <c r="J25" s="373">
        <f t="shared" si="0"/>
        <v>0</v>
      </c>
      <c r="K25" s="373">
        <f t="shared" si="0"/>
        <v>0</v>
      </c>
      <c r="L25" s="373">
        <f t="shared" si="0"/>
        <v>0</v>
      </c>
      <c r="M25" s="373">
        <f t="shared" si="0"/>
        <v>0</v>
      </c>
      <c r="N25" s="374">
        <f t="shared" si="0"/>
        <v>0</v>
      </c>
    </row>
    <row r="26" spans="1:14" ht="17.399999999999999" x14ac:dyDescent="0.35">
      <c r="B26" s="272">
        <f>'BOA OUT (AV)'!B24*5%-SUM(B25:D25)</f>
        <v>0</v>
      </c>
      <c r="E26" s="272">
        <f>'BOA OUT (AV)'!C24*12%-SUM(E25:G25)</f>
        <v>0</v>
      </c>
      <c r="H26" s="272">
        <f>'BOA OUT (AV)'!D24*18%-SUM(H25:J25)</f>
        <v>0</v>
      </c>
      <c r="K26" s="272">
        <f>'BOA OUT (AV)'!E24*28%-SUM(K25:M25)</f>
        <v>0</v>
      </c>
    </row>
    <row r="29" spans="1:14" ht="18" x14ac:dyDescent="0.35">
      <c r="A29" s="14" t="s">
        <v>213</v>
      </c>
    </row>
    <row r="31" spans="1:14" ht="17.399999999999999" x14ac:dyDescent="0.3">
      <c r="A31" s="317" t="s">
        <v>81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32"/>
      <c r="N31" s="47"/>
    </row>
    <row r="32" spans="1:14" ht="20.100000000000001" customHeight="1" x14ac:dyDescent="0.3">
      <c r="A32" s="527" t="s">
        <v>82</v>
      </c>
      <c r="B32" s="517">
        <v>0.05</v>
      </c>
      <c r="C32" s="517"/>
      <c r="D32" s="517"/>
      <c r="E32" s="517">
        <v>0.12</v>
      </c>
      <c r="F32" s="517"/>
      <c r="G32" s="517"/>
      <c r="H32" s="517">
        <v>0.18</v>
      </c>
      <c r="I32" s="517"/>
      <c r="J32" s="517"/>
      <c r="K32" s="517">
        <v>0.28000000000000003</v>
      </c>
      <c r="L32" s="517"/>
      <c r="M32" s="517"/>
      <c r="N32" s="526" t="s">
        <v>157</v>
      </c>
    </row>
    <row r="33" spans="1:14" ht="20.100000000000001" customHeight="1" x14ac:dyDescent="0.3">
      <c r="A33" s="527"/>
      <c r="B33" s="328" t="s">
        <v>105</v>
      </c>
      <c r="C33" s="328" t="s">
        <v>106</v>
      </c>
      <c r="D33" s="328" t="s">
        <v>101</v>
      </c>
      <c r="E33" s="328" t="s">
        <v>105</v>
      </c>
      <c r="F33" s="328" t="s">
        <v>106</v>
      </c>
      <c r="G33" s="328" t="s">
        <v>101</v>
      </c>
      <c r="H33" s="328" t="s">
        <v>105</v>
      </c>
      <c r="I33" s="328" t="s">
        <v>106</v>
      </c>
      <c r="J33" s="328" t="s">
        <v>101</v>
      </c>
      <c r="K33" s="328" t="s">
        <v>105</v>
      </c>
      <c r="L33" s="328" t="s">
        <v>106</v>
      </c>
      <c r="M33" s="328" t="s">
        <v>101</v>
      </c>
      <c r="N33" s="526"/>
    </row>
    <row r="34" spans="1:14" x14ac:dyDescent="0.3">
      <c r="A34" s="21">
        <f>DATE(INT(LEFT($B$3,4)),4,1)</f>
        <v>45748</v>
      </c>
      <c r="B34" s="277"/>
      <c r="C34" s="277"/>
      <c r="D34" s="277"/>
      <c r="E34" s="277"/>
      <c r="F34" s="277"/>
      <c r="G34" s="277"/>
      <c r="H34" s="277"/>
      <c r="I34" s="277"/>
      <c r="J34" s="277"/>
      <c r="K34" s="277"/>
      <c r="L34" s="277"/>
      <c r="M34" s="277"/>
      <c r="N34" s="277"/>
    </row>
    <row r="35" spans="1:14" x14ac:dyDescent="0.3">
      <c r="A35" s="133">
        <f>DATE(INT(LEFT($B$3,4)),5,1)</f>
        <v>45778</v>
      </c>
      <c r="B35" s="277"/>
      <c r="C35" s="277"/>
      <c r="D35" s="277"/>
      <c r="E35" s="277"/>
      <c r="F35" s="277"/>
      <c r="G35" s="277"/>
      <c r="H35" s="277"/>
      <c r="I35" s="277"/>
      <c r="J35" s="277"/>
      <c r="K35" s="277"/>
      <c r="L35" s="277"/>
      <c r="M35" s="277"/>
      <c r="N35" s="277"/>
    </row>
    <row r="36" spans="1:14" x14ac:dyDescent="0.3">
      <c r="A36" s="133">
        <f>DATE(INT(LEFT($B$3,4)),6,1)</f>
        <v>45809</v>
      </c>
      <c r="B36" s="277"/>
      <c r="C36" s="277"/>
      <c r="D36" s="277"/>
      <c r="E36" s="277"/>
      <c r="F36" s="277"/>
      <c r="G36" s="277"/>
      <c r="H36" s="277"/>
      <c r="I36" s="277"/>
      <c r="J36" s="277"/>
      <c r="K36" s="277"/>
      <c r="L36" s="277"/>
      <c r="M36" s="277"/>
      <c r="N36" s="277"/>
    </row>
    <row r="37" spans="1:14" x14ac:dyDescent="0.3">
      <c r="A37" s="133">
        <f>DATE(INT(LEFT($B$3,4)),7,1)</f>
        <v>45839</v>
      </c>
      <c r="B37" s="51"/>
      <c r="C37" s="51"/>
      <c r="D37" s="51"/>
      <c r="E37" s="51"/>
      <c r="F37" s="51"/>
      <c r="G37" s="51"/>
      <c r="H37" s="51"/>
      <c r="I37" s="51"/>
      <c r="J37" s="51"/>
      <c r="K37" s="277"/>
      <c r="L37" s="277"/>
      <c r="M37" s="277"/>
      <c r="N37" s="51"/>
    </row>
    <row r="38" spans="1:14" x14ac:dyDescent="0.3">
      <c r="A38" s="133">
        <f>DATE(INT(LEFT($B$3,4)),8,1)</f>
        <v>45870</v>
      </c>
      <c r="B38" s="51"/>
      <c r="C38" s="51"/>
      <c r="D38" s="51"/>
      <c r="E38" s="51"/>
      <c r="F38" s="51"/>
      <c r="G38" s="51"/>
      <c r="H38" s="51"/>
      <c r="I38" s="51"/>
      <c r="J38" s="51"/>
      <c r="K38" s="277"/>
      <c r="L38" s="277"/>
      <c r="M38" s="277"/>
      <c r="N38" s="51"/>
    </row>
    <row r="39" spans="1:14" x14ac:dyDescent="0.3">
      <c r="A39" s="133">
        <f>DATE(INT(LEFT($B$3,4)),9,1)</f>
        <v>45901</v>
      </c>
      <c r="B39" s="51"/>
      <c r="C39" s="51"/>
      <c r="D39" s="51"/>
      <c r="E39" s="51"/>
      <c r="F39" s="51"/>
      <c r="G39" s="51"/>
      <c r="H39" s="51"/>
      <c r="I39" s="51"/>
      <c r="J39" s="51"/>
      <c r="K39" s="277"/>
      <c r="L39" s="277"/>
      <c r="M39" s="277"/>
      <c r="N39" s="51"/>
    </row>
    <row r="40" spans="1:14" x14ac:dyDescent="0.3">
      <c r="A40" s="133">
        <f>DATE(INT(LEFT($B$3,4)),10,1)</f>
        <v>45931</v>
      </c>
      <c r="B40" s="51"/>
      <c r="C40" s="51"/>
      <c r="D40" s="51"/>
      <c r="E40" s="51"/>
      <c r="F40" s="51"/>
      <c r="G40" s="51"/>
      <c r="H40" s="51"/>
      <c r="I40" s="51"/>
      <c r="J40" s="51"/>
      <c r="K40" s="277"/>
      <c r="L40" s="277"/>
      <c r="M40" s="277"/>
      <c r="N40" s="51"/>
    </row>
    <row r="41" spans="1:14" x14ac:dyDescent="0.3">
      <c r="A41" s="133">
        <f>DATE(INT(LEFT($B$3,4)),11,1)</f>
        <v>45962</v>
      </c>
      <c r="B41" s="51"/>
      <c r="C41" s="51"/>
      <c r="D41" s="51"/>
      <c r="E41" s="51"/>
      <c r="F41" s="51"/>
      <c r="G41" s="51"/>
      <c r="H41" s="51"/>
      <c r="I41" s="51"/>
      <c r="J41" s="51"/>
      <c r="K41" s="277"/>
      <c r="L41" s="277"/>
      <c r="M41" s="277"/>
      <c r="N41" s="51"/>
    </row>
    <row r="42" spans="1:14" x14ac:dyDescent="0.3">
      <c r="A42" s="133">
        <f>DATE(INT(LEFT($B$3,4)),12,1)</f>
        <v>45992</v>
      </c>
      <c r="B42" s="51"/>
      <c r="C42" s="51"/>
      <c r="D42" s="51"/>
      <c r="E42" s="51"/>
      <c r="F42" s="51"/>
      <c r="G42" s="51"/>
      <c r="H42" s="51"/>
      <c r="I42" s="51"/>
      <c r="J42" s="51"/>
      <c r="K42" s="277"/>
      <c r="L42" s="277"/>
      <c r="M42" s="277"/>
      <c r="N42" s="51"/>
    </row>
    <row r="43" spans="1:14" x14ac:dyDescent="0.3">
      <c r="A43" s="133">
        <f>DATE(INT(LEFT($B$3,4))+1,1,1)</f>
        <v>46023</v>
      </c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</row>
    <row r="44" spans="1:14" x14ac:dyDescent="0.3">
      <c r="A44" s="133">
        <f>DATE(INT(LEFT($B$3,4))+1,2,1)</f>
        <v>46054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</row>
    <row r="45" spans="1:14" x14ac:dyDescent="0.3">
      <c r="A45" s="133">
        <f>DATE(INT(LEFT($B$3,4))+1,3,1)</f>
        <v>46082</v>
      </c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</row>
    <row r="46" spans="1:14" x14ac:dyDescent="0.3">
      <c r="A46" s="355"/>
      <c r="B46" s="371"/>
      <c r="C46" s="371"/>
      <c r="D46" s="371"/>
      <c r="E46" s="371"/>
      <c r="F46" s="371"/>
      <c r="G46" s="371"/>
      <c r="H46" s="371"/>
      <c r="I46" s="371"/>
      <c r="J46" s="371"/>
      <c r="K46" s="371"/>
      <c r="L46" s="371"/>
      <c r="M46" s="371"/>
      <c r="N46" s="372"/>
    </row>
    <row r="47" spans="1:14" ht="16.8" x14ac:dyDescent="0.3">
      <c r="A47" s="358" t="s">
        <v>91</v>
      </c>
      <c r="B47" s="373">
        <f>SUM(B34:B46)</f>
        <v>0</v>
      </c>
      <c r="C47" s="373">
        <f t="shared" ref="C47" si="1">SUM(C34:C46)</f>
        <v>0</v>
      </c>
      <c r="D47" s="373">
        <f t="shared" ref="D47" si="2">SUM(D34:D46)</f>
        <v>0</v>
      </c>
      <c r="E47" s="373">
        <f t="shared" ref="E47" si="3">SUM(E34:E46)</f>
        <v>0</v>
      </c>
      <c r="F47" s="373">
        <f t="shared" ref="F47" si="4">SUM(F34:F46)</f>
        <v>0</v>
      </c>
      <c r="G47" s="373">
        <f t="shared" ref="G47" si="5">SUM(G34:G46)</f>
        <v>0</v>
      </c>
      <c r="H47" s="373">
        <f t="shared" ref="H47" si="6">SUM(H34:H46)</f>
        <v>0</v>
      </c>
      <c r="I47" s="373">
        <f t="shared" ref="I47" si="7">SUM(I34:I46)</f>
        <v>0</v>
      </c>
      <c r="J47" s="373">
        <f t="shared" ref="J47" si="8">SUM(J34:J46)</f>
        <v>0</v>
      </c>
      <c r="K47" s="373">
        <f t="shared" ref="K47" si="9">SUM(K34:K46)</f>
        <v>0</v>
      </c>
      <c r="L47" s="373">
        <f t="shared" ref="L47" si="10">SUM(L34:L46)</f>
        <v>0</v>
      </c>
      <c r="M47" s="373">
        <f t="shared" ref="M47" si="11">SUM(M34:M46)</f>
        <v>0</v>
      </c>
      <c r="N47" s="374">
        <f t="shared" ref="N47" si="12">SUM(N34:N46)</f>
        <v>0</v>
      </c>
    </row>
    <row r="48" spans="1:14" ht="17.399999999999999" x14ac:dyDescent="0.35">
      <c r="B48" s="272">
        <f>'BOA OUT (AV)'!B45*5%-SUM(B47:D47)</f>
        <v>0</v>
      </c>
      <c r="E48" s="272">
        <f>'BOA OUT (AV)'!C45*12%-SUM(E47:G47)</f>
        <v>0</v>
      </c>
      <c r="H48" s="272">
        <f>'BOA OUT (AV)'!D45*18%-SUM(H47:J47)</f>
        <v>0</v>
      </c>
      <c r="K48" s="272">
        <f>'BOA OUT (AV)'!E45*28%-SUM(K47:M47)</f>
        <v>0</v>
      </c>
    </row>
    <row r="49" spans="1:14" x14ac:dyDescent="0.3">
      <c r="E49" s="100"/>
    </row>
    <row r="50" spans="1:14" x14ac:dyDescent="0.3">
      <c r="E50" s="100"/>
    </row>
    <row r="51" spans="1:14" ht="18" x14ac:dyDescent="0.35">
      <c r="A51" s="14" t="s">
        <v>437</v>
      </c>
      <c r="E51" s="100"/>
    </row>
    <row r="52" spans="1:14" x14ac:dyDescent="0.3">
      <c r="E52" s="100"/>
    </row>
    <row r="53" spans="1:14" ht="17.399999999999999" x14ac:dyDescent="0.3">
      <c r="A53" s="317" t="s">
        <v>81</v>
      </c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32"/>
      <c r="N53" s="47"/>
    </row>
    <row r="54" spans="1:14" ht="19.5" customHeight="1" x14ac:dyDescent="0.3">
      <c r="A54" s="527" t="s">
        <v>82</v>
      </c>
      <c r="B54" s="517">
        <v>0.05</v>
      </c>
      <c r="C54" s="517"/>
      <c r="D54" s="517"/>
      <c r="E54" s="517">
        <v>0.12</v>
      </c>
      <c r="F54" s="517"/>
      <c r="G54" s="517"/>
      <c r="H54" s="517">
        <v>0.18</v>
      </c>
      <c r="I54" s="517"/>
      <c r="J54" s="517"/>
      <c r="K54" s="517">
        <v>0.28000000000000003</v>
      </c>
      <c r="L54" s="517"/>
      <c r="M54" s="517"/>
      <c r="N54" s="526" t="s">
        <v>157</v>
      </c>
    </row>
    <row r="55" spans="1:14" ht="19.5" customHeight="1" x14ac:dyDescent="0.3">
      <c r="A55" s="527"/>
      <c r="B55" s="328" t="s">
        <v>105</v>
      </c>
      <c r="C55" s="328" t="s">
        <v>106</v>
      </c>
      <c r="D55" s="328" t="s">
        <v>101</v>
      </c>
      <c r="E55" s="328" t="s">
        <v>105</v>
      </c>
      <c r="F55" s="328" t="s">
        <v>106</v>
      </c>
      <c r="G55" s="328" t="s">
        <v>101</v>
      </c>
      <c r="H55" s="328" t="s">
        <v>105</v>
      </c>
      <c r="I55" s="328" t="s">
        <v>106</v>
      </c>
      <c r="J55" s="328" t="s">
        <v>101</v>
      </c>
      <c r="K55" s="328" t="s">
        <v>105</v>
      </c>
      <c r="L55" s="328" t="s">
        <v>106</v>
      </c>
      <c r="M55" s="328" t="s">
        <v>101</v>
      </c>
      <c r="N55" s="526"/>
    </row>
    <row r="56" spans="1:14" x14ac:dyDescent="0.3">
      <c r="A56" s="21">
        <f>DATE(INT(LEFT($B$3,4)),4,1)</f>
        <v>45748</v>
      </c>
      <c r="B56" s="277">
        <f>(('BOA OUT (AV)'!B141-'BOA OUT (AV)'!C141)/105*5)/2</f>
        <v>0</v>
      </c>
      <c r="C56" s="277">
        <f>B56</f>
        <v>0</v>
      </c>
      <c r="D56" s="277">
        <f>('BOA OUT (AV)'!B163-'BOA OUT (AV)'!C163)/105*5</f>
        <v>0</v>
      </c>
      <c r="E56" s="277">
        <f>(('BOA OUT (AV)'!D141-'BOA OUT (AV)'!E141)/112*12)/2</f>
        <v>0</v>
      </c>
      <c r="F56" s="277">
        <f>E56</f>
        <v>0</v>
      </c>
      <c r="G56" s="277">
        <f>('BOA OUT (AV)'!D163-'BOA OUT (AV)'!E163)/112*12</f>
        <v>0</v>
      </c>
      <c r="H56" s="277">
        <f>(('BOA OUT (AV)'!F141-'BOA OUT (AV)'!G141)/118*18)/2</f>
        <v>0</v>
      </c>
      <c r="I56" s="277">
        <f>H56</f>
        <v>0</v>
      </c>
      <c r="J56" s="277">
        <f>('BOA OUT (AV)'!F163-'BOA OUT (AV)'!G163)/118*18</f>
        <v>0</v>
      </c>
      <c r="K56" s="277">
        <f>(('BOA OUT (AV)'!H141-'BOA OUT (AV)'!I141)/128*28)/2</f>
        <v>0</v>
      </c>
      <c r="L56" s="277">
        <f>K56</f>
        <v>0</v>
      </c>
      <c r="M56" s="277">
        <f>('BOA OUT (AV)'!F163-'BOA OUT (AV)'!I163)/128*28</f>
        <v>0</v>
      </c>
      <c r="N56" s="277">
        <v>0</v>
      </c>
    </row>
    <row r="57" spans="1:14" x14ac:dyDescent="0.3">
      <c r="A57" s="133">
        <f>DATE(INT(LEFT($B$3,4)),5,1)</f>
        <v>45778</v>
      </c>
      <c r="B57" s="277">
        <f>('BOA OUT (AV)'!B142-'BOA OUT (AV)'!C142)/105*5</f>
        <v>0</v>
      </c>
      <c r="C57" s="277">
        <f t="shared" ref="C57:C67" si="13">B57</f>
        <v>0</v>
      </c>
      <c r="D57" s="277">
        <f>('BOA OUT (AV)'!B164-'BOA OUT (AV)'!C164)/105*5</f>
        <v>0</v>
      </c>
      <c r="E57" s="277">
        <f>(('BOA OUT (AV)'!D142-'BOA OUT (AV)'!E142)/112*12)/2</f>
        <v>0</v>
      </c>
      <c r="F57" s="277">
        <f t="shared" ref="F57:F67" si="14">E57</f>
        <v>0</v>
      </c>
      <c r="G57" s="277">
        <f>('BOA OUT (AV)'!D164-'BOA OUT (AV)'!E164)/112*12</f>
        <v>0</v>
      </c>
      <c r="H57" s="277">
        <f>(('BOA OUT (AV)'!F142-'BOA OUT (AV)'!G142)/118*18)/2</f>
        <v>0</v>
      </c>
      <c r="I57" s="277">
        <f t="shared" ref="I57:I67" si="15">H57</f>
        <v>0</v>
      </c>
      <c r="J57" s="277">
        <f>('BOA OUT (AV)'!F164-'BOA OUT (AV)'!G164)/118*18</f>
        <v>0</v>
      </c>
      <c r="K57" s="277">
        <f>(('BOA OUT (AV)'!H142-'BOA OUT (AV)'!I142)/128*28)/2</f>
        <v>0</v>
      </c>
      <c r="L57" s="277">
        <f t="shared" ref="L57:L67" si="16">K57</f>
        <v>0</v>
      </c>
      <c r="M57" s="277">
        <f>('BOA OUT (AV)'!F164-'BOA OUT (AV)'!I164)/128*28</f>
        <v>0</v>
      </c>
      <c r="N57" s="277">
        <v>0</v>
      </c>
    </row>
    <row r="58" spans="1:14" x14ac:dyDescent="0.3">
      <c r="A58" s="133">
        <f>DATE(INT(LEFT($B$3,4)),6,1)</f>
        <v>45809</v>
      </c>
      <c r="B58" s="277">
        <f>('BOA OUT (AV)'!B143-'BOA OUT (AV)'!C143)/105*5</f>
        <v>0</v>
      </c>
      <c r="C58" s="277">
        <f t="shared" si="13"/>
        <v>0</v>
      </c>
      <c r="D58" s="277">
        <f>('BOA OUT (AV)'!B165-'BOA OUT (AV)'!C165)/105*5</f>
        <v>0</v>
      </c>
      <c r="E58" s="277">
        <f>(('BOA OUT (AV)'!D143-'BOA OUT (AV)'!E143)/112*12)/2</f>
        <v>0</v>
      </c>
      <c r="F58" s="277">
        <f t="shared" si="14"/>
        <v>0</v>
      </c>
      <c r="G58" s="277">
        <f>('BOA OUT (AV)'!D165-'BOA OUT (AV)'!E165)/112*12</f>
        <v>0</v>
      </c>
      <c r="H58" s="277">
        <f>(('BOA OUT (AV)'!F143-'BOA OUT (AV)'!G143)/118*18)/2</f>
        <v>0</v>
      </c>
      <c r="I58" s="277">
        <f t="shared" si="15"/>
        <v>0</v>
      </c>
      <c r="J58" s="277">
        <f>('BOA OUT (AV)'!F165-'BOA OUT (AV)'!G165)/118*18</f>
        <v>0</v>
      </c>
      <c r="K58" s="277">
        <f>(('BOA OUT (AV)'!H143-'BOA OUT (AV)'!I143)/128*28)/2</f>
        <v>0</v>
      </c>
      <c r="L58" s="277">
        <f t="shared" si="16"/>
        <v>0</v>
      </c>
      <c r="M58" s="277">
        <f>('BOA OUT (AV)'!F165-'BOA OUT (AV)'!I165)/128*28</f>
        <v>0</v>
      </c>
      <c r="N58" s="277">
        <v>0</v>
      </c>
    </row>
    <row r="59" spans="1:14" x14ac:dyDescent="0.3">
      <c r="A59" s="133">
        <f>DATE(INT(LEFT($B$3,4)),7,1)</f>
        <v>45839</v>
      </c>
      <c r="B59" s="51">
        <f>('BOA OUT (AV)'!B144-'BOA OUT (AV)'!C144)/105*5</f>
        <v>0</v>
      </c>
      <c r="C59" s="51">
        <f t="shared" si="13"/>
        <v>0</v>
      </c>
      <c r="D59" s="51">
        <f>('BOA OUT (AV)'!B166-'BOA OUT (AV)'!C166)/105*5</f>
        <v>0</v>
      </c>
      <c r="E59" s="51">
        <f>(('BOA OUT (AV)'!D144-'BOA OUT (AV)'!E144)/112*12)/2</f>
        <v>0</v>
      </c>
      <c r="F59" s="51">
        <f t="shared" si="14"/>
        <v>0</v>
      </c>
      <c r="G59" s="51">
        <f>('BOA OUT (AV)'!D166-'BOA OUT (AV)'!E166)/112*12</f>
        <v>0</v>
      </c>
      <c r="H59" s="51">
        <f>(('BOA OUT (AV)'!F144-'BOA OUT (AV)'!G144)/118*18)/2</f>
        <v>0</v>
      </c>
      <c r="I59" s="51">
        <f t="shared" si="15"/>
        <v>0</v>
      </c>
      <c r="J59" s="51">
        <f>('BOA OUT (AV)'!F166-'BOA OUT (AV)'!G166)/118*18</f>
        <v>0</v>
      </c>
      <c r="K59" s="277">
        <f>(('BOA OUT (AV)'!H144-'BOA OUT (AV)'!I144)/128*28)/2</f>
        <v>0</v>
      </c>
      <c r="L59" s="277">
        <f t="shared" si="16"/>
        <v>0</v>
      </c>
      <c r="M59" s="277">
        <f>('BOA OUT (AV)'!F166-'BOA OUT (AV)'!I166)/128*28</f>
        <v>0</v>
      </c>
      <c r="N59" s="51">
        <v>0</v>
      </c>
    </row>
    <row r="60" spans="1:14" x14ac:dyDescent="0.3">
      <c r="A60" s="133">
        <f>DATE(INT(LEFT($B$3,4)),8,1)</f>
        <v>45870</v>
      </c>
      <c r="B60" s="51">
        <f>('BOA OUT (AV)'!B145-'BOA OUT (AV)'!C145)/105*5</f>
        <v>0</v>
      </c>
      <c r="C60" s="51">
        <f t="shared" si="13"/>
        <v>0</v>
      </c>
      <c r="D60" s="51">
        <f>('BOA OUT (AV)'!B167-'BOA OUT (AV)'!C167)/105*5</f>
        <v>0</v>
      </c>
      <c r="E60" s="51">
        <f>(('BOA OUT (AV)'!D145-'BOA OUT (AV)'!E145)/112*12)/2</f>
        <v>0</v>
      </c>
      <c r="F60" s="51">
        <f t="shared" si="14"/>
        <v>0</v>
      </c>
      <c r="G60" s="51">
        <f>('BOA OUT (AV)'!D167-'BOA OUT (AV)'!E167)/112*12</f>
        <v>0</v>
      </c>
      <c r="H60" s="51">
        <f>(('BOA OUT (AV)'!F145-'BOA OUT (AV)'!G145)/118*18)/2</f>
        <v>0</v>
      </c>
      <c r="I60" s="51">
        <f t="shared" si="15"/>
        <v>0</v>
      </c>
      <c r="J60" s="51">
        <f>('BOA OUT (AV)'!F167-'BOA OUT (AV)'!G167)/118*18</f>
        <v>0</v>
      </c>
      <c r="K60" s="277">
        <f>(('BOA OUT (AV)'!H145-'BOA OUT (AV)'!I145)/128*28)/2</f>
        <v>0</v>
      </c>
      <c r="L60" s="277">
        <f t="shared" si="16"/>
        <v>0</v>
      </c>
      <c r="M60" s="277">
        <f>('BOA OUT (AV)'!F167-'BOA OUT (AV)'!I167)/128*28</f>
        <v>0</v>
      </c>
      <c r="N60" s="51">
        <v>0</v>
      </c>
    </row>
    <row r="61" spans="1:14" x14ac:dyDescent="0.3">
      <c r="A61" s="133">
        <f>DATE(INT(LEFT($B$3,4)),9,1)</f>
        <v>45901</v>
      </c>
      <c r="B61" s="51">
        <f>('BOA OUT (AV)'!B146-'BOA OUT (AV)'!C146)/105*5</f>
        <v>0</v>
      </c>
      <c r="C61" s="51">
        <f t="shared" si="13"/>
        <v>0</v>
      </c>
      <c r="D61" s="51">
        <f>('BOA OUT (AV)'!B168-'BOA OUT (AV)'!C168)/105*5</f>
        <v>0</v>
      </c>
      <c r="E61" s="51">
        <f>(('BOA OUT (AV)'!D146-'BOA OUT (AV)'!E146)/112*12)/2</f>
        <v>0</v>
      </c>
      <c r="F61" s="51">
        <f t="shared" si="14"/>
        <v>0</v>
      </c>
      <c r="G61" s="51">
        <f>('BOA OUT (AV)'!D168-'BOA OUT (AV)'!E168)/112*12</f>
        <v>0</v>
      </c>
      <c r="H61" s="51">
        <f>(('BOA OUT (AV)'!F146-'BOA OUT (AV)'!G146)/118*18)/2</f>
        <v>0</v>
      </c>
      <c r="I61" s="51">
        <f t="shared" si="15"/>
        <v>0</v>
      </c>
      <c r="J61" s="51">
        <f>('BOA OUT (AV)'!F168-'BOA OUT (AV)'!G168)/118*18</f>
        <v>0</v>
      </c>
      <c r="K61" s="277">
        <f>(('BOA OUT (AV)'!H146-'BOA OUT (AV)'!I146)/128*28)/2</f>
        <v>0</v>
      </c>
      <c r="L61" s="277">
        <f t="shared" si="16"/>
        <v>0</v>
      </c>
      <c r="M61" s="277">
        <f>('BOA OUT (AV)'!F168-'BOA OUT (AV)'!I168)/128*28</f>
        <v>0</v>
      </c>
      <c r="N61" s="51">
        <v>0</v>
      </c>
    </row>
    <row r="62" spans="1:14" x14ac:dyDescent="0.3">
      <c r="A62" s="133">
        <f>DATE(INT(LEFT($B$3,4)),10,1)</f>
        <v>45931</v>
      </c>
      <c r="B62" s="51">
        <f>('BOA OUT (AV)'!B147-'BOA OUT (AV)'!C147)/105*5</f>
        <v>0</v>
      </c>
      <c r="C62" s="51">
        <f t="shared" si="13"/>
        <v>0</v>
      </c>
      <c r="D62" s="51">
        <f>('BOA OUT (AV)'!B169-'BOA OUT (AV)'!C169)/105*5</f>
        <v>0</v>
      </c>
      <c r="E62" s="51">
        <f>(('BOA OUT (AV)'!D147-'BOA OUT (AV)'!E147)/112*12)/2</f>
        <v>0</v>
      </c>
      <c r="F62" s="51">
        <f t="shared" si="14"/>
        <v>0</v>
      </c>
      <c r="G62" s="51">
        <f>('BOA OUT (AV)'!D169-'BOA OUT (AV)'!E169)/112*12</f>
        <v>0</v>
      </c>
      <c r="H62" s="51">
        <f>(('BOA OUT (AV)'!F147-'BOA OUT (AV)'!G147)/118*18)/2</f>
        <v>0</v>
      </c>
      <c r="I62" s="51">
        <f t="shared" si="15"/>
        <v>0</v>
      </c>
      <c r="J62" s="51">
        <f>('BOA OUT (AV)'!F169-'BOA OUT (AV)'!G169)/118*18</f>
        <v>0</v>
      </c>
      <c r="K62" s="277">
        <f>(('BOA OUT (AV)'!H147-'BOA OUT (AV)'!I147)/128*28)/2</f>
        <v>0</v>
      </c>
      <c r="L62" s="277">
        <f t="shared" si="16"/>
        <v>0</v>
      </c>
      <c r="M62" s="277">
        <f>('BOA OUT (AV)'!F169-'BOA OUT (AV)'!I169)/128*28</f>
        <v>0</v>
      </c>
      <c r="N62" s="51">
        <v>0</v>
      </c>
    </row>
    <row r="63" spans="1:14" x14ac:dyDescent="0.3">
      <c r="A63" s="133">
        <f>DATE(INT(LEFT($B$3,4)),11,1)</f>
        <v>45962</v>
      </c>
      <c r="B63" s="51">
        <f>('BOA OUT (AV)'!B148-'BOA OUT (AV)'!C148)/105*5</f>
        <v>0</v>
      </c>
      <c r="C63" s="51">
        <f t="shared" si="13"/>
        <v>0</v>
      </c>
      <c r="D63" s="51">
        <f>('BOA OUT (AV)'!B170-'BOA OUT (AV)'!C170)/105*5</f>
        <v>0</v>
      </c>
      <c r="E63" s="51">
        <f>(('BOA OUT (AV)'!D148-'BOA OUT (AV)'!E148)/112*12)/2</f>
        <v>0</v>
      </c>
      <c r="F63" s="51">
        <f t="shared" si="14"/>
        <v>0</v>
      </c>
      <c r="G63" s="51">
        <f>('BOA OUT (AV)'!D170-'BOA OUT (AV)'!E170)/112*12</f>
        <v>0</v>
      </c>
      <c r="H63" s="51">
        <f>(('BOA OUT (AV)'!F148-'BOA OUT (AV)'!G148)/118*18)/2</f>
        <v>0</v>
      </c>
      <c r="I63" s="51">
        <f t="shared" si="15"/>
        <v>0</v>
      </c>
      <c r="J63" s="51">
        <f>('BOA OUT (AV)'!F170-'BOA OUT (AV)'!G170)/118*18</f>
        <v>0</v>
      </c>
      <c r="K63" s="277">
        <f>(('BOA OUT (AV)'!H148-'BOA OUT (AV)'!I148)/128*28)/2</f>
        <v>0</v>
      </c>
      <c r="L63" s="277">
        <f t="shared" si="16"/>
        <v>0</v>
      </c>
      <c r="M63" s="277">
        <f>('BOA OUT (AV)'!F170-'BOA OUT (AV)'!I170)/128*28</f>
        <v>0</v>
      </c>
      <c r="N63" s="51">
        <v>0</v>
      </c>
    </row>
    <row r="64" spans="1:14" x14ac:dyDescent="0.3">
      <c r="A64" s="133">
        <f>DATE(INT(LEFT($B$3,4)),12,1)</f>
        <v>45992</v>
      </c>
      <c r="B64" s="51">
        <f>('BOA OUT (AV)'!B149-'BOA OUT (AV)'!C149)/105*5</f>
        <v>0</v>
      </c>
      <c r="C64" s="51">
        <f t="shared" si="13"/>
        <v>0</v>
      </c>
      <c r="D64" s="51">
        <f>('BOA OUT (AV)'!B171-'BOA OUT (AV)'!C171)/105*5</f>
        <v>0</v>
      </c>
      <c r="E64" s="51">
        <f>(('BOA OUT (AV)'!D149-'BOA OUT (AV)'!E149)/112*12)/2</f>
        <v>0</v>
      </c>
      <c r="F64" s="51">
        <f t="shared" si="14"/>
        <v>0</v>
      </c>
      <c r="G64" s="51">
        <f>('BOA OUT (AV)'!D171-'BOA OUT (AV)'!E171)/112*12</f>
        <v>0</v>
      </c>
      <c r="H64" s="51">
        <f>(('BOA OUT (AV)'!F149-'BOA OUT (AV)'!G149)/118*18)/2</f>
        <v>0</v>
      </c>
      <c r="I64" s="51">
        <f t="shared" si="15"/>
        <v>0</v>
      </c>
      <c r="J64" s="51">
        <f>('BOA OUT (AV)'!F171-'BOA OUT (AV)'!G171)/118*18</f>
        <v>0</v>
      </c>
      <c r="K64" s="277">
        <f>(('BOA OUT (AV)'!H149-'BOA OUT (AV)'!I149)/128*28)/2</f>
        <v>0</v>
      </c>
      <c r="L64" s="277">
        <f t="shared" si="16"/>
        <v>0</v>
      </c>
      <c r="M64" s="277">
        <f>('BOA OUT (AV)'!F171-'BOA OUT (AV)'!I171)/128*28</f>
        <v>0</v>
      </c>
      <c r="N64" s="51">
        <v>0</v>
      </c>
    </row>
    <row r="65" spans="1:14" x14ac:dyDescent="0.3">
      <c r="A65" s="133">
        <f>DATE(INT(LEFT($B$3,4))+1,1,1)</f>
        <v>46023</v>
      </c>
      <c r="B65" s="51">
        <f>('BOA OUT (AV)'!B150-'BOA OUT (AV)'!C150)/105*5</f>
        <v>0</v>
      </c>
      <c r="C65" s="51">
        <f t="shared" si="13"/>
        <v>0</v>
      </c>
      <c r="D65" s="51">
        <f>('BOA OUT (AV)'!B172-'BOA OUT (AV)'!C172)/105*5</f>
        <v>0</v>
      </c>
      <c r="E65" s="51">
        <f>(('BOA OUT (AV)'!D150-'BOA OUT (AV)'!E150)/112*12)/2</f>
        <v>0</v>
      </c>
      <c r="F65" s="51">
        <f t="shared" si="14"/>
        <v>0</v>
      </c>
      <c r="G65" s="51">
        <f>('BOA OUT (AV)'!D172-'BOA OUT (AV)'!E172)/112*12</f>
        <v>0</v>
      </c>
      <c r="H65" s="51">
        <f>(('BOA OUT (AV)'!F150-'BOA OUT (AV)'!G150)/118*18)/2</f>
        <v>0</v>
      </c>
      <c r="I65" s="51">
        <f t="shared" si="15"/>
        <v>0</v>
      </c>
      <c r="J65" s="51">
        <f>('BOA OUT (AV)'!F172-'BOA OUT (AV)'!G172)/118*18</f>
        <v>0</v>
      </c>
      <c r="K65" s="51">
        <f>(('BOA OUT (AV)'!H150-'BOA OUT (AV)'!I150)/128*28)/2</f>
        <v>0</v>
      </c>
      <c r="L65" s="51">
        <f t="shared" si="16"/>
        <v>0</v>
      </c>
      <c r="M65" s="51">
        <f>('BOA OUT (AV)'!F172-'BOA OUT (AV)'!I172)/128*28</f>
        <v>0</v>
      </c>
      <c r="N65" s="51">
        <v>0</v>
      </c>
    </row>
    <row r="66" spans="1:14" x14ac:dyDescent="0.3">
      <c r="A66" s="133">
        <f>DATE(INT(LEFT($B$3,4))+1,2,1)</f>
        <v>46054</v>
      </c>
      <c r="B66" s="51">
        <f>('BOA OUT (AV)'!B151-'BOA OUT (AV)'!C151)/105*5</f>
        <v>0</v>
      </c>
      <c r="C66" s="51">
        <f t="shared" si="13"/>
        <v>0</v>
      </c>
      <c r="D66" s="51">
        <f>('BOA OUT (AV)'!B173-'BOA OUT (AV)'!C173)/105*5</f>
        <v>0</v>
      </c>
      <c r="E66" s="51">
        <f>(('BOA OUT (AV)'!D151-'BOA OUT (AV)'!E151)/112*12)/2</f>
        <v>0</v>
      </c>
      <c r="F66" s="51">
        <f t="shared" si="14"/>
        <v>0</v>
      </c>
      <c r="G66" s="51">
        <f>('BOA OUT (AV)'!D173-'BOA OUT (AV)'!E173)/112*12</f>
        <v>0</v>
      </c>
      <c r="H66" s="51">
        <f>(('BOA OUT (AV)'!F151-'BOA OUT (AV)'!G151)/118*18)/2</f>
        <v>0</v>
      </c>
      <c r="I66" s="51">
        <f t="shared" si="15"/>
        <v>0</v>
      </c>
      <c r="J66" s="51">
        <f>('BOA OUT (AV)'!F173-'BOA OUT (AV)'!G173)/118*18</f>
        <v>0</v>
      </c>
      <c r="K66" s="51">
        <f>(('BOA OUT (AV)'!H151-'BOA OUT (AV)'!I151)/128*28)/2</f>
        <v>0</v>
      </c>
      <c r="L66" s="51">
        <f t="shared" si="16"/>
        <v>0</v>
      </c>
      <c r="M66" s="51">
        <f>('BOA OUT (AV)'!F173-'BOA OUT (AV)'!I173)/128*28</f>
        <v>0</v>
      </c>
      <c r="N66" s="51">
        <v>0</v>
      </c>
    </row>
    <row r="67" spans="1:14" x14ac:dyDescent="0.3">
      <c r="A67" s="133">
        <f>DATE(INT(LEFT($B$3,4))+1,3,1)</f>
        <v>46082</v>
      </c>
      <c r="B67" s="51">
        <f>('BOA OUT (AV)'!B152-'BOA OUT (AV)'!C152)/105*5</f>
        <v>0</v>
      </c>
      <c r="C67" s="51">
        <f t="shared" si="13"/>
        <v>0</v>
      </c>
      <c r="D67" s="51">
        <f>('BOA OUT (AV)'!B174-'BOA OUT (AV)'!C174)/105*5</f>
        <v>0</v>
      </c>
      <c r="E67" s="51">
        <f>(('BOA OUT (AV)'!D152-'BOA OUT (AV)'!E152)/112*12)/2</f>
        <v>0</v>
      </c>
      <c r="F67" s="51">
        <f t="shared" si="14"/>
        <v>0</v>
      </c>
      <c r="G67" s="51">
        <f>('BOA OUT (AV)'!D174-'BOA OUT (AV)'!E174)/112*12</f>
        <v>0</v>
      </c>
      <c r="H67" s="51">
        <f>(('BOA OUT (AV)'!F152-'BOA OUT (AV)'!G152)/118*18)/2</f>
        <v>0</v>
      </c>
      <c r="I67" s="51">
        <f t="shared" si="15"/>
        <v>0</v>
      </c>
      <c r="J67" s="51">
        <f>('BOA OUT (AV)'!F174-'BOA OUT (AV)'!G174)/118*18</f>
        <v>0</v>
      </c>
      <c r="K67" s="51">
        <f>(('BOA OUT (AV)'!H152-'BOA OUT (AV)'!I152)/128*28)/2</f>
        <v>0</v>
      </c>
      <c r="L67" s="51">
        <f t="shared" si="16"/>
        <v>0</v>
      </c>
      <c r="M67" s="51">
        <f>('BOA OUT (AV)'!F174-'BOA OUT (AV)'!I174)/128*28</f>
        <v>0</v>
      </c>
      <c r="N67" s="51">
        <v>0</v>
      </c>
    </row>
    <row r="68" spans="1:14" x14ac:dyDescent="0.3">
      <c r="A68" s="355"/>
      <c r="B68" s="371"/>
      <c r="C68" s="371"/>
      <c r="D68" s="371"/>
      <c r="E68" s="371"/>
      <c r="F68" s="371"/>
      <c r="G68" s="371"/>
      <c r="H68" s="371"/>
      <c r="I68" s="371"/>
      <c r="J68" s="371"/>
      <c r="K68" s="371"/>
      <c r="L68" s="371"/>
      <c r="M68" s="371"/>
      <c r="N68" s="372"/>
    </row>
    <row r="69" spans="1:14" ht="16.8" x14ac:dyDescent="0.3">
      <c r="A69" s="358" t="s">
        <v>91</v>
      </c>
      <c r="B69" s="373">
        <f>SUM(B56:B68)</f>
        <v>0</v>
      </c>
      <c r="C69" s="373">
        <f t="shared" ref="C69:N69" si="17">SUM(C56:C68)</f>
        <v>0</v>
      </c>
      <c r="D69" s="373">
        <f t="shared" si="17"/>
        <v>0</v>
      </c>
      <c r="E69" s="373">
        <f t="shared" si="17"/>
        <v>0</v>
      </c>
      <c r="F69" s="373">
        <f t="shared" si="17"/>
        <v>0</v>
      </c>
      <c r="G69" s="373">
        <f t="shared" si="17"/>
        <v>0</v>
      </c>
      <c r="H69" s="373">
        <f t="shared" si="17"/>
        <v>0</v>
      </c>
      <c r="I69" s="373">
        <f t="shared" si="17"/>
        <v>0</v>
      </c>
      <c r="J69" s="373">
        <f t="shared" si="17"/>
        <v>0</v>
      </c>
      <c r="K69" s="373">
        <f t="shared" si="17"/>
        <v>0</v>
      </c>
      <c r="L69" s="373">
        <f t="shared" si="17"/>
        <v>0</v>
      </c>
      <c r="M69" s="373">
        <f t="shared" si="17"/>
        <v>0</v>
      </c>
      <c r="N69" s="374">
        <f t="shared" si="17"/>
        <v>0</v>
      </c>
    </row>
    <row r="70" spans="1:14" x14ac:dyDescent="0.3">
      <c r="E70" s="100"/>
    </row>
    <row r="71" spans="1:14" x14ac:dyDescent="0.3">
      <c r="E71" s="100"/>
    </row>
    <row r="73" spans="1:14" ht="18" x14ac:dyDescent="0.35">
      <c r="A73" s="14" t="s">
        <v>215</v>
      </c>
    </row>
    <row r="75" spans="1:14" ht="17.399999999999999" x14ac:dyDescent="0.3">
      <c r="A75" s="317" t="s">
        <v>81</v>
      </c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41"/>
    </row>
    <row r="76" spans="1:14" ht="20.100000000000001" customHeight="1" x14ac:dyDescent="0.3">
      <c r="A76" s="527" t="s">
        <v>82</v>
      </c>
      <c r="B76" s="517">
        <v>0.05</v>
      </c>
      <c r="C76" s="517"/>
      <c r="D76" s="517"/>
      <c r="E76" s="517">
        <v>0.12</v>
      </c>
      <c r="F76" s="517"/>
      <c r="G76" s="517"/>
      <c r="H76" s="517">
        <v>0.18</v>
      </c>
      <c r="I76" s="517"/>
      <c r="J76" s="517"/>
      <c r="K76" s="517">
        <v>0.28000000000000003</v>
      </c>
      <c r="L76" s="517"/>
      <c r="M76" s="530"/>
    </row>
    <row r="77" spans="1:14" ht="20.100000000000001" customHeight="1" x14ac:dyDescent="0.3">
      <c r="A77" s="527"/>
      <c r="B77" s="328" t="s">
        <v>105</v>
      </c>
      <c r="C77" s="328" t="s">
        <v>106</v>
      </c>
      <c r="D77" s="328" t="s">
        <v>101</v>
      </c>
      <c r="E77" s="328" t="s">
        <v>105</v>
      </c>
      <c r="F77" s="328" t="s">
        <v>106</v>
      </c>
      <c r="G77" s="328" t="s">
        <v>101</v>
      </c>
      <c r="H77" s="328" t="s">
        <v>105</v>
      </c>
      <c r="I77" s="328" t="s">
        <v>106</v>
      </c>
      <c r="J77" s="328" t="s">
        <v>101</v>
      </c>
      <c r="K77" s="328" t="s">
        <v>105</v>
      </c>
      <c r="L77" s="328" t="s">
        <v>106</v>
      </c>
      <c r="M77" s="329" t="s">
        <v>101</v>
      </c>
    </row>
    <row r="78" spans="1:14" x14ac:dyDescent="0.3">
      <c r="A78" s="21">
        <f>DATE(INT(LEFT($B$3,4)),4,1)</f>
        <v>45748</v>
      </c>
      <c r="B78" s="86">
        <f>SUM('BOA OUT (AV)'!B207,'BOA OUT (AV)'!F207,'BOA OUT (AV)'!B229)*2.5%</f>
        <v>0</v>
      </c>
      <c r="C78" s="86">
        <f>B78</f>
        <v>0</v>
      </c>
      <c r="D78" s="86">
        <f>SUM('BOA OUT (AV)'!C207,'BOA OUT (AV)'!G207,'BOA OUT (AV)'!C229)*5%</f>
        <v>0</v>
      </c>
      <c r="E78" s="51">
        <f>'BOA OUT (AV)'!D229*6%</f>
        <v>0</v>
      </c>
      <c r="F78" s="86">
        <f t="shared" ref="F78:F81" si="18">E78</f>
        <v>0</v>
      </c>
      <c r="G78" s="51">
        <f>'BOA OUT (AV)'!E229*12%</f>
        <v>0</v>
      </c>
      <c r="H78" s="51">
        <f>SUM('BOA OUT (AV)'!D207,'BOA OUT (AV)'!H207,'BOA OUT (AV)'!F229)*9%</f>
        <v>0</v>
      </c>
      <c r="I78" s="86">
        <f>H78</f>
        <v>0</v>
      </c>
      <c r="J78" s="51">
        <f>SUM('BOA OUT (AV)'!E207,'BOA OUT (AV)'!I207,'BOA OUT (AV)'!G229)*18%</f>
        <v>0</v>
      </c>
      <c r="K78" s="51">
        <f>'BOA OUT (AV)'!H229*14%</f>
        <v>0</v>
      </c>
      <c r="L78" s="86">
        <f>K78</f>
        <v>0</v>
      </c>
      <c r="M78" s="51">
        <f>'BOA OUT (AV)'!I229*28%</f>
        <v>0</v>
      </c>
    </row>
    <row r="79" spans="1:14" x14ac:dyDescent="0.3">
      <c r="A79" s="133">
        <f>DATE(INT(LEFT($B$3,4)),5,1)</f>
        <v>45778</v>
      </c>
      <c r="B79" s="86">
        <f>SUM('BOA OUT (AV)'!B208,'BOA OUT (AV)'!F208,'BOA OUT (AV)'!B230)*2.5%</f>
        <v>0</v>
      </c>
      <c r="C79" s="86">
        <f t="shared" ref="C79:C89" si="19">B79</f>
        <v>0</v>
      </c>
      <c r="D79" s="86">
        <f>SUM('BOA OUT (AV)'!C208,'BOA OUT (AV)'!G208,'BOA OUT (AV)'!C230)*5%</f>
        <v>0</v>
      </c>
      <c r="E79" s="51">
        <f>'BOA OUT (AV)'!D230*6%</f>
        <v>0</v>
      </c>
      <c r="F79" s="86">
        <f t="shared" si="18"/>
        <v>0</v>
      </c>
      <c r="G79" s="51">
        <f>'BOA OUT (AV)'!E230*12%</f>
        <v>0</v>
      </c>
      <c r="H79" s="51">
        <f>SUM('BOA OUT (AV)'!D208,'BOA OUT (AV)'!H208,'BOA OUT (AV)'!F230)*9%</f>
        <v>0</v>
      </c>
      <c r="I79" s="86">
        <f t="shared" ref="I79:I81" si="20">H79</f>
        <v>0</v>
      </c>
      <c r="J79" s="51">
        <f>SUM('BOA OUT (AV)'!E208,'BOA OUT (AV)'!I208,'BOA OUT (AV)'!G230)*18%</f>
        <v>0</v>
      </c>
      <c r="K79" s="51">
        <f>'BOA OUT (AV)'!H230*14%</f>
        <v>0</v>
      </c>
      <c r="L79" s="86">
        <f t="shared" ref="L79:L81" si="21">K79</f>
        <v>0</v>
      </c>
      <c r="M79" s="51">
        <f>'BOA OUT (AV)'!I230*28%</f>
        <v>0</v>
      </c>
    </row>
    <row r="80" spans="1:14" x14ac:dyDescent="0.3">
      <c r="A80" s="133">
        <f>DATE(INT(LEFT($B$3,4)),6,1)</f>
        <v>45809</v>
      </c>
      <c r="B80" s="86">
        <f>SUM('BOA OUT (AV)'!B209,'BOA OUT (AV)'!F209,'BOA OUT (AV)'!B231)*2.5%</f>
        <v>0</v>
      </c>
      <c r="C80" s="86">
        <f t="shared" si="19"/>
        <v>0</v>
      </c>
      <c r="D80" s="86">
        <f>SUM('BOA OUT (AV)'!C209,'BOA OUT (AV)'!G209,'BOA OUT (AV)'!C231)*5%</f>
        <v>0</v>
      </c>
      <c r="E80" s="51">
        <f>'BOA OUT (AV)'!D231*6%</f>
        <v>0</v>
      </c>
      <c r="F80" s="86">
        <f t="shared" si="18"/>
        <v>0</v>
      </c>
      <c r="G80" s="51">
        <f>'BOA OUT (AV)'!E231*12%</f>
        <v>0</v>
      </c>
      <c r="H80" s="51">
        <f>SUM('BOA OUT (AV)'!D209,'BOA OUT (AV)'!H209,'BOA OUT (AV)'!F231)*9%</f>
        <v>0</v>
      </c>
      <c r="I80" s="86">
        <f t="shared" si="20"/>
        <v>0</v>
      </c>
      <c r="J80" s="51">
        <f>SUM('BOA OUT (AV)'!E209,'BOA OUT (AV)'!I209,'BOA OUT (AV)'!G231)*18%</f>
        <v>0</v>
      </c>
      <c r="K80" s="51">
        <f>'BOA OUT (AV)'!H231*14%</f>
        <v>0</v>
      </c>
      <c r="L80" s="86">
        <f t="shared" si="21"/>
        <v>0</v>
      </c>
      <c r="M80" s="51">
        <f>'BOA OUT (AV)'!I231*28%</f>
        <v>0</v>
      </c>
    </row>
    <row r="81" spans="1:13" x14ac:dyDescent="0.3">
      <c r="A81" s="133">
        <f>DATE(INT(LEFT($B$3,4)),7,1)</f>
        <v>45839</v>
      </c>
      <c r="B81" s="51">
        <f>SUM('BOA OUT (AV)'!B210,'BOA OUT (AV)'!F210,'BOA OUT (AV)'!B232)*2.5%</f>
        <v>0</v>
      </c>
      <c r="C81" s="51">
        <f t="shared" si="19"/>
        <v>0</v>
      </c>
      <c r="D81" s="51">
        <f>SUM('BOA OUT (AV)'!C210,'BOA OUT (AV)'!G210,'BOA OUT (AV)'!C232)*5%</f>
        <v>0</v>
      </c>
      <c r="E81" s="51">
        <f>'BOA OUT (AV)'!D232*6%</f>
        <v>0</v>
      </c>
      <c r="F81" s="51">
        <f t="shared" si="18"/>
        <v>0</v>
      </c>
      <c r="G81" s="51">
        <f>'BOA OUT (AV)'!E232*12%</f>
        <v>0</v>
      </c>
      <c r="H81" s="51">
        <f>SUM('BOA OUT (AV)'!D210,'BOA OUT (AV)'!H210,'BOA OUT (AV)'!F232)*9%</f>
        <v>0</v>
      </c>
      <c r="I81" s="51">
        <f t="shared" si="20"/>
        <v>0</v>
      </c>
      <c r="J81" s="51">
        <f>SUM('BOA OUT (AV)'!E210,'BOA OUT (AV)'!I210,'BOA OUT (AV)'!G232)*18%</f>
        <v>0</v>
      </c>
      <c r="K81" s="51">
        <f>'BOA OUT (AV)'!H232*14%</f>
        <v>0</v>
      </c>
      <c r="L81" s="51">
        <f t="shared" si="21"/>
        <v>0</v>
      </c>
      <c r="M81" s="51">
        <f>'BOA OUT (AV)'!I232*28%</f>
        <v>0</v>
      </c>
    </row>
    <row r="82" spans="1:13" x14ac:dyDescent="0.3">
      <c r="A82" s="133">
        <f>DATE(INT(LEFT($B$3,4)),8,1)</f>
        <v>45870</v>
      </c>
      <c r="B82" s="51">
        <f>SUM('BOA OUT (AV)'!B211,'BOA OUT (AV)'!F211,'BOA OUT (AV)'!B233)*2.5%</f>
        <v>0</v>
      </c>
      <c r="C82" s="51">
        <f t="shared" si="19"/>
        <v>0</v>
      </c>
      <c r="D82" s="51">
        <f>SUM('BOA OUT (AV)'!C211,'BOA OUT (AV)'!G211,'BOA OUT (AV)'!C233)*5%</f>
        <v>0</v>
      </c>
      <c r="E82" s="51">
        <f>'BOA OUT (AV)'!D233*6%</f>
        <v>0</v>
      </c>
      <c r="F82" s="51">
        <f t="shared" ref="F82:F89" si="22">E82</f>
        <v>0</v>
      </c>
      <c r="G82" s="51">
        <f>'BOA OUT (AV)'!E233*12%</f>
        <v>0</v>
      </c>
      <c r="H82" s="51">
        <f>SUM('BOA OUT (AV)'!D211,'BOA OUT (AV)'!H211,'BOA OUT (AV)'!F233)*9%</f>
        <v>0</v>
      </c>
      <c r="I82" s="51">
        <f t="shared" ref="I82:I89" si="23">H82</f>
        <v>0</v>
      </c>
      <c r="J82" s="51">
        <f>SUM('BOA OUT (AV)'!E211,'BOA OUT (AV)'!I211,'BOA OUT (AV)'!G233)*18%</f>
        <v>0</v>
      </c>
      <c r="K82" s="51">
        <f>'BOA OUT (AV)'!H233*14%</f>
        <v>0</v>
      </c>
      <c r="L82" s="51">
        <f t="shared" ref="L82:L89" si="24">K82</f>
        <v>0</v>
      </c>
      <c r="M82" s="51">
        <f>'BOA OUT (AV)'!I233*28%</f>
        <v>0</v>
      </c>
    </row>
    <row r="83" spans="1:13" x14ac:dyDescent="0.3">
      <c r="A83" s="133">
        <f>DATE(INT(LEFT($B$3,4)),9,1)</f>
        <v>45901</v>
      </c>
      <c r="B83" s="51">
        <f>SUM('BOA OUT (AV)'!B212,'BOA OUT (AV)'!F212,'BOA OUT (AV)'!B234)*2.5%</f>
        <v>0</v>
      </c>
      <c r="C83" s="51">
        <f t="shared" si="19"/>
        <v>0</v>
      </c>
      <c r="D83" s="51">
        <f>SUM('BOA OUT (AV)'!C212,'BOA OUT (AV)'!G212,'BOA OUT (AV)'!C234)*5%</f>
        <v>0</v>
      </c>
      <c r="E83" s="51">
        <f>'BOA OUT (AV)'!D234*6%</f>
        <v>0</v>
      </c>
      <c r="F83" s="51">
        <f t="shared" si="22"/>
        <v>0</v>
      </c>
      <c r="G83" s="51">
        <f>'BOA OUT (AV)'!E234*12%</f>
        <v>0</v>
      </c>
      <c r="H83" s="51">
        <f>SUM('BOA OUT (AV)'!D212,'BOA OUT (AV)'!H212,'BOA OUT (AV)'!F234)*9%</f>
        <v>0</v>
      </c>
      <c r="I83" s="51">
        <f t="shared" si="23"/>
        <v>0</v>
      </c>
      <c r="J83" s="51">
        <f>SUM('BOA OUT (AV)'!E212,'BOA OUT (AV)'!I212,'BOA OUT (AV)'!G234)*18%</f>
        <v>0</v>
      </c>
      <c r="K83" s="51">
        <f>'BOA OUT (AV)'!H234*14%</f>
        <v>0</v>
      </c>
      <c r="L83" s="51">
        <f t="shared" si="24"/>
        <v>0</v>
      </c>
      <c r="M83" s="51">
        <f>'BOA OUT (AV)'!I234*28%</f>
        <v>0</v>
      </c>
    </row>
    <row r="84" spans="1:13" x14ac:dyDescent="0.3">
      <c r="A84" s="133">
        <f>DATE(INT(LEFT($B$3,4)),10,1)</f>
        <v>45931</v>
      </c>
      <c r="B84" s="51">
        <f>SUM('BOA OUT (AV)'!B213,'BOA OUT (AV)'!F213,'BOA OUT (AV)'!B235)*2.5%</f>
        <v>0</v>
      </c>
      <c r="C84" s="51">
        <f t="shared" si="19"/>
        <v>0</v>
      </c>
      <c r="D84" s="51">
        <f>SUM('BOA OUT (AV)'!C213,'BOA OUT (AV)'!G213,'BOA OUT (AV)'!C235)*5%</f>
        <v>0</v>
      </c>
      <c r="E84" s="51">
        <f>'BOA OUT (AV)'!D235*6%</f>
        <v>0</v>
      </c>
      <c r="F84" s="51">
        <f t="shared" si="22"/>
        <v>0</v>
      </c>
      <c r="G84" s="51">
        <f>'BOA OUT (AV)'!E235*12%</f>
        <v>0</v>
      </c>
      <c r="H84" s="51">
        <f>SUM('BOA OUT (AV)'!D213,'BOA OUT (AV)'!H213,'BOA OUT (AV)'!F235)*9%</f>
        <v>0</v>
      </c>
      <c r="I84" s="51">
        <f t="shared" si="23"/>
        <v>0</v>
      </c>
      <c r="J84" s="51">
        <f>SUM('BOA OUT (AV)'!E213,'BOA OUT (AV)'!I213,'BOA OUT (AV)'!G235)*18%</f>
        <v>0</v>
      </c>
      <c r="K84" s="51">
        <f>'BOA OUT (AV)'!H235*14%</f>
        <v>0</v>
      </c>
      <c r="L84" s="51">
        <f>K84</f>
        <v>0</v>
      </c>
      <c r="M84" s="51">
        <f>'BOA OUT (AV)'!I235*28%</f>
        <v>0</v>
      </c>
    </row>
    <row r="85" spans="1:13" x14ac:dyDescent="0.3">
      <c r="A85" s="133">
        <f>DATE(INT(LEFT($B$3,4)),11,1)</f>
        <v>45962</v>
      </c>
      <c r="B85" s="51">
        <f>SUM('BOA OUT (AV)'!B214,'BOA OUT (AV)'!F214,'BOA OUT (AV)'!B236)*2.5%</f>
        <v>0</v>
      </c>
      <c r="C85" s="51">
        <f t="shared" si="19"/>
        <v>0</v>
      </c>
      <c r="D85" s="51">
        <f>SUM('BOA OUT (AV)'!C214,'BOA OUT (AV)'!G214,'BOA OUT (AV)'!C236)*5%</f>
        <v>0</v>
      </c>
      <c r="E85" s="51">
        <f>'BOA OUT (AV)'!D236*6%</f>
        <v>0</v>
      </c>
      <c r="F85" s="51">
        <f t="shared" si="22"/>
        <v>0</v>
      </c>
      <c r="G85" s="51">
        <f>'BOA OUT (AV)'!E236*12%</f>
        <v>0</v>
      </c>
      <c r="H85" s="51">
        <f>SUM('BOA OUT (AV)'!D214,'BOA OUT (AV)'!H214,'BOA OUT (AV)'!F236)*9%</f>
        <v>0</v>
      </c>
      <c r="I85" s="51">
        <f t="shared" si="23"/>
        <v>0</v>
      </c>
      <c r="J85" s="51">
        <f>SUM('BOA OUT (AV)'!E214,'BOA OUT (AV)'!I214,'BOA OUT (AV)'!G236)*18%</f>
        <v>0</v>
      </c>
      <c r="K85" s="51">
        <f>'BOA OUT (AV)'!H236*14%</f>
        <v>0</v>
      </c>
      <c r="L85" s="51">
        <f t="shared" si="24"/>
        <v>0</v>
      </c>
      <c r="M85" s="51">
        <f>'BOA OUT (AV)'!I236*28%</f>
        <v>0</v>
      </c>
    </row>
    <row r="86" spans="1:13" x14ac:dyDescent="0.3">
      <c r="A86" s="133">
        <f>DATE(INT(LEFT($B$3,4)),12,1)</f>
        <v>45992</v>
      </c>
      <c r="B86" s="51">
        <f>SUM('BOA OUT (AV)'!B215,'BOA OUT (AV)'!F215,'BOA OUT (AV)'!B237)*2.5%</f>
        <v>0</v>
      </c>
      <c r="C86" s="51">
        <f t="shared" si="19"/>
        <v>0</v>
      </c>
      <c r="D86" s="51">
        <f>SUM('BOA OUT (AV)'!C215,'BOA OUT (AV)'!G215,'BOA OUT (AV)'!C237)*5%</f>
        <v>0</v>
      </c>
      <c r="E86" s="51">
        <f>'BOA OUT (AV)'!D237*6%</f>
        <v>0</v>
      </c>
      <c r="F86" s="51">
        <f t="shared" si="22"/>
        <v>0</v>
      </c>
      <c r="G86" s="51">
        <f>'BOA OUT (AV)'!E237*12%</f>
        <v>0</v>
      </c>
      <c r="H86" s="51">
        <f>SUM('BOA OUT (AV)'!D215,'BOA OUT (AV)'!H215,'BOA OUT (AV)'!F237)*9%</f>
        <v>0</v>
      </c>
      <c r="I86" s="51">
        <f t="shared" si="23"/>
        <v>0</v>
      </c>
      <c r="J86" s="51">
        <f>SUM('BOA OUT (AV)'!E215,'BOA OUT (AV)'!I215,'BOA OUT (AV)'!G237)*18%</f>
        <v>0</v>
      </c>
      <c r="K86" s="51">
        <f>'BOA OUT (AV)'!H237*14%</f>
        <v>0</v>
      </c>
      <c r="L86" s="51">
        <f t="shared" si="24"/>
        <v>0</v>
      </c>
      <c r="M86" s="51">
        <f>'BOA OUT (AV)'!I237*28%</f>
        <v>0</v>
      </c>
    </row>
    <row r="87" spans="1:13" x14ac:dyDescent="0.3">
      <c r="A87" s="133">
        <f>DATE(INT(LEFT($B$3,4))+1,1,1)</f>
        <v>46023</v>
      </c>
      <c r="B87" s="51">
        <f>SUM('BOA OUT (AV)'!B216,'BOA OUT (AV)'!F216,'BOA OUT (AV)'!B238)*2.5%</f>
        <v>0</v>
      </c>
      <c r="C87" s="51">
        <f t="shared" si="19"/>
        <v>0</v>
      </c>
      <c r="D87" s="51">
        <f>SUM('BOA OUT (AV)'!C216,'BOA OUT (AV)'!G216,'BOA OUT (AV)'!C238)*5%</f>
        <v>0</v>
      </c>
      <c r="E87" s="51">
        <f>'BOA OUT (AV)'!D238*6%</f>
        <v>0</v>
      </c>
      <c r="F87" s="51">
        <f t="shared" si="22"/>
        <v>0</v>
      </c>
      <c r="G87" s="51">
        <f>'BOA OUT (AV)'!E238*12%</f>
        <v>0</v>
      </c>
      <c r="H87" s="51">
        <f>SUM('BOA OUT (AV)'!D216,'BOA OUT (AV)'!H216,'BOA OUT (AV)'!F238)*9%</f>
        <v>0</v>
      </c>
      <c r="I87" s="51">
        <f t="shared" si="23"/>
        <v>0</v>
      </c>
      <c r="J87" s="51">
        <f>SUM('BOA OUT (AV)'!E216,'BOA OUT (AV)'!I216,'BOA OUT (AV)'!G238)*18%</f>
        <v>0</v>
      </c>
      <c r="K87" s="51">
        <f>'BOA OUT (AV)'!H238*14%</f>
        <v>0</v>
      </c>
      <c r="L87" s="51">
        <f t="shared" si="24"/>
        <v>0</v>
      </c>
      <c r="M87" s="51">
        <f>'BOA OUT (AV)'!I238*28%</f>
        <v>0</v>
      </c>
    </row>
    <row r="88" spans="1:13" x14ac:dyDescent="0.3">
      <c r="A88" s="133">
        <f>DATE(INT(LEFT($B$3,4))+1,2,1)</f>
        <v>46054</v>
      </c>
      <c r="B88" s="51">
        <f>SUM('BOA OUT (AV)'!B217,'BOA OUT (AV)'!F217,'BOA OUT (AV)'!B239)*2.5%</f>
        <v>0</v>
      </c>
      <c r="C88" s="51">
        <f t="shared" si="19"/>
        <v>0</v>
      </c>
      <c r="D88" s="51">
        <f>SUM('BOA OUT (AV)'!C217,'BOA OUT (AV)'!G217,'BOA OUT (AV)'!C239)*5%</f>
        <v>0</v>
      </c>
      <c r="E88" s="51">
        <f>'BOA OUT (AV)'!D239*6%</f>
        <v>0</v>
      </c>
      <c r="F88" s="51">
        <f t="shared" si="22"/>
        <v>0</v>
      </c>
      <c r="G88" s="51">
        <f>'BOA OUT (AV)'!E239*12%</f>
        <v>0</v>
      </c>
      <c r="H88" s="51">
        <f>SUM('BOA OUT (AV)'!D217,'BOA OUT (AV)'!H217,'BOA OUT (AV)'!F239)*9%</f>
        <v>0</v>
      </c>
      <c r="I88" s="51">
        <f t="shared" si="23"/>
        <v>0</v>
      </c>
      <c r="J88" s="51">
        <f>SUM('BOA OUT (AV)'!E217,'BOA OUT (AV)'!I217,'BOA OUT (AV)'!G239)*18%</f>
        <v>0</v>
      </c>
      <c r="K88" s="51">
        <f>'BOA OUT (AV)'!H239*14%</f>
        <v>0</v>
      </c>
      <c r="L88" s="51">
        <f t="shared" si="24"/>
        <v>0</v>
      </c>
      <c r="M88" s="51">
        <f>'BOA OUT (AV)'!I239*28%</f>
        <v>0</v>
      </c>
    </row>
    <row r="89" spans="1:13" x14ac:dyDescent="0.3">
      <c r="A89" s="133">
        <f>DATE(INT(LEFT($B$3,4))+1,3,1)</f>
        <v>46082</v>
      </c>
      <c r="B89" s="51">
        <f>SUM('BOA OUT (AV)'!B218,'BOA OUT (AV)'!F218,'BOA OUT (AV)'!B240)*2.5%</f>
        <v>0</v>
      </c>
      <c r="C89" s="51">
        <f t="shared" si="19"/>
        <v>0</v>
      </c>
      <c r="D89" s="51">
        <f>SUM('BOA OUT (AV)'!C218,'BOA OUT (AV)'!G218,'BOA OUT (AV)'!C240)*5%</f>
        <v>0</v>
      </c>
      <c r="E89" s="51">
        <f>'BOA OUT (AV)'!D240*6%</f>
        <v>0</v>
      </c>
      <c r="F89" s="51">
        <f t="shared" si="22"/>
        <v>0</v>
      </c>
      <c r="G89" s="51">
        <f>'BOA OUT (AV)'!E240*12%</f>
        <v>0</v>
      </c>
      <c r="H89" s="51">
        <f>SUM('BOA OUT (AV)'!D218,'BOA OUT (AV)'!H218,'BOA OUT (AV)'!F240)*9%</f>
        <v>0</v>
      </c>
      <c r="I89" s="51">
        <f t="shared" si="23"/>
        <v>0</v>
      </c>
      <c r="J89" s="51">
        <f>SUM('BOA OUT (AV)'!E218,'BOA OUT (AV)'!I218,'BOA OUT (AV)'!G240)*18%</f>
        <v>0</v>
      </c>
      <c r="K89" s="51">
        <f>'BOA OUT (AV)'!H240*14%</f>
        <v>0</v>
      </c>
      <c r="L89" s="51">
        <f t="shared" si="24"/>
        <v>0</v>
      </c>
      <c r="M89" s="51">
        <f>'BOA OUT (AV)'!I240*28%</f>
        <v>0</v>
      </c>
    </row>
    <row r="90" spans="1:13" x14ac:dyDescent="0.3">
      <c r="A90" s="355"/>
      <c r="B90" s="375"/>
      <c r="C90" s="375"/>
      <c r="D90" s="375"/>
      <c r="E90" s="375"/>
      <c r="F90" s="375"/>
      <c r="G90" s="375"/>
      <c r="H90" s="375"/>
      <c r="I90" s="375"/>
      <c r="J90" s="375"/>
      <c r="K90" s="375"/>
      <c r="L90" s="375"/>
      <c r="M90" s="376"/>
    </row>
    <row r="91" spans="1:13" ht="16.8" x14ac:dyDescent="0.3">
      <c r="A91" s="358" t="s">
        <v>91</v>
      </c>
      <c r="B91" s="373">
        <f>SUM(B78:B90)</f>
        <v>0</v>
      </c>
      <c r="C91" s="373">
        <f t="shared" ref="C91:M91" si="25">SUM(C78:C90)</f>
        <v>0</v>
      </c>
      <c r="D91" s="373">
        <f t="shared" si="25"/>
        <v>0</v>
      </c>
      <c r="E91" s="373">
        <f t="shared" si="25"/>
        <v>0</v>
      </c>
      <c r="F91" s="373">
        <f t="shared" si="25"/>
        <v>0</v>
      </c>
      <c r="G91" s="373">
        <f t="shared" si="25"/>
        <v>0</v>
      </c>
      <c r="H91" s="373">
        <f t="shared" si="25"/>
        <v>0</v>
      </c>
      <c r="I91" s="373">
        <f t="shared" si="25"/>
        <v>0</v>
      </c>
      <c r="J91" s="373">
        <f t="shared" si="25"/>
        <v>0</v>
      </c>
      <c r="K91" s="373">
        <f>SUM(K78:K90)</f>
        <v>0</v>
      </c>
      <c r="L91" s="373">
        <f t="shared" si="25"/>
        <v>0</v>
      </c>
      <c r="M91" s="374">
        <f t="shared" si="25"/>
        <v>0</v>
      </c>
    </row>
  </sheetData>
  <mergeCells count="25">
    <mergeCell ref="H32:J32"/>
    <mergeCell ref="K32:M32"/>
    <mergeCell ref="N32:N33"/>
    <mergeCell ref="K10:M10"/>
    <mergeCell ref="N10:N11"/>
    <mergeCell ref="H10:J10"/>
    <mergeCell ref="A76:A77"/>
    <mergeCell ref="B76:D76"/>
    <mergeCell ref="E76:G76"/>
    <mergeCell ref="H76:J76"/>
    <mergeCell ref="K76:M76"/>
    <mergeCell ref="A32:A33"/>
    <mergeCell ref="B32:D32"/>
    <mergeCell ref="E32:G32"/>
    <mergeCell ref="B3:C3"/>
    <mergeCell ref="B4:C4"/>
    <mergeCell ref="A10:A11"/>
    <mergeCell ref="B10:D10"/>
    <mergeCell ref="E10:G10"/>
    <mergeCell ref="N54:N55"/>
    <mergeCell ref="A54:A55"/>
    <mergeCell ref="B54:D54"/>
    <mergeCell ref="E54:G54"/>
    <mergeCell ref="H54:J54"/>
    <mergeCell ref="K54:M5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30"/>
  <sheetViews>
    <sheetView showGridLines="0" zoomScale="95" zoomScaleNormal="95" workbookViewId="0">
      <selection activeCell="J38" sqref="J38"/>
    </sheetView>
  </sheetViews>
  <sheetFormatPr defaultRowHeight="14.4" x14ac:dyDescent="0.3"/>
  <cols>
    <col min="1" max="1" width="19.88671875" bestFit="1" customWidth="1"/>
    <col min="2" max="16" width="19.6640625" customWidth="1"/>
  </cols>
  <sheetData>
    <row r="1" spans="1:12" ht="3" customHeight="1" x14ac:dyDescent="0.3"/>
    <row r="2" spans="1:12" ht="17.399999999999999" x14ac:dyDescent="0.35">
      <c r="A2" s="311" t="s">
        <v>0</v>
      </c>
      <c r="B2" s="370">
        <f>'PREL INFO'!C2</f>
        <v>0</v>
      </c>
      <c r="C2" s="353"/>
      <c r="D2" s="47"/>
    </row>
    <row r="3" spans="1:12" ht="17.399999999999999" x14ac:dyDescent="0.35">
      <c r="A3" s="312" t="s">
        <v>9</v>
      </c>
      <c r="B3" s="528" t="str">
        <f>'PREL INFO'!C15</f>
        <v>2025-26</v>
      </c>
      <c r="C3" s="519"/>
      <c r="D3" s="48"/>
    </row>
    <row r="4" spans="1:12" ht="17.399999999999999" x14ac:dyDescent="0.35">
      <c r="A4" s="313" t="s">
        <v>78</v>
      </c>
      <c r="B4" s="529" t="s">
        <v>444</v>
      </c>
      <c r="C4" s="521"/>
      <c r="D4" s="49"/>
    </row>
    <row r="7" spans="1:12" ht="18" x14ac:dyDescent="0.35">
      <c r="A7" s="14" t="s">
        <v>445</v>
      </c>
    </row>
    <row r="8" spans="1:12" ht="9" customHeight="1" x14ac:dyDescent="0.3"/>
    <row r="9" spans="1:12" ht="17.399999999999999" x14ac:dyDescent="0.3">
      <c r="A9" s="317" t="s">
        <v>81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41"/>
    </row>
    <row r="10" spans="1:12" ht="25.95" customHeight="1" x14ac:dyDescent="0.3">
      <c r="A10" s="327" t="s">
        <v>82</v>
      </c>
      <c r="B10" s="322" t="s">
        <v>446</v>
      </c>
      <c r="C10" s="322" t="s">
        <v>447</v>
      </c>
      <c r="D10" s="322" t="s">
        <v>492</v>
      </c>
      <c r="E10" s="322" t="s">
        <v>448</v>
      </c>
      <c r="F10" s="322" t="s">
        <v>448</v>
      </c>
      <c r="G10" s="322" t="s">
        <v>448</v>
      </c>
      <c r="H10" s="322" t="s">
        <v>448</v>
      </c>
      <c r="I10" s="322" t="s">
        <v>101</v>
      </c>
      <c r="J10" s="322" t="s">
        <v>105</v>
      </c>
      <c r="K10" s="322" t="s">
        <v>106</v>
      </c>
      <c r="L10" s="329" t="s">
        <v>90</v>
      </c>
    </row>
    <row r="11" spans="1:12" x14ac:dyDescent="0.3">
      <c r="A11" s="21">
        <f>DATE(INT(LEFT($B$3,4)),4,1)</f>
        <v>45748</v>
      </c>
      <c r="B11" s="277"/>
      <c r="C11" s="277"/>
      <c r="D11" s="277"/>
      <c r="E11" s="277"/>
      <c r="F11" s="277"/>
      <c r="G11" s="277"/>
      <c r="H11" s="277"/>
      <c r="I11" s="277"/>
      <c r="J11" s="277"/>
      <c r="K11" s="277"/>
      <c r="L11" s="277"/>
    </row>
    <row r="12" spans="1:12" x14ac:dyDescent="0.3">
      <c r="A12" s="21">
        <f>DATE(INT(LEFT($B$3,4)),5,1)</f>
        <v>45778</v>
      </c>
      <c r="B12" s="277"/>
      <c r="C12" s="277"/>
      <c r="D12" s="277"/>
      <c r="E12" s="277"/>
      <c r="F12" s="277"/>
      <c r="G12" s="277"/>
      <c r="H12" s="277"/>
      <c r="I12" s="277"/>
      <c r="J12" s="277"/>
      <c r="K12" s="277"/>
      <c r="L12" s="277"/>
    </row>
    <row r="13" spans="1:12" x14ac:dyDescent="0.3">
      <c r="A13" s="21">
        <f>DATE(INT(LEFT($B$3,4)),6,1)</f>
        <v>45809</v>
      </c>
      <c r="B13" s="277"/>
      <c r="C13" s="277"/>
      <c r="D13" s="277"/>
      <c r="E13" s="277"/>
      <c r="F13" s="277"/>
      <c r="G13" s="277"/>
      <c r="H13" s="277"/>
      <c r="I13" s="277"/>
      <c r="J13" s="277"/>
      <c r="K13" s="277"/>
      <c r="L13" s="277"/>
    </row>
    <row r="14" spans="1:12" x14ac:dyDescent="0.3">
      <c r="A14" s="21">
        <f>DATE(INT(LEFT($B$3,4)),7,1)</f>
        <v>45839</v>
      </c>
      <c r="B14" s="51"/>
      <c r="C14" s="51"/>
      <c r="D14" s="51"/>
      <c r="E14" s="51"/>
      <c r="F14" s="51"/>
      <c r="G14" s="51"/>
      <c r="H14" s="51"/>
      <c r="I14" s="51"/>
      <c r="J14" s="51"/>
      <c r="K14" s="277"/>
      <c r="L14" s="51"/>
    </row>
    <row r="15" spans="1:12" x14ac:dyDescent="0.3">
      <c r="A15" s="21">
        <f>DATE(INT(LEFT($B$3,4)),8,1)</f>
        <v>45870</v>
      </c>
      <c r="B15" s="51"/>
      <c r="C15" s="51"/>
      <c r="D15" s="51"/>
      <c r="E15" s="51"/>
      <c r="F15" s="51"/>
      <c r="G15" s="51"/>
      <c r="H15" s="51"/>
      <c r="I15" s="51"/>
      <c r="J15" s="51"/>
      <c r="K15" s="277"/>
      <c r="L15" s="51"/>
    </row>
    <row r="16" spans="1:12" x14ac:dyDescent="0.3">
      <c r="A16" s="21">
        <f>DATE(INT(LEFT($B$3,4)),9,1)</f>
        <v>45901</v>
      </c>
      <c r="B16" s="51"/>
      <c r="C16" s="51"/>
      <c r="D16" s="51"/>
      <c r="E16" s="51"/>
      <c r="F16" s="51"/>
      <c r="G16" s="51"/>
      <c r="H16" s="51"/>
      <c r="I16" s="51"/>
      <c r="J16" s="51"/>
      <c r="K16" s="277"/>
      <c r="L16" s="51"/>
    </row>
    <row r="17" spans="1:12" x14ac:dyDescent="0.3">
      <c r="A17" s="21">
        <f>DATE(INT(LEFT($B$3,4)),10,1)</f>
        <v>45931</v>
      </c>
      <c r="B17" s="51"/>
      <c r="C17" s="51"/>
      <c r="D17" s="51"/>
      <c r="E17" s="51"/>
      <c r="F17" s="51"/>
      <c r="G17" s="51"/>
      <c r="H17" s="51"/>
      <c r="I17" s="51"/>
      <c r="J17" s="51"/>
      <c r="K17" s="277"/>
      <c r="L17" s="51"/>
    </row>
    <row r="18" spans="1:12" x14ac:dyDescent="0.3">
      <c r="A18" s="21">
        <f>DATE(INT(LEFT($B$3,4)),11,1)</f>
        <v>45962</v>
      </c>
      <c r="B18" s="51"/>
      <c r="C18" s="51"/>
      <c r="D18" s="51"/>
      <c r="E18" s="51"/>
      <c r="F18" s="51"/>
      <c r="G18" s="51"/>
      <c r="H18" s="51"/>
      <c r="I18" s="51"/>
      <c r="J18" s="51"/>
      <c r="K18" s="277"/>
      <c r="L18" s="51"/>
    </row>
    <row r="19" spans="1:12" x14ac:dyDescent="0.3">
      <c r="A19" s="21">
        <f>DATE(INT(LEFT($B$3,4)),12,1)</f>
        <v>45992</v>
      </c>
      <c r="B19" s="51"/>
      <c r="C19" s="51"/>
      <c r="D19" s="51"/>
      <c r="E19" s="51"/>
      <c r="F19" s="51"/>
      <c r="G19" s="51"/>
      <c r="H19" s="51"/>
      <c r="I19" s="51"/>
      <c r="J19" s="51"/>
      <c r="K19" s="277"/>
      <c r="L19" s="51"/>
    </row>
    <row r="20" spans="1:12" x14ac:dyDescent="0.3">
      <c r="A20" s="21">
        <f>DATE(INT(LEFT($B$3,4))+1,1,1)</f>
        <v>46023</v>
      </c>
      <c r="B20" s="51"/>
      <c r="C20" s="51"/>
      <c r="D20" s="51"/>
      <c r="E20" s="51"/>
      <c r="F20" s="51"/>
      <c r="G20" s="51"/>
      <c r="H20" s="51"/>
      <c r="I20" s="51"/>
      <c r="J20" s="51"/>
      <c r="K20" s="277"/>
      <c r="L20" s="51"/>
    </row>
    <row r="21" spans="1:12" x14ac:dyDescent="0.3">
      <c r="A21" s="21">
        <f>DATE(INT(LEFT($B$3,4))+1,2,1)</f>
        <v>46054</v>
      </c>
      <c r="B21" s="51"/>
      <c r="C21" s="51"/>
      <c r="D21" s="51"/>
      <c r="E21" s="51"/>
      <c r="F21" s="51"/>
      <c r="G21" s="51"/>
      <c r="H21" s="51"/>
      <c r="I21" s="51"/>
      <c r="J21" s="51"/>
      <c r="K21" s="277"/>
      <c r="L21" s="51"/>
    </row>
    <row r="22" spans="1:12" x14ac:dyDescent="0.3">
      <c r="A22" s="21">
        <f>DATE(INT(LEFT($B$3,4))+1,3,1)</f>
        <v>46082</v>
      </c>
      <c r="B22" s="51"/>
      <c r="C22" s="51"/>
      <c r="D22" s="51"/>
      <c r="E22" s="51"/>
      <c r="F22" s="51"/>
      <c r="G22" s="51"/>
      <c r="H22" s="51"/>
      <c r="I22" s="51"/>
      <c r="J22" s="51"/>
      <c r="K22" s="277"/>
      <c r="L22" s="51"/>
    </row>
    <row r="23" spans="1:12" x14ac:dyDescent="0.3">
      <c r="A23" s="355"/>
      <c r="B23" s="360"/>
      <c r="C23" s="360"/>
      <c r="D23" s="360"/>
      <c r="E23" s="360"/>
      <c r="F23" s="360"/>
      <c r="G23" s="360"/>
      <c r="H23" s="360"/>
      <c r="I23" s="360"/>
      <c r="J23" s="360"/>
      <c r="K23" s="360"/>
      <c r="L23" s="361"/>
    </row>
    <row r="24" spans="1:12" ht="16.8" x14ac:dyDescent="0.3">
      <c r="A24" s="358" t="s">
        <v>91</v>
      </c>
      <c r="B24" s="342">
        <f>SUM(B11:B22)</f>
        <v>0</v>
      </c>
      <c r="C24" s="342">
        <f t="shared" ref="C24:L24" si="0">SUM(C11:C22)</f>
        <v>0</v>
      </c>
      <c r="D24" s="342">
        <f t="shared" si="0"/>
        <v>0</v>
      </c>
      <c r="E24" s="342">
        <f t="shared" si="0"/>
        <v>0</v>
      </c>
      <c r="F24" s="342">
        <f t="shared" si="0"/>
        <v>0</v>
      </c>
      <c r="G24" s="342">
        <f t="shared" si="0"/>
        <v>0</v>
      </c>
      <c r="H24" s="342">
        <f t="shared" si="0"/>
        <v>0</v>
      </c>
      <c r="I24" s="342">
        <f t="shared" si="0"/>
        <v>0</v>
      </c>
      <c r="J24" s="342">
        <f t="shared" si="0"/>
        <v>0</v>
      </c>
      <c r="K24" s="342">
        <f t="shared" si="0"/>
        <v>0</v>
      </c>
      <c r="L24" s="343">
        <f t="shared" si="0"/>
        <v>0</v>
      </c>
    </row>
    <row r="28" spans="1:12" ht="18" x14ac:dyDescent="0.35">
      <c r="A28" s="14" t="s">
        <v>449</v>
      </c>
    </row>
    <row r="30" spans="1:12" ht="17.399999999999999" x14ac:dyDescent="0.3">
      <c r="A30" s="317" t="s">
        <v>81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41"/>
    </row>
    <row r="31" spans="1:12" ht="28.8" x14ac:dyDescent="0.3">
      <c r="A31" s="327" t="s">
        <v>82</v>
      </c>
      <c r="B31" s="322" t="s">
        <v>446</v>
      </c>
      <c r="C31" s="322" t="s">
        <v>492</v>
      </c>
      <c r="D31" s="322" t="s">
        <v>496</v>
      </c>
      <c r="E31" s="322" t="s">
        <v>448</v>
      </c>
      <c r="F31" s="322" t="s">
        <v>448</v>
      </c>
      <c r="G31" s="322" t="s">
        <v>448</v>
      </c>
      <c r="H31" s="322" t="s">
        <v>448</v>
      </c>
      <c r="I31" s="322" t="s">
        <v>101</v>
      </c>
      <c r="J31" s="322" t="s">
        <v>105</v>
      </c>
      <c r="K31" s="322" t="s">
        <v>106</v>
      </c>
      <c r="L31" s="329" t="s">
        <v>90</v>
      </c>
    </row>
    <row r="32" spans="1:12" x14ac:dyDescent="0.3">
      <c r="A32" s="21">
        <f>DATE(INT(LEFT($B$3,4)),4,1)</f>
        <v>45748</v>
      </c>
      <c r="B32" s="277"/>
      <c r="C32" s="277"/>
      <c r="D32" s="277"/>
      <c r="E32" s="277"/>
      <c r="F32" s="277"/>
      <c r="G32" s="277"/>
      <c r="H32" s="277"/>
      <c r="I32" s="277"/>
      <c r="J32" s="277"/>
      <c r="K32" s="277"/>
      <c r="L32" s="277"/>
    </row>
    <row r="33" spans="1:12" x14ac:dyDescent="0.3">
      <c r="A33" s="21">
        <f>DATE(INT(LEFT($B$3,4)),5,1)</f>
        <v>45778</v>
      </c>
      <c r="B33" s="277"/>
      <c r="C33" s="277"/>
      <c r="D33" s="277"/>
      <c r="E33" s="277"/>
      <c r="F33" s="277"/>
      <c r="G33" s="277"/>
      <c r="H33" s="277"/>
      <c r="I33" s="277"/>
      <c r="J33" s="277"/>
      <c r="K33" s="277"/>
      <c r="L33" s="277"/>
    </row>
    <row r="34" spans="1:12" x14ac:dyDescent="0.3">
      <c r="A34" s="21">
        <f>DATE(INT(LEFT($B$3,4)),6,1)</f>
        <v>45809</v>
      </c>
      <c r="B34" s="277"/>
      <c r="C34" s="277"/>
      <c r="D34" s="277"/>
      <c r="E34" s="277"/>
      <c r="F34" s="277"/>
      <c r="G34" s="277"/>
      <c r="H34" s="277"/>
      <c r="I34" s="277"/>
      <c r="J34" s="277"/>
      <c r="K34" s="277"/>
      <c r="L34" s="277"/>
    </row>
    <row r="35" spans="1:12" x14ac:dyDescent="0.3">
      <c r="A35" s="21">
        <f>DATE(INT(LEFT($B$3,4)),7,1)</f>
        <v>45839</v>
      </c>
      <c r="B35" s="51"/>
      <c r="C35" s="51"/>
      <c r="D35" s="51"/>
      <c r="E35" s="51"/>
      <c r="F35" s="51"/>
      <c r="G35" s="51"/>
      <c r="H35" s="51"/>
      <c r="I35" s="51"/>
      <c r="J35" s="51"/>
      <c r="K35" s="277"/>
      <c r="L35" s="51"/>
    </row>
    <row r="36" spans="1:12" x14ac:dyDescent="0.3">
      <c r="A36" s="21">
        <f>DATE(INT(LEFT($B$3,4)),8,1)</f>
        <v>45870</v>
      </c>
      <c r="B36" s="51"/>
      <c r="C36" s="51"/>
      <c r="D36" s="51"/>
      <c r="E36" s="51"/>
      <c r="F36" s="51"/>
      <c r="G36" s="51"/>
      <c r="H36" s="51"/>
      <c r="I36" s="51"/>
      <c r="J36" s="51"/>
      <c r="K36" s="277"/>
      <c r="L36" s="51"/>
    </row>
    <row r="37" spans="1:12" x14ac:dyDescent="0.3">
      <c r="A37" s="21">
        <f>DATE(INT(LEFT($B$3,4)),9,1)</f>
        <v>45901</v>
      </c>
      <c r="B37" s="51"/>
      <c r="C37" s="51"/>
      <c r="D37" s="51"/>
      <c r="E37" s="51"/>
      <c r="F37" s="51"/>
      <c r="G37" s="51"/>
      <c r="H37" s="51"/>
      <c r="I37" s="51"/>
      <c r="J37" s="51"/>
      <c r="K37" s="277"/>
      <c r="L37" s="51"/>
    </row>
    <row r="38" spans="1:12" x14ac:dyDescent="0.3">
      <c r="A38" s="21">
        <f>DATE(INT(LEFT($B$3,4)),10,1)</f>
        <v>45931</v>
      </c>
      <c r="B38" s="51"/>
      <c r="C38" s="51"/>
      <c r="D38" s="51"/>
      <c r="E38" s="51"/>
      <c r="F38" s="51"/>
      <c r="G38" s="51"/>
      <c r="H38" s="51"/>
      <c r="I38" s="51"/>
      <c r="J38" s="51"/>
      <c r="K38" s="277"/>
      <c r="L38" s="51"/>
    </row>
    <row r="39" spans="1:12" x14ac:dyDescent="0.3">
      <c r="A39" s="21">
        <f>DATE(INT(LEFT($B$3,4)),11,1)</f>
        <v>45962</v>
      </c>
      <c r="B39" s="51"/>
      <c r="C39" s="51"/>
      <c r="D39" s="51"/>
      <c r="E39" s="51"/>
      <c r="F39" s="51"/>
      <c r="G39" s="51"/>
      <c r="H39" s="51"/>
      <c r="I39" s="51"/>
      <c r="J39" s="51"/>
      <c r="K39" s="277"/>
      <c r="L39" s="51"/>
    </row>
    <row r="40" spans="1:12" x14ac:dyDescent="0.3">
      <c r="A40" s="21">
        <f>DATE(INT(LEFT($B$3,4)),12,1)</f>
        <v>45992</v>
      </c>
      <c r="B40" s="51"/>
      <c r="C40" s="51"/>
      <c r="D40" s="51"/>
      <c r="E40" s="51"/>
      <c r="F40" s="51"/>
      <c r="G40" s="51"/>
      <c r="H40" s="51"/>
      <c r="I40" s="51"/>
      <c r="J40" s="51"/>
      <c r="K40" s="277"/>
      <c r="L40" s="51"/>
    </row>
    <row r="41" spans="1:12" x14ac:dyDescent="0.3">
      <c r="A41" s="21">
        <f>DATE(INT(LEFT($B$3,4))+1,1,1)</f>
        <v>46023</v>
      </c>
      <c r="B41" s="51"/>
      <c r="C41" s="51"/>
      <c r="D41" s="51"/>
      <c r="E41" s="51"/>
      <c r="F41" s="51"/>
      <c r="G41" s="51"/>
      <c r="H41" s="51"/>
      <c r="I41" s="51"/>
      <c r="J41" s="51"/>
      <c r="K41" s="277"/>
      <c r="L41" s="51"/>
    </row>
    <row r="42" spans="1:12" x14ac:dyDescent="0.3">
      <c r="A42" s="21">
        <f>DATE(INT(LEFT($B$3,4))+1,2,1)</f>
        <v>46054</v>
      </c>
      <c r="B42" s="51"/>
      <c r="C42" s="51"/>
      <c r="D42" s="51"/>
      <c r="E42" s="51"/>
      <c r="F42" s="51"/>
      <c r="G42" s="51"/>
      <c r="H42" s="51"/>
      <c r="I42" s="51"/>
      <c r="J42" s="51"/>
      <c r="K42" s="277"/>
      <c r="L42" s="51"/>
    </row>
    <row r="43" spans="1:12" x14ac:dyDescent="0.3">
      <c r="A43" s="21">
        <f>DATE(INT(LEFT($B$3,4))+1,3,1)</f>
        <v>46082</v>
      </c>
      <c r="B43" s="51"/>
      <c r="C43" s="51"/>
      <c r="D43" s="51"/>
      <c r="E43" s="51"/>
      <c r="F43" s="51"/>
      <c r="G43" s="51"/>
      <c r="H43" s="51"/>
      <c r="I43" s="51"/>
      <c r="J43" s="51"/>
      <c r="K43" s="277"/>
      <c r="L43" s="51"/>
    </row>
    <row r="44" spans="1:12" x14ac:dyDescent="0.3">
      <c r="A44" s="355"/>
      <c r="B44" s="360"/>
      <c r="C44" s="360"/>
      <c r="D44" s="360"/>
      <c r="E44" s="360"/>
      <c r="F44" s="360"/>
      <c r="G44" s="360"/>
      <c r="H44" s="360"/>
      <c r="I44" s="360"/>
      <c r="J44" s="360"/>
      <c r="K44" s="360"/>
      <c r="L44" s="361"/>
    </row>
    <row r="45" spans="1:12" ht="16.8" x14ac:dyDescent="0.3">
      <c r="A45" s="358" t="s">
        <v>91</v>
      </c>
      <c r="B45" s="342">
        <f>SUM(B32:B43)</f>
        <v>0</v>
      </c>
      <c r="C45" s="342">
        <f t="shared" ref="C45:L45" si="1">SUM(C32:C43)</f>
        <v>0</v>
      </c>
      <c r="D45" s="342">
        <f t="shared" si="1"/>
        <v>0</v>
      </c>
      <c r="E45" s="342">
        <f t="shared" si="1"/>
        <v>0</v>
      </c>
      <c r="F45" s="342">
        <f t="shared" si="1"/>
        <v>0</v>
      </c>
      <c r="G45" s="342">
        <f t="shared" si="1"/>
        <v>0</v>
      </c>
      <c r="H45" s="342">
        <f t="shared" si="1"/>
        <v>0</v>
      </c>
      <c r="I45" s="342">
        <f t="shared" si="1"/>
        <v>0</v>
      </c>
      <c r="J45" s="342">
        <f t="shared" si="1"/>
        <v>0</v>
      </c>
      <c r="K45" s="342">
        <f t="shared" si="1"/>
        <v>0</v>
      </c>
      <c r="L45" s="343">
        <f t="shared" si="1"/>
        <v>0</v>
      </c>
    </row>
    <row r="49" spans="1:12" ht="18" x14ac:dyDescent="0.35">
      <c r="A49" s="14" t="s">
        <v>450</v>
      </c>
    </row>
    <row r="51" spans="1:12" ht="17.399999999999999" x14ac:dyDescent="0.3">
      <c r="A51" s="317" t="s">
        <v>81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41"/>
    </row>
    <row r="52" spans="1:12" ht="28.8" x14ac:dyDescent="0.3">
      <c r="A52" s="327" t="s">
        <v>82</v>
      </c>
      <c r="B52" s="322" t="s">
        <v>446</v>
      </c>
      <c r="C52" s="322" t="s">
        <v>497</v>
      </c>
      <c r="D52" s="322" t="s">
        <v>492</v>
      </c>
      <c r="E52" s="322" t="s">
        <v>494</v>
      </c>
      <c r="F52" s="322" t="s">
        <v>495</v>
      </c>
      <c r="G52" s="322" t="s">
        <v>498</v>
      </c>
      <c r="H52" s="322" t="s">
        <v>499</v>
      </c>
      <c r="I52" s="322" t="s">
        <v>101</v>
      </c>
      <c r="J52" s="322" t="s">
        <v>105</v>
      </c>
      <c r="K52" s="322" t="s">
        <v>106</v>
      </c>
      <c r="L52" s="329" t="s">
        <v>90</v>
      </c>
    </row>
    <row r="53" spans="1:12" x14ac:dyDescent="0.3">
      <c r="A53" s="21">
        <f>DATE(INT(LEFT($B$3,4)),4,1)</f>
        <v>45748</v>
      </c>
      <c r="B53" s="277"/>
      <c r="C53" s="277"/>
      <c r="D53" s="277"/>
      <c r="E53" s="277"/>
      <c r="F53" s="277"/>
      <c r="G53" s="277"/>
      <c r="H53" s="277"/>
      <c r="I53" s="277"/>
      <c r="J53" s="277"/>
      <c r="K53" s="277"/>
      <c r="L53" s="277"/>
    </row>
    <row r="54" spans="1:12" x14ac:dyDescent="0.3">
      <c r="A54" s="21">
        <f>DATE(INT(LEFT($B$3,4)),5,1)</f>
        <v>45778</v>
      </c>
      <c r="B54" s="277"/>
      <c r="C54" s="277"/>
      <c r="D54" s="277"/>
      <c r="E54" s="277"/>
      <c r="F54" s="277"/>
      <c r="G54" s="277"/>
      <c r="H54" s="277"/>
      <c r="I54" s="277"/>
      <c r="J54" s="277"/>
      <c r="K54" s="277"/>
      <c r="L54" s="277"/>
    </row>
    <row r="55" spans="1:12" x14ac:dyDescent="0.3">
      <c r="A55" s="21">
        <f>DATE(INT(LEFT($B$3,4)),6,1)</f>
        <v>45809</v>
      </c>
      <c r="B55" s="277"/>
      <c r="C55" s="277"/>
      <c r="D55" s="277"/>
      <c r="E55" s="277"/>
      <c r="F55" s="277"/>
      <c r="G55" s="277"/>
      <c r="H55" s="277"/>
      <c r="I55" s="277"/>
      <c r="J55" s="277"/>
      <c r="K55" s="277"/>
      <c r="L55" s="277"/>
    </row>
    <row r="56" spans="1:12" x14ac:dyDescent="0.3">
      <c r="A56" s="21">
        <f>DATE(INT(LEFT($B$3,4)),7,1)</f>
        <v>45839</v>
      </c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</row>
    <row r="57" spans="1:12" x14ac:dyDescent="0.3">
      <c r="A57" s="21">
        <f>DATE(INT(LEFT($B$3,4)),8,1)</f>
        <v>45870</v>
      </c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</row>
    <row r="58" spans="1:12" x14ac:dyDescent="0.3">
      <c r="A58" s="21">
        <f>DATE(INT(LEFT($B$3,4)),9,1)</f>
        <v>45901</v>
      </c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</row>
    <row r="59" spans="1:12" x14ac:dyDescent="0.3">
      <c r="A59" s="21">
        <f>DATE(INT(LEFT($B$3,4)),10,1)</f>
        <v>45931</v>
      </c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</row>
    <row r="60" spans="1:12" x14ac:dyDescent="0.3">
      <c r="A60" s="21">
        <f>DATE(INT(LEFT($B$3,4)),11,1)</f>
        <v>45962</v>
      </c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</row>
    <row r="61" spans="1:12" x14ac:dyDescent="0.3">
      <c r="A61" s="21">
        <f>DATE(INT(LEFT($B$3,4)),12,1)</f>
        <v>45992</v>
      </c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</row>
    <row r="62" spans="1:12" x14ac:dyDescent="0.3">
      <c r="A62" s="21">
        <f>DATE(INT(LEFT($B$3,4))+1,1,1)</f>
        <v>46023</v>
      </c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</row>
    <row r="63" spans="1:12" x14ac:dyDescent="0.3">
      <c r="A63" s="21">
        <f>DATE(INT(LEFT($B$3,4))+1,2,1)</f>
        <v>46054</v>
      </c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</row>
    <row r="64" spans="1:12" x14ac:dyDescent="0.3">
      <c r="A64" s="21">
        <f>DATE(INT(LEFT($B$3,4))+1,3,1)</f>
        <v>46082</v>
      </c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</row>
    <row r="65" spans="1:12" x14ac:dyDescent="0.3">
      <c r="A65" s="355"/>
      <c r="B65" s="360"/>
      <c r="C65" s="360"/>
      <c r="D65" s="360"/>
      <c r="E65" s="360"/>
      <c r="F65" s="360"/>
      <c r="G65" s="360"/>
      <c r="H65" s="360"/>
      <c r="I65" s="360"/>
      <c r="J65" s="360"/>
      <c r="K65" s="360"/>
      <c r="L65" s="361"/>
    </row>
    <row r="66" spans="1:12" ht="16.8" x14ac:dyDescent="0.3">
      <c r="A66" s="358" t="s">
        <v>91</v>
      </c>
      <c r="B66" s="342">
        <f>SUM(B53:B64)</f>
        <v>0</v>
      </c>
      <c r="C66" s="342">
        <f t="shared" ref="C66:L66" si="2">SUM(C53:C64)</f>
        <v>0</v>
      </c>
      <c r="D66" s="342">
        <f t="shared" si="2"/>
        <v>0</v>
      </c>
      <c r="E66" s="342">
        <f t="shared" si="2"/>
        <v>0</v>
      </c>
      <c r="F66" s="342">
        <f t="shared" si="2"/>
        <v>0</v>
      </c>
      <c r="G66" s="342">
        <f t="shared" si="2"/>
        <v>0</v>
      </c>
      <c r="H66" s="342">
        <f t="shared" si="2"/>
        <v>0</v>
      </c>
      <c r="I66" s="342">
        <f t="shared" si="2"/>
        <v>0</v>
      </c>
      <c r="J66" s="342">
        <f>SUM(J53:J64)</f>
        <v>0</v>
      </c>
      <c r="K66" s="342">
        <f>SUM(K53:K64)</f>
        <v>0</v>
      </c>
      <c r="L66" s="343">
        <f t="shared" si="2"/>
        <v>0</v>
      </c>
    </row>
    <row r="70" spans="1:12" ht="18" x14ac:dyDescent="0.35">
      <c r="A70" s="14" t="s">
        <v>451</v>
      </c>
    </row>
    <row r="72" spans="1:12" ht="17.399999999999999" x14ac:dyDescent="0.3">
      <c r="A72" s="317" t="s">
        <v>81</v>
      </c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41"/>
    </row>
    <row r="73" spans="1:12" ht="24.9" customHeight="1" x14ac:dyDescent="0.3">
      <c r="A73" s="327" t="s">
        <v>82</v>
      </c>
      <c r="B73" s="322" t="s">
        <v>446</v>
      </c>
      <c r="C73" s="322" t="s">
        <v>498</v>
      </c>
      <c r="D73" s="322" t="s">
        <v>448</v>
      </c>
      <c r="E73" s="322" t="s">
        <v>448</v>
      </c>
      <c r="F73" s="322" t="s">
        <v>448</v>
      </c>
      <c r="G73" s="322" t="s">
        <v>448</v>
      </c>
      <c r="H73" s="322" t="s">
        <v>448</v>
      </c>
      <c r="I73" s="322" t="s">
        <v>101</v>
      </c>
      <c r="J73" s="322" t="s">
        <v>105</v>
      </c>
      <c r="K73" s="322" t="s">
        <v>106</v>
      </c>
      <c r="L73" s="329" t="s">
        <v>90</v>
      </c>
    </row>
    <row r="74" spans="1:12" x14ac:dyDescent="0.3">
      <c r="A74" s="21">
        <f>DATE(INT(LEFT($B$3,4)),4,1)</f>
        <v>45748</v>
      </c>
      <c r="B74" s="277"/>
      <c r="C74" s="277"/>
      <c r="D74" s="277"/>
      <c r="E74" s="277"/>
      <c r="F74" s="277"/>
      <c r="G74" s="277"/>
      <c r="H74" s="277"/>
      <c r="I74" s="277"/>
      <c r="J74" s="277"/>
      <c r="K74" s="277"/>
      <c r="L74" s="277"/>
    </row>
    <row r="75" spans="1:12" x14ac:dyDescent="0.3">
      <c r="A75" s="21">
        <f>DATE(INT(LEFT($B$3,4)),5,1)</f>
        <v>45778</v>
      </c>
      <c r="B75" s="277"/>
      <c r="C75" s="277"/>
      <c r="D75" s="277"/>
      <c r="E75" s="277"/>
      <c r="F75" s="277"/>
      <c r="G75" s="277"/>
      <c r="H75" s="277"/>
      <c r="I75" s="277"/>
      <c r="J75" s="277"/>
      <c r="K75" s="277"/>
      <c r="L75" s="277"/>
    </row>
    <row r="76" spans="1:12" x14ac:dyDescent="0.3">
      <c r="A76" s="21">
        <f>DATE(INT(LEFT($B$3,4)),6,1)</f>
        <v>45809</v>
      </c>
      <c r="B76" s="277"/>
      <c r="C76" s="277"/>
      <c r="D76" s="277"/>
      <c r="E76" s="277"/>
      <c r="F76" s="277"/>
      <c r="G76" s="277"/>
      <c r="H76" s="277"/>
      <c r="I76" s="277"/>
      <c r="J76" s="277"/>
      <c r="K76" s="277"/>
      <c r="L76" s="277"/>
    </row>
    <row r="77" spans="1:12" x14ac:dyDescent="0.3">
      <c r="A77" s="21">
        <f>DATE(INT(LEFT($B$3,4)),7,1)</f>
        <v>45839</v>
      </c>
      <c r="B77" s="51"/>
      <c r="C77" s="51"/>
      <c r="D77" s="51"/>
      <c r="E77" s="51"/>
      <c r="F77" s="51"/>
      <c r="G77" s="51"/>
      <c r="H77" s="51"/>
      <c r="I77" s="51"/>
      <c r="J77" s="51"/>
      <c r="K77" s="277"/>
      <c r="L77" s="51"/>
    </row>
    <row r="78" spans="1:12" x14ac:dyDescent="0.3">
      <c r="A78" s="21">
        <f>DATE(INT(LEFT($B$3,4)),8,1)</f>
        <v>45870</v>
      </c>
      <c r="B78" s="51"/>
      <c r="C78" s="51"/>
      <c r="D78" s="51"/>
      <c r="E78" s="51"/>
      <c r="F78" s="51"/>
      <c r="G78" s="51"/>
      <c r="H78" s="51"/>
      <c r="I78" s="51"/>
      <c r="J78" s="51"/>
      <c r="K78" s="277"/>
      <c r="L78" s="51"/>
    </row>
    <row r="79" spans="1:12" x14ac:dyDescent="0.3">
      <c r="A79" s="21">
        <f>DATE(INT(LEFT($B$3,4)),9,1)</f>
        <v>45901</v>
      </c>
      <c r="B79" s="51"/>
      <c r="C79" s="51"/>
      <c r="D79" s="51"/>
      <c r="E79" s="51"/>
      <c r="F79" s="51"/>
      <c r="G79" s="51"/>
      <c r="H79" s="51"/>
      <c r="I79" s="51"/>
      <c r="J79" s="51"/>
      <c r="K79" s="277"/>
      <c r="L79" s="51"/>
    </row>
    <row r="80" spans="1:12" x14ac:dyDescent="0.3">
      <c r="A80" s="21">
        <f>DATE(INT(LEFT($B$3,4)),10,1)</f>
        <v>45931</v>
      </c>
      <c r="B80" s="51"/>
      <c r="C80" s="51"/>
      <c r="D80" s="51"/>
      <c r="E80" s="51"/>
      <c r="F80" s="51"/>
      <c r="G80" s="51"/>
      <c r="H80" s="51"/>
      <c r="I80" s="51"/>
      <c r="J80" s="51"/>
      <c r="K80" s="277"/>
      <c r="L80" s="51"/>
    </row>
    <row r="81" spans="1:16" x14ac:dyDescent="0.3">
      <c r="A81" s="21">
        <f>DATE(INT(LEFT($B$3,4)),11,1)</f>
        <v>45962</v>
      </c>
      <c r="B81" s="51"/>
      <c r="C81" s="51"/>
      <c r="D81" s="51"/>
      <c r="E81" s="51"/>
      <c r="F81" s="51"/>
      <c r="G81" s="51"/>
      <c r="H81" s="51"/>
      <c r="I81" s="51"/>
      <c r="J81" s="51"/>
      <c r="K81" s="277"/>
      <c r="L81" s="51"/>
    </row>
    <row r="82" spans="1:16" x14ac:dyDescent="0.3">
      <c r="A82" s="21">
        <f>DATE(INT(LEFT($B$3,4)),12,1)</f>
        <v>45992</v>
      </c>
      <c r="B82" s="51"/>
      <c r="C82" s="51"/>
      <c r="D82" s="51"/>
      <c r="E82" s="51"/>
      <c r="F82" s="51"/>
      <c r="G82" s="51"/>
      <c r="H82" s="51"/>
      <c r="I82" s="51"/>
      <c r="J82" s="51"/>
      <c r="K82" s="277"/>
      <c r="L82" s="51"/>
    </row>
    <row r="83" spans="1:16" x14ac:dyDescent="0.3">
      <c r="A83" s="21">
        <f>DATE(INT(LEFT($B$3,4))+1,1,1)</f>
        <v>46023</v>
      </c>
      <c r="B83" s="51"/>
      <c r="C83" s="51"/>
      <c r="D83" s="51"/>
      <c r="E83" s="51"/>
      <c r="F83" s="51"/>
      <c r="G83" s="51"/>
      <c r="H83" s="51"/>
      <c r="I83" s="51"/>
      <c r="J83" s="51"/>
      <c r="K83" s="277"/>
      <c r="L83" s="51"/>
    </row>
    <row r="84" spans="1:16" x14ac:dyDescent="0.3">
      <c r="A84" s="21">
        <f>DATE(INT(LEFT($B$3,4))+1,2,1)</f>
        <v>46054</v>
      </c>
      <c r="B84" s="51"/>
      <c r="C84" s="51"/>
      <c r="D84" s="51"/>
      <c r="E84" s="51"/>
      <c r="F84" s="51"/>
      <c r="G84" s="51"/>
      <c r="H84" s="51"/>
      <c r="I84" s="51"/>
      <c r="J84" s="51"/>
      <c r="K84" s="277"/>
      <c r="L84" s="51"/>
    </row>
    <row r="85" spans="1:16" x14ac:dyDescent="0.3">
      <c r="A85" s="21">
        <f>DATE(INT(LEFT($B$3,4))+1,3,1)</f>
        <v>46082</v>
      </c>
      <c r="B85" s="51"/>
      <c r="C85" s="51"/>
      <c r="D85" s="51"/>
      <c r="E85" s="51"/>
      <c r="F85" s="51"/>
      <c r="G85" s="51"/>
      <c r="H85" s="51"/>
      <c r="I85" s="51"/>
      <c r="J85" s="51"/>
      <c r="K85" s="277"/>
      <c r="L85" s="51"/>
    </row>
    <row r="86" spans="1:16" x14ac:dyDescent="0.3">
      <c r="A86" s="355"/>
      <c r="B86" s="360"/>
      <c r="C86" s="360"/>
      <c r="D86" s="360"/>
      <c r="E86" s="360"/>
      <c r="F86" s="360"/>
      <c r="G86" s="360"/>
      <c r="H86" s="360"/>
      <c r="I86" s="360"/>
      <c r="J86" s="360"/>
      <c r="K86" s="360"/>
      <c r="L86" s="361"/>
    </row>
    <row r="87" spans="1:16" ht="16.8" x14ac:dyDescent="0.3">
      <c r="A87" s="358" t="s">
        <v>91</v>
      </c>
      <c r="B87" s="342">
        <f>SUM(B74:B85)</f>
        <v>0</v>
      </c>
      <c r="C87" s="342">
        <f t="shared" ref="C87:L87" si="3">SUM(C74:C85)</f>
        <v>0</v>
      </c>
      <c r="D87" s="342">
        <f t="shared" si="3"/>
        <v>0</v>
      </c>
      <c r="E87" s="342">
        <f t="shared" si="3"/>
        <v>0</v>
      </c>
      <c r="F87" s="342">
        <f t="shared" si="3"/>
        <v>0</v>
      </c>
      <c r="G87" s="342">
        <f t="shared" si="3"/>
        <v>0</v>
      </c>
      <c r="H87" s="342">
        <f t="shared" si="3"/>
        <v>0</v>
      </c>
      <c r="I87" s="342">
        <f t="shared" si="3"/>
        <v>0</v>
      </c>
      <c r="J87" s="342">
        <f t="shared" si="3"/>
        <v>0</v>
      </c>
      <c r="K87" s="342">
        <f t="shared" si="3"/>
        <v>0</v>
      </c>
      <c r="L87" s="343">
        <f t="shared" si="3"/>
        <v>0</v>
      </c>
    </row>
    <row r="91" spans="1:16" ht="18" x14ac:dyDescent="0.35">
      <c r="A91" s="14" t="s">
        <v>214</v>
      </c>
    </row>
    <row r="93" spans="1:16" ht="17.399999999999999" x14ac:dyDescent="0.3">
      <c r="A93" s="317" t="s">
        <v>81</v>
      </c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41"/>
    </row>
    <row r="94" spans="1:16" ht="18" customHeight="1" x14ac:dyDescent="0.3">
      <c r="A94" s="527" t="s">
        <v>82</v>
      </c>
      <c r="B94" s="531" t="s">
        <v>470</v>
      </c>
      <c r="C94" s="531" t="s">
        <v>440</v>
      </c>
      <c r="D94" s="531" t="s">
        <v>210</v>
      </c>
      <c r="E94" s="517">
        <v>0.05</v>
      </c>
      <c r="F94" s="517"/>
      <c r="G94" s="517"/>
      <c r="H94" s="517">
        <v>0.12</v>
      </c>
      <c r="I94" s="517"/>
      <c r="J94" s="517"/>
      <c r="K94" s="517">
        <v>0.18</v>
      </c>
      <c r="L94" s="517"/>
      <c r="M94" s="517"/>
      <c r="N94" s="517">
        <v>0.28000000000000003</v>
      </c>
      <c r="O94" s="517"/>
      <c r="P94" s="530"/>
    </row>
    <row r="95" spans="1:16" ht="20.100000000000001" customHeight="1" x14ac:dyDescent="0.3">
      <c r="A95" s="527"/>
      <c r="B95" s="532"/>
      <c r="C95" s="532"/>
      <c r="D95" s="532"/>
      <c r="E95" s="328" t="s">
        <v>105</v>
      </c>
      <c r="F95" s="328" t="s">
        <v>106</v>
      </c>
      <c r="G95" s="328" t="s">
        <v>101</v>
      </c>
      <c r="H95" s="328" t="s">
        <v>105</v>
      </c>
      <c r="I95" s="328" t="s">
        <v>106</v>
      </c>
      <c r="J95" s="328" t="s">
        <v>101</v>
      </c>
      <c r="K95" s="328" t="s">
        <v>105</v>
      </c>
      <c r="L95" s="328" t="s">
        <v>106</v>
      </c>
      <c r="M95" s="328" t="s">
        <v>101</v>
      </c>
      <c r="N95" s="328" t="s">
        <v>105</v>
      </c>
      <c r="O95" s="328" t="s">
        <v>106</v>
      </c>
      <c r="P95" s="329" t="s">
        <v>101</v>
      </c>
    </row>
    <row r="96" spans="1:16" x14ac:dyDescent="0.3">
      <c r="A96" s="21">
        <f>DATE(INT(LEFT($B$3,4)),4,1)</f>
        <v>45748</v>
      </c>
      <c r="B96" s="277"/>
      <c r="C96" s="277"/>
      <c r="D96" s="277"/>
      <c r="E96" s="277"/>
      <c r="F96" s="277"/>
      <c r="G96" s="277"/>
      <c r="H96" s="277"/>
      <c r="I96" s="277"/>
      <c r="J96" s="277"/>
      <c r="K96" s="277"/>
      <c r="L96" s="277"/>
      <c r="M96" s="277"/>
      <c r="N96" s="277"/>
      <c r="O96" s="277"/>
      <c r="P96" s="277"/>
    </row>
    <row r="97" spans="1:16" x14ac:dyDescent="0.3">
      <c r="A97" s="133">
        <f>DATE(INT(LEFT($B$3,4)),5,1)</f>
        <v>45778</v>
      </c>
      <c r="B97" s="277"/>
      <c r="C97" s="277"/>
      <c r="D97" s="277"/>
      <c r="E97" s="277"/>
      <c r="F97" s="277"/>
      <c r="G97" s="277"/>
      <c r="H97" s="277"/>
      <c r="I97" s="277"/>
      <c r="J97" s="277"/>
      <c r="K97" s="277"/>
      <c r="L97" s="277"/>
      <c r="M97" s="277"/>
      <c r="N97" s="277"/>
      <c r="O97" s="277"/>
      <c r="P97" s="277"/>
    </row>
    <row r="98" spans="1:16" x14ac:dyDescent="0.3">
      <c r="A98" s="133">
        <f>DATE(INT(LEFT($B$3,4)),6,1)</f>
        <v>45809</v>
      </c>
      <c r="B98" s="277"/>
      <c r="C98" s="277"/>
      <c r="D98" s="277"/>
      <c r="E98" s="277"/>
      <c r="F98" s="277"/>
      <c r="G98" s="277"/>
      <c r="H98" s="277"/>
      <c r="I98" s="277"/>
      <c r="J98" s="277"/>
      <c r="K98" s="277"/>
      <c r="L98" s="277"/>
      <c r="M98" s="277"/>
      <c r="N98" s="277"/>
      <c r="O98" s="277"/>
      <c r="P98" s="277"/>
    </row>
    <row r="99" spans="1:16" x14ac:dyDescent="0.3">
      <c r="A99" s="133">
        <f>DATE(INT(LEFT($B$3,4)),7,1)</f>
        <v>45839</v>
      </c>
      <c r="B99" s="51"/>
      <c r="C99" s="51"/>
      <c r="D99" s="51"/>
      <c r="E99" s="51"/>
      <c r="F99" s="277"/>
      <c r="G99" s="51"/>
      <c r="H99" s="51"/>
      <c r="I99" s="51"/>
      <c r="J99" s="51"/>
      <c r="K99" s="51"/>
      <c r="L99" s="51"/>
      <c r="M99" s="51"/>
      <c r="N99" s="51"/>
      <c r="O99" s="51"/>
      <c r="P99" s="51"/>
    </row>
    <row r="100" spans="1:16" x14ac:dyDescent="0.3">
      <c r="A100" s="133">
        <f>DATE(INT(LEFT($B$3,4)),8,1)</f>
        <v>45870</v>
      </c>
      <c r="B100" s="51"/>
      <c r="C100" s="51"/>
      <c r="D100" s="51"/>
      <c r="E100" s="51"/>
      <c r="F100" s="277"/>
      <c r="G100" s="51"/>
      <c r="H100" s="51"/>
      <c r="I100" s="51"/>
      <c r="J100" s="51"/>
      <c r="K100" s="51"/>
      <c r="L100" s="51"/>
      <c r="M100" s="51"/>
      <c r="N100" s="51"/>
      <c r="O100" s="51"/>
      <c r="P100" s="51"/>
    </row>
    <row r="101" spans="1:16" x14ac:dyDescent="0.3">
      <c r="A101" s="133">
        <f>DATE(INT(LEFT($B$3,4)),9,1)</f>
        <v>45901</v>
      </c>
      <c r="B101" s="51"/>
      <c r="C101" s="51"/>
      <c r="D101" s="51"/>
      <c r="E101" s="51"/>
      <c r="F101" s="277"/>
      <c r="G101" s="51"/>
      <c r="H101" s="51"/>
      <c r="I101" s="51"/>
      <c r="J101" s="51"/>
      <c r="K101" s="51"/>
      <c r="L101" s="51"/>
      <c r="M101" s="51"/>
      <c r="N101" s="51"/>
      <c r="O101" s="51"/>
      <c r="P101" s="51"/>
    </row>
    <row r="102" spans="1:16" x14ac:dyDescent="0.3">
      <c r="A102" s="133">
        <f>DATE(INT(LEFT($B$3,4)),10,1)</f>
        <v>45931</v>
      </c>
      <c r="B102" s="51"/>
      <c r="C102" s="51"/>
      <c r="D102" s="51"/>
      <c r="E102" s="51"/>
      <c r="F102" s="277"/>
      <c r="G102" s="51"/>
      <c r="H102" s="51"/>
      <c r="I102" s="51"/>
      <c r="J102" s="51"/>
      <c r="K102" s="51"/>
      <c r="L102" s="51"/>
      <c r="M102" s="51"/>
      <c r="N102" s="51"/>
      <c r="O102" s="51"/>
      <c r="P102" s="51"/>
    </row>
    <row r="103" spans="1:16" x14ac:dyDescent="0.3">
      <c r="A103" s="133">
        <f>DATE(INT(LEFT($B$3,4)),11,1)</f>
        <v>45962</v>
      </c>
      <c r="B103" s="51"/>
      <c r="C103" s="51"/>
      <c r="D103" s="51"/>
      <c r="E103" s="51"/>
      <c r="F103" s="277"/>
      <c r="G103" s="51"/>
      <c r="H103" s="51"/>
      <c r="I103" s="51"/>
      <c r="J103" s="51"/>
      <c r="K103" s="51"/>
      <c r="L103" s="51"/>
      <c r="M103" s="51"/>
      <c r="N103" s="51"/>
      <c r="O103" s="51"/>
      <c r="P103" s="51"/>
    </row>
    <row r="104" spans="1:16" x14ac:dyDescent="0.3">
      <c r="A104" s="133">
        <f>DATE(INT(LEFT($B$3,4)),12,1)</f>
        <v>45992</v>
      </c>
      <c r="B104" s="51"/>
      <c r="C104" s="51"/>
      <c r="D104" s="51"/>
      <c r="E104" s="51"/>
      <c r="F104" s="277"/>
      <c r="G104" s="51"/>
      <c r="H104" s="51"/>
      <c r="I104" s="51"/>
      <c r="J104" s="51"/>
      <c r="K104" s="51"/>
      <c r="L104" s="51"/>
      <c r="M104" s="51"/>
      <c r="N104" s="51"/>
      <c r="O104" s="51"/>
      <c r="P104" s="51"/>
    </row>
    <row r="105" spans="1:16" x14ac:dyDescent="0.3">
      <c r="A105" s="133">
        <f>DATE(INT(LEFT($B$3,4))+1,1,1)</f>
        <v>46023</v>
      </c>
      <c r="B105" s="51"/>
      <c r="C105" s="51"/>
      <c r="D105" s="51"/>
      <c r="E105" s="51"/>
      <c r="F105" s="277"/>
      <c r="G105" s="51"/>
      <c r="H105" s="51"/>
      <c r="I105" s="51"/>
      <c r="J105" s="51"/>
      <c r="K105" s="51"/>
      <c r="L105" s="51"/>
      <c r="M105" s="51"/>
      <c r="N105" s="51"/>
      <c r="O105" s="51"/>
      <c r="P105" s="51"/>
    </row>
    <row r="106" spans="1:16" x14ac:dyDescent="0.3">
      <c r="A106" s="133">
        <f>DATE(INT(LEFT($B$3,4))+1,2,1)</f>
        <v>46054</v>
      </c>
      <c r="B106" s="51"/>
      <c r="C106" s="51"/>
      <c r="D106" s="51"/>
      <c r="E106" s="51"/>
      <c r="F106" s="277"/>
      <c r="G106" s="51"/>
      <c r="H106" s="51"/>
      <c r="I106" s="51"/>
      <c r="J106" s="51"/>
      <c r="K106" s="51"/>
      <c r="L106" s="51"/>
      <c r="M106" s="51"/>
      <c r="N106" s="51"/>
      <c r="O106" s="51"/>
      <c r="P106" s="51"/>
    </row>
    <row r="107" spans="1:16" x14ac:dyDescent="0.3">
      <c r="A107" s="133">
        <f>DATE(INT(LEFT($B$3,4))+1,3,1)</f>
        <v>46082</v>
      </c>
      <c r="B107" s="51"/>
      <c r="C107" s="51"/>
      <c r="D107" s="51"/>
      <c r="E107" s="51"/>
      <c r="F107" s="277">
        <f t="shared" ref="F107" si="4">E107</f>
        <v>0</v>
      </c>
      <c r="G107" s="51"/>
      <c r="H107" s="51"/>
      <c r="I107" s="51"/>
      <c r="J107" s="51"/>
      <c r="K107" s="51"/>
      <c r="L107" s="51"/>
      <c r="M107" s="51"/>
      <c r="N107" s="51"/>
      <c r="O107" s="51"/>
      <c r="P107" s="51"/>
    </row>
    <row r="108" spans="1:16" x14ac:dyDescent="0.3">
      <c r="A108" s="355"/>
      <c r="B108" s="371"/>
      <c r="C108" s="371"/>
      <c r="D108" s="371"/>
      <c r="E108" s="371"/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2"/>
    </row>
    <row r="109" spans="1:16" ht="16.8" x14ac:dyDescent="0.3">
      <c r="A109" s="358" t="s">
        <v>91</v>
      </c>
      <c r="B109" s="373">
        <f>SUM(B96:B108)</f>
        <v>0</v>
      </c>
      <c r="C109" s="373">
        <f t="shared" ref="C109:P109" si="5">SUM(C96:C108)</f>
        <v>0</v>
      </c>
      <c r="D109" s="373">
        <f t="shared" si="5"/>
        <v>0</v>
      </c>
      <c r="E109" s="373">
        <f t="shared" si="5"/>
        <v>0</v>
      </c>
      <c r="F109" s="373">
        <f t="shared" si="5"/>
        <v>0</v>
      </c>
      <c r="G109" s="373">
        <f t="shared" si="5"/>
        <v>0</v>
      </c>
      <c r="H109" s="373">
        <f t="shared" si="5"/>
        <v>0</v>
      </c>
      <c r="I109" s="373">
        <f t="shared" si="5"/>
        <v>0</v>
      </c>
      <c r="J109" s="373">
        <f t="shared" si="5"/>
        <v>0</v>
      </c>
      <c r="K109" s="373">
        <f t="shared" si="5"/>
        <v>0</v>
      </c>
      <c r="L109" s="373">
        <f t="shared" si="5"/>
        <v>0</v>
      </c>
      <c r="M109" s="373">
        <f t="shared" si="5"/>
        <v>0</v>
      </c>
      <c r="N109" s="373">
        <f t="shared" si="5"/>
        <v>0</v>
      </c>
      <c r="O109" s="373">
        <f t="shared" si="5"/>
        <v>0</v>
      </c>
      <c r="P109" s="374">
        <f t="shared" si="5"/>
        <v>0</v>
      </c>
    </row>
    <row r="113" spans="1:12" ht="18" x14ac:dyDescent="0.35">
      <c r="A113" s="14" t="s">
        <v>112</v>
      </c>
    </row>
    <row r="115" spans="1:12" ht="17.399999999999999" x14ac:dyDescent="0.3">
      <c r="A115" s="317" t="s">
        <v>81</v>
      </c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41"/>
    </row>
    <row r="116" spans="1:12" ht="24.9" customHeight="1" x14ac:dyDescent="0.3">
      <c r="A116" s="327" t="s">
        <v>82</v>
      </c>
      <c r="B116" s="322" t="s">
        <v>446</v>
      </c>
      <c r="C116" s="322" t="s">
        <v>447</v>
      </c>
      <c r="D116" s="322" t="s">
        <v>498</v>
      </c>
      <c r="E116" s="322" t="s">
        <v>448</v>
      </c>
      <c r="F116" s="322" t="s">
        <v>448</v>
      </c>
      <c r="G116" s="322" t="s">
        <v>448</v>
      </c>
      <c r="H116" s="322" t="s">
        <v>448</v>
      </c>
      <c r="I116" s="322" t="s">
        <v>101</v>
      </c>
      <c r="J116" s="322" t="s">
        <v>105</v>
      </c>
      <c r="K116" s="322" t="s">
        <v>106</v>
      </c>
      <c r="L116" s="329" t="s">
        <v>90</v>
      </c>
    </row>
    <row r="117" spans="1:12" x14ac:dyDescent="0.3">
      <c r="A117" s="21">
        <f>DATE(INT(LEFT($B$3,4)),4,1)</f>
        <v>45748</v>
      </c>
      <c r="B117" s="277"/>
      <c r="C117" s="277"/>
      <c r="D117" s="277"/>
      <c r="E117" s="277"/>
      <c r="F117" s="277"/>
      <c r="G117" s="277"/>
      <c r="H117" s="277"/>
      <c r="I117" s="277"/>
      <c r="J117" s="277"/>
      <c r="K117" s="277"/>
      <c r="L117" s="277"/>
    </row>
    <row r="118" spans="1:12" x14ac:dyDescent="0.3">
      <c r="A118" s="21">
        <f>DATE(INT(LEFT($B$3,4)),5,1)</f>
        <v>45778</v>
      </c>
      <c r="B118" s="277"/>
      <c r="C118" s="277"/>
      <c r="D118" s="277"/>
      <c r="E118" s="277"/>
      <c r="F118" s="277"/>
      <c r="G118" s="277"/>
      <c r="H118" s="277"/>
      <c r="I118" s="277"/>
      <c r="J118" s="277"/>
      <c r="K118" s="277"/>
      <c r="L118" s="277"/>
    </row>
    <row r="119" spans="1:12" x14ac:dyDescent="0.3">
      <c r="A119" s="21">
        <f>DATE(INT(LEFT($B$3,4)),6,1)</f>
        <v>45809</v>
      </c>
      <c r="B119" s="277"/>
      <c r="C119" s="277"/>
      <c r="D119" s="277"/>
      <c r="E119" s="277"/>
      <c r="F119" s="277"/>
      <c r="G119" s="277"/>
      <c r="H119" s="277"/>
      <c r="I119" s="277"/>
      <c r="J119" s="277"/>
      <c r="K119" s="277"/>
      <c r="L119" s="277"/>
    </row>
    <row r="120" spans="1:12" x14ac:dyDescent="0.3">
      <c r="A120" s="21">
        <f>DATE(INT(LEFT($B$3,4)),7,1)</f>
        <v>45839</v>
      </c>
      <c r="B120" s="277"/>
      <c r="C120" s="277"/>
      <c r="D120" s="277"/>
      <c r="E120" s="277"/>
      <c r="F120" s="277"/>
      <c r="G120" s="277"/>
      <c r="H120" s="277"/>
      <c r="I120" s="277"/>
      <c r="J120" s="277"/>
      <c r="K120" s="277"/>
      <c r="L120" s="277"/>
    </row>
    <row r="121" spans="1:12" x14ac:dyDescent="0.3">
      <c r="A121" s="21">
        <f>DATE(INT(LEFT($B$3,4)),8,1)</f>
        <v>45870</v>
      </c>
      <c r="B121" s="277"/>
      <c r="C121" s="277"/>
      <c r="D121" s="277"/>
      <c r="E121" s="277"/>
      <c r="F121" s="277"/>
      <c r="G121" s="277"/>
      <c r="H121" s="277"/>
      <c r="I121" s="277"/>
      <c r="J121" s="277"/>
      <c r="K121" s="277"/>
      <c r="L121" s="277"/>
    </row>
    <row r="122" spans="1:12" x14ac:dyDescent="0.3">
      <c r="A122" s="21">
        <f>DATE(INT(LEFT($B$3,4)),9,1)</f>
        <v>45901</v>
      </c>
      <c r="B122" s="277"/>
      <c r="C122" s="277"/>
      <c r="D122" s="277"/>
      <c r="E122" s="277"/>
      <c r="F122" s="277"/>
      <c r="G122" s="277"/>
      <c r="H122" s="277"/>
      <c r="I122" s="277"/>
      <c r="J122" s="277"/>
      <c r="K122" s="277"/>
      <c r="L122" s="277"/>
    </row>
    <row r="123" spans="1:12" x14ac:dyDescent="0.3">
      <c r="A123" s="21">
        <f>DATE(INT(LEFT($B$3,4)),10,1)</f>
        <v>45931</v>
      </c>
      <c r="B123" s="277"/>
      <c r="C123" s="277"/>
      <c r="D123" s="277"/>
      <c r="E123" s="277"/>
      <c r="F123" s="277"/>
      <c r="G123" s="277"/>
      <c r="H123" s="277"/>
      <c r="I123" s="277"/>
      <c r="J123" s="277"/>
      <c r="K123" s="277"/>
      <c r="L123" s="277"/>
    </row>
    <row r="124" spans="1:12" x14ac:dyDescent="0.3">
      <c r="A124" s="21">
        <f>DATE(INT(LEFT($B$3,4)),11,1)</f>
        <v>45962</v>
      </c>
      <c r="B124" s="277"/>
      <c r="C124" s="277"/>
      <c r="D124" s="277"/>
      <c r="E124" s="277"/>
      <c r="F124" s="277"/>
      <c r="G124" s="277"/>
      <c r="H124" s="277"/>
      <c r="I124" s="277"/>
      <c r="J124" s="277"/>
      <c r="K124" s="277"/>
      <c r="L124" s="277"/>
    </row>
    <row r="125" spans="1:12" x14ac:dyDescent="0.3">
      <c r="A125" s="21">
        <f>DATE(INT(LEFT($B$3,4)),12,1)</f>
        <v>45992</v>
      </c>
      <c r="B125" s="277"/>
      <c r="C125" s="277"/>
      <c r="D125" s="277"/>
      <c r="E125" s="277"/>
      <c r="F125" s="277"/>
      <c r="G125" s="277"/>
      <c r="H125" s="277"/>
      <c r="I125" s="277"/>
      <c r="J125" s="277"/>
      <c r="K125" s="277"/>
      <c r="L125" s="277"/>
    </row>
    <row r="126" spans="1:12" x14ac:dyDescent="0.3">
      <c r="A126" s="21">
        <f>DATE(INT(LEFT($B$3,4))+1,1,1)</f>
        <v>46023</v>
      </c>
      <c r="B126" s="277"/>
      <c r="C126" s="277"/>
      <c r="D126" s="277"/>
      <c r="E126" s="277"/>
      <c r="F126" s="277"/>
      <c r="G126" s="277"/>
      <c r="H126" s="277"/>
      <c r="I126" s="277"/>
      <c r="J126" s="277"/>
      <c r="K126" s="277"/>
      <c r="L126" s="277"/>
    </row>
    <row r="127" spans="1:12" x14ac:dyDescent="0.3">
      <c r="A127" s="21">
        <f>DATE(INT(LEFT($B$3,4))+1,2,1)</f>
        <v>46054</v>
      </c>
      <c r="B127" s="277"/>
      <c r="C127" s="277"/>
      <c r="D127" s="277"/>
      <c r="E127" s="277"/>
      <c r="F127" s="277"/>
      <c r="G127" s="277"/>
      <c r="H127" s="277"/>
      <c r="I127" s="277"/>
      <c r="J127" s="277"/>
      <c r="K127" s="277"/>
      <c r="L127" s="277"/>
    </row>
    <row r="128" spans="1:12" x14ac:dyDescent="0.3">
      <c r="A128" s="21">
        <f>DATE(INT(LEFT($B$3,4))+1,3,1)</f>
        <v>46082</v>
      </c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</row>
    <row r="129" spans="1:12" x14ac:dyDescent="0.3">
      <c r="A129" s="355"/>
      <c r="B129" s="360"/>
      <c r="C129" s="360"/>
      <c r="D129" s="360"/>
      <c r="E129" s="360"/>
      <c r="F129" s="360"/>
      <c r="G129" s="360"/>
      <c r="H129" s="360"/>
      <c r="I129" s="360"/>
      <c r="J129" s="360"/>
      <c r="K129" s="360"/>
      <c r="L129" s="361"/>
    </row>
    <row r="130" spans="1:12" ht="16.8" x14ac:dyDescent="0.3">
      <c r="A130" s="358" t="s">
        <v>91</v>
      </c>
      <c r="B130" s="342">
        <f>SUM(B117:B128)</f>
        <v>0</v>
      </c>
      <c r="C130" s="342">
        <f t="shared" ref="C130:L130" si="6">SUM(C117:C128)</f>
        <v>0</v>
      </c>
      <c r="D130" s="342">
        <f t="shared" si="6"/>
        <v>0</v>
      </c>
      <c r="E130" s="342">
        <f t="shared" si="6"/>
        <v>0</v>
      </c>
      <c r="F130" s="342">
        <f t="shared" si="6"/>
        <v>0</v>
      </c>
      <c r="G130" s="342">
        <f t="shared" si="6"/>
        <v>0</v>
      </c>
      <c r="H130" s="342">
        <f t="shared" si="6"/>
        <v>0</v>
      </c>
      <c r="I130" s="342">
        <f t="shared" si="6"/>
        <v>0</v>
      </c>
      <c r="J130" s="342">
        <f t="shared" si="6"/>
        <v>0</v>
      </c>
      <c r="K130" s="342">
        <f t="shared" si="6"/>
        <v>0</v>
      </c>
      <c r="L130" s="343">
        <f t="shared" si="6"/>
        <v>0</v>
      </c>
    </row>
  </sheetData>
  <mergeCells count="10">
    <mergeCell ref="N94:P94"/>
    <mergeCell ref="E94:G94"/>
    <mergeCell ref="B94:B95"/>
    <mergeCell ref="C94:C95"/>
    <mergeCell ref="D94:D95"/>
    <mergeCell ref="B3:C3"/>
    <mergeCell ref="B4:C4"/>
    <mergeCell ref="A94:A95"/>
    <mergeCell ref="H94:J94"/>
    <mergeCell ref="K94:M9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C132"/>
  <sheetViews>
    <sheetView showGridLines="0" zoomScale="95" zoomScaleNormal="95" workbookViewId="0">
      <selection activeCell="A57" sqref="A57"/>
    </sheetView>
  </sheetViews>
  <sheetFormatPr defaultRowHeight="14.4" x14ac:dyDescent="0.3"/>
  <cols>
    <col min="1" max="1" width="21.109375" bestFit="1" customWidth="1"/>
    <col min="2" max="2" width="17.6640625" bestFit="1" customWidth="1"/>
    <col min="3" max="4" width="18.6640625" bestFit="1" customWidth="1"/>
    <col min="5" max="5" width="17.6640625" bestFit="1" customWidth="1"/>
    <col min="6" max="7" width="18.6640625" bestFit="1" customWidth="1"/>
    <col min="8" max="9" width="17.6640625" bestFit="1" customWidth="1"/>
    <col min="10" max="11" width="18.6640625" bestFit="1" customWidth="1"/>
    <col min="12" max="12" width="17.6640625" bestFit="1" customWidth="1"/>
    <col min="13" max="14" width="18.6640625" bestFit="1" customWidth="1"/>
    <col min="15" max="16" width="17.6640625" bestFit="1" customWidth="1"/>
    <col min="17" max="18" width="18.6640625" bestFit="1" customWidth="1"/>
    <col min="19" max="19" width="17.6640625" bestFit="1" customWidth="1"/>
    <col min="20" max="21" width="18.6640625" bestFit="1" customWidth="1"/>
    <col min="22" max="23" width="17.6640625" bestFit="1" customWidth="1"/>
    <col min="24" max="25" width="18.6640625" bestFit="1" customWidth="1"/>
    <col min="26" max="26" width="17.6640625" bestFit="1" customWidth="1"/>
    <col min="27" max="28" width="18.6640625" bestFit="1" customWidth="1"/>
    <col min="29" max="30" width="17.6640625" bestFit="1" customWidth="1"/>
    <col min="31" max="32" width="18.6640625" bestFit="1" customWidth="1"/>
    <col min="33" max="33" width="17.6640625" bestFit="1" customWidth="1"/>
    <col min="34" max="35" width="18.6640625" bestFit="1" customWidth="1"/>
    <col min="36" max="37" width="17.6640625" bestFit="1" customWidth="1"/>
    <col min="38" max="39" width="18.6640625" bestFit="1" customWidth="1"/>
    <col min="40" max="40" width="17.6640625" bestFit="1" customWidth="1"/>
    <col min="41" max="42" width="18.6640625" bestFit="1" customWidth="1"/>
    <col min="43" max="44" width="17.6640625" bestFit="1" customWidth="1"/>
    <col min="45" max="46" width="18.6640625" bestFit="1" customWidth="1"/>
    <col min="47" max="47" width="17.6640625" bestFit="1" customWidth="1"/>
    <col min="48" max="49" width="18.6640625" bestFit="1" customWidth="1"/>
    <col min="50" max="51" width="17.6640625" bestFit="1" customWidth="1"/>
    <col min="52" max="53" width="18.6640625" bestFit="1" customWidth="1"/>
    <col min="54" max="54" width="17.6640625" bestFit="1" customWidth="1"/>
    <col min="55" max="56" width="18.6640625" bestFit="1" customWidth="1"/>
    <col min="57" max="58" width="17.6640625" bestFit="1" customWidth="1"/>
    <col min="59" max="60" width="18.6640625" bestFit="1" customWidth="1"/>
    <col min="61" max="61" width="17.6640625" bestFit="1" customWidth="1"/>
    <col min="62" max="63" width="18.6640625" bestFit="1" customWidth="1"/>
    <col min="64" max="65" width="17.6640625" bestFit="1" customWidth="1"/>
    <col min="66" max="67" width="18.6640625" bestFit="1" customWidth="1"/>
    <col min="68" max="68" width="17.6640625" bestFit="1" customWidth="1"/>
    <col min="69" max="70" width="18.6640625" bestFit="1" customWidth="1"/>
    <col min="71" max="72" width="17.6640625" bestFit="1" customWidth="1"/>
    <col min="73" max="74" width="18.6640625" bestFit="1" customWidth="1"/>
    <col min="75" max="75" width="17.6640625" bestFit="1" customWidth="1"/>
    <col min="76" max="77" width="18.6640625" bestFit="1" customWidth="1"/>
    <col min="78" max="79" width="17.6640625" bestFit="1" customWidth="1"/>
    <col min="80" max="81" width="18.6640625" bestFit="1" customWidth="1"/>
    <col min="82" max="82" width="17.6640625" bestFit="1" customWidth="1"/>
    <col min="83" max="84" width="18.6640625" bestFit="1" customWidth="1"/>
    <col min="85" max="86" width="17.6640625" bestFit="1" customWidth="1"/>
    <col min="87" max="88" width="18.6640625" bestFit="1" customWidth="1"/>
    <col min="89" max="89" width="17.6640625" bestFit="1" customWidth="1"/>
    <col min="90" max="91" width="18.6640625" bestFit="1" customWidth="1"/>
    <col min="92" max="93" width="17.6640625" bestFit="1" customWidth="1"/>
    <col min="94" max="95" width="18.6640625" bestFit="1" customWidth="1"/>
    <col min="96" max="96" width="17.6640625" bestFit="1" customWidth="1"/>
    <col min="97" max="98" width="18.6640625" bestFit="1" customWidth="1"/>
    <col min="99" max="100" width="17.6640625" bestFit="1" customWidth="1"/>
    <col min="101" max="102" width="18.6640625" bestFit="1" customWidth="1"/>
    <col min="103" max="103" width="17.6640625" bestFit="1" customWidth="1"/>
    <col min="104" max="105" width="18.6640625" bestFit="1" customWidth="1"/>
    <col min="106" max="107" width="17.6640625" bestFit="1" customWidth="1"/>
    <col min="108" max="109" width="18.6640625" bestFit="1" customWidth="1"/>
    <col min="110" max="110" width="17.6640625" bestFit="1" customWidth="1"/>
    <col min="111" max="112" width="18.6640625" bestFit="1" customWidth="1"/>
    <col min="113" max="114" width="17.6640625" bestFit="1" customWidth="1"/>
    <col min="115" max="116" width="18.6640625" bestFit="1" customWidth="1"/>
    <col min="117" max="117" width="17.6640625" bestFit="1" customWidth="1"/>
    <col min="118" max="119" width="18.6640625" bestFit="1" customWidth="1"/>
    <col min="120" max="121" width="17.6640625" bestFit="1" customWidth="1"/>
    <col min="122" max="123" width="18.6640625" bestFit="1" customWidth="1"/>
    <col min="124" max="124" width="17.6640625" bestFit="1" customWidth="1"/>
    <col min="125" max="126" width="18.6640625" bestFit="1" customWidth="1"/>
    <col min="127" max="128" width="17.6640625" bestFit="1" customWidth="1"/>
    <col min="129" max="130" width="18.6640625" bestFit="1" customWidth="1"/>
    <col min="131" max="131" width="17.6640625" bestFit="1" customWidth="1"/>
    <col min="132" max="133" width="18.6640625" bestFit="1" customWidth="1"/>
    <col min="134" max="135" width="17.6640625" bestFit="1" customWidth="1"/>
    <col min="136" max="137" width="18.6640625" bestFit="1" customWidth="1"/>
    <col min="138" max="138" width="17.6640625" bestFit="1" customWidth="1"/>
    <col min="139" max="140" width="18.6640625" bestFit="1" customWidth="1"/>
    <col min="141" max="142" width="17.6640625" bestFit="1" customWidth="1"/>
    <col min="143" max="144" width="18.6640625" bestFit="1" customWidth="1"/>
    <col min="145" max="145" width="17.6640625" bestFit="1" customWidth="1"/>
    <col min="146" max="147" width="18.6640625" bestFit="1" customWidth="1"/>
    <col min="148" max="149" width="17.6640625" bestFit="1" customWidth="1"/>
    <col min="150" max="151" width="18.6640625" bestFit="1" customWidth="1"/>
    <col min="152" max="152" width="17.6640625" bestFit="1" customWidth="1"/>
    <col min="153" max="154" width="18.6640625" bestFit="1" customWidth="1"/>
    <col min="155" max="156" width="17.6640625" bestFit="1" customWidth="1"/>
    <col min="157" max="158" width="18.6640625" bestFit="1" customWidth="1"/>
    <col min="159" max="159" width="17.6640625" bestFit="1" customWidth="1"/>
    <col min="160" max="161" width="18.6640625" bestFit="1" customWidth="1"/>
    <col min="162" max="163" width="17.6640625" bestFit="1" customWidth="1"/>
    <col min="164" max="165" width="18.6640625" bestFit="1" customWidth="1"/>
    <col min="166" max="166" width="17.6640625" bestFit="1" customWidth="1"/>
    <col min="167" max="168" width="18.6640625" bestFit="1" customWidth="1"/>
    <col min="169" max="170" width="17.6640625" bestFit="1" customWidth="1"/>
    <col min="171" max="172" width="18.6640625" bestFit="1" customWidth="1"/>
    <col min="173" max="173" width="17.6640625" bestFit="1" customWidth="1"/>
    <col min="174" max="175" width="18.6640625" bestFit="1" customWidth="1"/>
    <col min="176" max="177" width="17.6640625" bestFit="1" customWidth="1"/>
    <col min="178" max="179" width="18.6640625" bestFit="1" customWidth="1"/>
    <col min="180" max="180" width="17.6640625" bestFit="1" customWidth="1"/>
    <col min="181" max="182" width="18.6640625" bestFit="1" customWidth="1"/>
    <col min="183" max="184" width="17.6640625" bestFit="1" customWidth="1"/>
    <col min="185" max="186" width="18.6640625" bestFit="1" customWidth="1"/>
    <col min="187" max="187" width="17.6640625" bestFit="1" customWidth="1"/>
    <col min="188" max="189" width="18.6640625" bestFit="1" customWidth="1"/>
    <col min="190" max="191" width="17.6640625" bestFit="1" customWidth="1"/>
    <col min="192" max="193" width="18.6640625" bestFit="1" customWidth="1"/>
    <col min="194" max="194" width="17.6640625" bestFit="1" customWidth="1"/>
    <col min="195" max="196" width="18.6640625" bestFit="1" customWidth="1"/>
    <col min="197" max="198" width="17.6640625" bestFit="1" customWidth="1"/>
    <col min="199" max="200" width="18.6640625" bestFit="1" customWidth="1"/>
    <col min="201" max="201" width="17.6640625" bestFit="1" customWidth="1"/>
    <col min="202" max="203" width="18.6640625" bestFit="1" customWidth="1"/>
    <col min="204" max="205" width="17.6640625" bestFit="1" customWidth="1"/>
    <col min="206" max="207" width="18.6640625" bestFit="1" customWidth="1"/>
    <col min="208" max="208" width="17.6640625" bestFit="1" customWidth="1"/>
    <col min="209" max="210" width="18.6640625" bestFit="1" customWidth="1"/>
    <col min="211" max="211" width="17.6640625" bestFit="1" customWidth="1"/>
    <col min="214" max="214" width="17.6640625" bestFit="1" customWidth="1"/>
    <col min="215" max="216" width="18.6640625" bestFit="1" customWidth="1"/>
    <col min="217" max="217" width="17.6640625" bestFit="1" customWidth="1"/>
    <col min="218" max="219" width="18.6640625" bestFit="1" customWidth="1"/>
    <col min="220" max="220" width="17.6640625" bestFit="1" customWidth="1"/>
  </cols>
  <sheetData>
    <row r="1" spans="1:5" ht="3" customHeight="1" x14ac:dyDescent="0.3"/>
    <row r="2" spans="1:5" ht="17.399999999999999" x14ac:dyDescent="0.35">
      <c r="A2" s="311" t="s">
        <v>0</v>
      </c>
      <c r="B2" s="353">
        <f>'PREL INFO'!C2</f>
        <v>0</v>
      </c>
      <c r="C2" s="353"/>
      <c r="D2" s="47"/>
    </row>
    <row r="3" spans="1:5" ht="17.399999999999999" x14ac:dyDescent="0.35">
      <c r="A3" s="312" t="s">
        <v>9</v>
      </c>
      <c r="B3" s="519" t="str">
        <f>'PREL INFO'!C15</f>
        <v>2025-26</v>
      </c>
      <c r="C3" s="519"/>
      <c r="D3" s="48"/>
    </row>
    <row r="4" spans="1:5" ht="17.399999999999999" x14ac:dyDescent="0.35">
      <c r="A4" s="313" t="s">
        <v>78</v>
      </c>
      <c r="B4" s="521" t="s">
        <v>143</v>
      </c>
      <c r="C4" s="521"/>
      <c r="D4" s="49"/>
    </row>
    <row r="7" spans="1:5" ht="18" x14ac:dyDescent="0.35">
      <c r="A7" s="14" t="s">
        <v>144</v>
      </c>
    </row>
    <row r="9" spans="1:5" ht="24.9" customHeight="1" x14ac:dyDescent="0.3">
      <c r="A9" s="324" t="s">
        <v>145</v>
      </c>
      <c r="B9" s="377" t="s">
        <v>87</v>
      </c>
      <c r="C9" s="377" t="s">
        <v>88</v>
      </c>
      <c r="D9" s="377" t="s">
        <v>89</v>
      </c>
      <c r="E9" s="378" t="s">
        <v>90</v>
      </c>
    </row>
    <row r="10" spans="1:5" x14ac:dyDescent="0.3">
      <c r="A10" s="127"/>
      <c r="B10" s="127"/>
      <c r="C10" s="127"/>
      <c r="D10" s="127"/>
      <c r="E10" s="127"/>
    </row>
    <row r="11" spans="1:5" x14ac:dyDescent="0.3">
      <c r="A11" s="128" t="s">
        <v>146</v>
      </c>
      <c r="B11" s="123"/>
      <c r="C11" s="123"/>
      <c r="D11" s="123"/>
      <c r="E11" s="123"/>
    </row>
    <row r="12" spans="1:5" x14ac:dyDescent="0.3">
      <c r="A12" s="124" t="s">
        <v>147</v>
      </c>
      <c r="B12" s="125">
        <f>'3B INWARD'!B24</f>
        <v>0</v>
      </c>
      <c r="C12" s="125">
        <f>'3B INWARD'!C24</f>
        <v>0</v>
      </c>
      <c r="D12" s="125">
        <f>'3B INWARD'!D24</f>
        <v>0</v>
      </c>
      <c r="E12" s="125">
        <f>'3B INWARD'!E24</f>
        <v>0</v>
      </c>
    </row>
    <row r="13" spans="1:5" x14ac:dyDescent="0.3">
      <c r="A13" s="124" t="s">
        <v>148</v>
      </c>
      <c r="B13" s="125">
        <f>'3B INWARD'!B40</f>
        <v>0</v>
      </c>
      <c r="C13" s="125">
        <f>'3B INWARD'!C40</f>
        <v>0</v>
      </c>
      <c r="D13" s="125">
        <f>'3B INWARD'!D40</f>
        <v>0</v>
      </c>
      <c r="E13" s="125">
        <f>'3B INWARD'!E40</f>
        <v>0</v>
      </c>
    </row>
    <row r="14" spans="1:5" ht="15" thickBot="1" x14ac:dyDescent="0.35">
      <c r="A14" s="124"/>
      <c r="B14" s="126"/>
      <c r="C14" s="126"/>
      <c r="D14" s="126"/>
      <c r="E14" s="126"/>
    </row>
    <row r="15" spans="1:5" ht="16.2" thickTop="1" x14ac:dyDescent="0.3">
      <c r="A15" s="42" t="s">
        <v>149</v>
      </c>
      <c r="B15" s="326">
        <f>SUM(B12:B13)</f>
        <v>0</v>
      </c>
      <c r="C15" s="326">
        <f>SUM(C12:C13)</f>
        <v>0</v>
      </c>
      <c r="D15" s="326">
        <f>SUM(D12:D13)</f>
        <v>0</v>
      </c>
      <c r="E15" s="326">
        <f>SUM(E12:E13)</f>
        <v>0</v>
      </c>
    </row>
    <row r="16" spans="1:5" x14ac:dyDescent="0.3">
      <c r="A16" s="117"/>
      <c r="B16" s="118"/>
      <c r="C16" s="118"/>
      <c r="D16" s="118"/>
      <c r="E16" s="118"/>
    </row>
    <row r="17" spans="1:5" x14ac:dyDescent="0.3">
      <c r="A17" s="119" t="s">
        <v>150</v>
      </c>
      <c r="B17" s="113"/>
      <c r="C17" s="113"/>
      <c r="D17" s="113"/>
      <c r="E17" s="113"/>
    </row>
    <row r="18" spans="1:5" x14ac:dyDescent="0.3">
      <c r="A18" s="114" t="s">
        <v>147</v>
      </c>
      <c r="B18" s="115">
        <f>'3B INWARD'!B63</f>
        <v>0</v>
      </c>
      <c r="C18" s="115">
        <f>'3B INWARD'!C63</f>
        <v>0</v>
      </c>
      <c r="D18" s="115">
        <f>'3B INWARD'!D63</f>
        <v>0</v>
      </c>
      <c r="E18" s="115">
        <f>'3B INWARD'!E63</f>
        <v>0</v>
      </c>
    </row>
    <row r="19" spans="1:5" x14ac:dyDescent="0.3">
      <c r="A19" s="114" t="s">
        <v>148</v>
      </c>
      <c r="B19" s="115">
        <f>'3B INWARD'!B79</f>
        <v>0</v>
      </c>
      <c r="C19" s="115">
        <f>'3B INWARD'!C79</f>
        <v>0</v>
      </c>
      <c r="D19" s="115">
        <f>'3B INWARD'!D79</f>
        <v>0</v>
      </c>
      <c r="E19" s="115">
        <f>'3B INWARD'!E79</f>
        <v>0</v>
      </c>
    </row>
    <row r="20" spans="1:5" ht="15" thickBot="1" x14ac:dyDescent="0.35">
      <c r="A20" s="114"/>
      <c r="B20" s="116"/>
      <c r="C20" s="116"/>
      <c r="D20" s="116"/>
      <c r="E20" s="116"/>
    </row>
    <row r="21" spans="1:5" ht="16.2" thickTop="1" x14ac:dyDescent="0.3">
      <c r="A21" s="42" t="s">
        <v>149</v>
      </c>
      <c r="B21" s="326">
        <f>SUM(B18:B19)</f>
        <v>0</v>
      </c>
      <c r="C21" s="326">
        <f>SUM(C18:C19)</f>
        <v>0</v>
      </c>
      <c r="D21" s="326">
        <f>SUM(D18:D19)</f>
        <v>0</v>
      </c>
      <c r="E21" s="326">
        <f>SUM(E18:E19)</f>
        <v>0</v>
      </c>
    </row>
    <row r="22" spans="1:5" x14ac:dyDescent="0.3">
      <c r="A22" s="120"/>
      <c r="B22" s="121"/>
      <c r="C22" s="121"/>
      <c r="D22" s="121"/>
      <c r="E22" s="121"/>
    </row>
    <row r="23" spans="1:5" x14ac:dyDescent="0.3">
      <c r="A23" s="122" t="s">
        <v>161</v>
      </c>
      <c r="B23" s="123"/>
      <c r="C23" s="123"/>
      <c r="D23" s="123"/>
      <c r="E23" s="123"/>
    </row>
    <row r="24" spans="1:5" x14ac:dyDescent="0.3">
      <c r="A24" s="124" t="s">
        <v>147</v>
      </c>
      <c r="B24" s="125">
        <f t="shared" ref="B24:E25" si="0">B12-B18</f>
        <v>0</v>
      </c>
      <c r="C24" s="125">
        <f t="shared" si="0"/>
        <v>0</v>
      </c>
      <c r="D24" s="125">
        <f t="shared" si="0"/>
        <v>0</v>
      </c>
      <c r="E24" s="125">
        <f t="shared" si="0"/>
        <v>0</v>
      </c>
    </row>
    <row r="25" spans="1:5" x14ac:dyDescent="0.3">
      <c r="A25" s="124" t="s">
        <v>148</v>
      </c>
      <c r="B25" s="125">
        <f t="shared" si="0"/>
        <v>0</v>
      </c>
      <c r="C25" s="125">
        <f t="shared" si="0"/>
        <v>0</v>
      </c>
      <c r="D25" s="125">
        <f t="shared" si="0"/>
        <v>0</v>
      </c>
      <c r="E25" s="125">
        <f t="shared" si="0"/>
        <v>0</v>
      </c>
    </row>
    <row r="26" spans="1:5" ht="15" thickBot="1" x14ac:dyDescent="0.35">
      <c r="A26" s="124"/>
      <c r="B26" s="126"/>
      <c r="C26" s="126"/>
      <c r="D26" s="126"/>
      <c r="E26" s="126"/>
    </row>
    <row r="27" spans="1:5" ht="16.2" thickTop="1" x14ac:dyDescent="0.3">
      <c r="A27" s="42" t="s">
        <v>149</v>
      </c>
      <c r="B27" s="326">
        <f>SUM(B24:B25)</f>
        <v>0</v>
      </c>
      <c r="C27" s="326">
        <f>SUM(C24:C25)</f>
        <v>0</v>
      </c>
      <c r="D27" s="326">
        <f>SUM(D24:D25)</f>
        <v>0</v>
      </c>
      <c r="E27" s="326">
        <f>SUM(E24:E25)</f>
        <v>0</v>
      </c>
    </row>
    <row r="28" spans="1:5" x14ac:dyDescent="0.3">
      <c r="A28" s="117"/>
      <c r="B28" s="118"/>
      <c r="C28" s="118"/>
      <c r="D28" s="118"/>
      <c r="E28" s="118"/>
    </row>
    <row r="29" spans="1:5" x14ac:dyDescent="0.3">
      <c r="A29" s="119" t="s">
        <v>151</v>
      </c>
      <c r="B29" s="113">
        <f>'3B INWARD'!B140</f>
        <v>0</v>
      </c>
      <c r="C29" s="113">
        <f>'3B INWARD'!C140</f>
        <v>0</v>
      </c>
      <c r="D29" s="113">
        <f>'3B INWARD'!D140</f>
        <v>0</v>
      </c>
      <c r="E29" s="113">
        <f>'3B INWARD'!E140</f>
        <v>0</v>
      </c>
    </row>
    <row r="30" spans="1:5" x14ac:dyDescent="0.3">
      <c r="A30" s="75"/>
      <c r="B30" s="76"/>
      <c r="C30" s="76"/>
      <c r="D30" s="76"/>
      <c r="E30" s="76"/>
    </row>
    <row r="31" spans="1:5" ht="17.399999999999999" x14ac:dyDescent="0.3">
      <c r="A31" s="39" t="s">
        <v>149</v>
      </c>
      <c r="B31" s="319">
        <f>B21+B27-B29</f>
        <v>0</v>
      </c>
      <c r="C31" s="319">
        <f t="shared" ref="C31:E31" si="1">C21+C27-C29</f>
        <v>0</v>
      </c>
      <c r="D31" s="319">
        <f t="shared" si="1"/>
        <v>0</v>
      </c>
      <c r="E31" s="319">
        <f t="shared" si="1"/>
        <v>0</v>
      </c>
    </row>
    <row r="35" spans="1:5" ht="18" x14ac:dyDescent="0.35">
      <c r="A35" s="14" t="s">
        <v>152</v>
      </c>
    </row>
    <row r="37" spans="1:5" ht="24.9" customHeight="1" x14ac:dyDescent="0.3">
      <c r="A37" s="324" t="s">
        <v>153</v>
      </c>
      <c r="B37" s="377" t="s">
        <v>154</v>
      </c>
      <c r="C37" s="377" t="s">
        <v>155</v>
      </c>
      <c r="D37" s="377" t="s">
        <v>156</v>
      </c>
      <c r="E37" s="378" t="s">
        <v>157</v>
      </c>
    </row>
    <row r="38" spans="1:5" x14ac:dyDescent="0.3">
      <c r="A38" s="127"/>
      <c r="B38" s="127"/>
      <c r="C38" s="127"/>
      <c r="D38" s="127"/>
      <c r="E38" s="127"/>
    </row>
    <row r="39" spans="1:5" x14ac:dyDescent="0.3">
      <c r="A39" s="128" t="s">
        <v>158</v>
      </c>
      <c r="B39" s="123"/>
      <c r="C39" s="123"/>
      <c r="D39" s="123"/>
      <c r="E39" s="123"/>
    </row>
    <row r="40" spans="1:5" x14ac:dyDescent="0.3">
      <c r="A40" s="124" t="s">
        <v>147</v>
      </c>
      <c r="B40" s="125"/>
      <c r="C40" s="125"/>
      <c r="D40" s="125"/>
      <c r="E40" s="125"/>
    </row>
    <row r="41" spans="1:5" x14ac:dyDescent="0.3">
      <c r="A41" s="124" t="s">
        <v>148</v>
      </c>
      <c r="B41" s="125"/>
      <c r="C41" s="125"/>
      <c r="D41" s="125"/>
      <c r="E41" s="125"/>
    </row>
    <row r="42" spans="1:5" ht="15" thickBot="1" x14ac:dyDescent="0.35">
      <c r="A42" s="124"/>
      <c r="B42" s="126"/>
      <c r="C42" s="126"/>
      <c r="D42" s="126"/>
      <c r="E42" s="126"/>
    </row>
    <row r="43" spans="1:5" ht="16.2" thickTop="1" x14ac:dyDescent="0.3">
      <c r="A43" s="42" t="s">
        <v>149</v>
      </c>
      <c r="B43" s="326">
        <f>SUM(B40:B41)</f>
        <v>0</v>
      </c>
      <c r="C43" s="326">
        <f>SUM(C40:C41)</f>
        <v>0</v>
      </c>
      <c r="D43" s="326">
        <f>SUM(D40:D41)</f>
        <v>0</v>
      </c>
      <c r="E43" s="326">
        <f>SUM(E40:E41)</f>
        <v>0</v>
      </c>
    </row>
    <row r="44" spans="1:5" x14ac:dyDescent="0.3">
      <c r="A44" s="117"/>
      <c r="B44" s="118"/>
      <c r="C44" s="118"/>
      <c r="D44" s="118"/>
      <c r="E44" s="118"/>
    </row>
    <row r="45" spans="1:5" x14ac:dyDescent="0.3">
      <c r="A45" s="119" t="s">
        <v>159</v>
      </c>
      <c r="B45" s="113"/>
      <c r="C45" s="113"/>
      <c r="D45" s="113"/>
      <c r="E45" s="113"/>
    </row>
    <row r="46" spans="1:5" x14ac:dyDescent="0.3">
      <c r="A46" s="114" t="s">
        <v>147</v>
      </c>
      <c r="B46" s="115">
        <f>'3B OUTWARD'!E78</f>
        <v>0</v>
      </c>
      <c r="C46" s="115">
        <f>'3B OUTWARD'!F78</f>
        <v>0</v>
      </c>
      <c r="D46" s="115">
        <f>'3B OUTWARD'!G78</f>
        <v>0</v>
      </c>
      <c r="E46" s="115">
        <f>'3B OUTWARD'!H78</f>
        <v>0</v>
      </c>
    </row>
    <row r="47" spans="1:5" x14ac:dyDescent="0.3">
      <c r="A47" s="114" t="s">
        <v>148</v>
      </c>
      <c r="B47" s="115">
        <f>'3B OUTWARD'!E88</f>
        <v>0</v>
      </c>
      <c r="C47" s="115">
        <f>'3B OUTWARD'!F88</f>
        <v>0</v>
      </c>
      <c r="D47" s="115">
        <f>'3B OUTWARD'!G88</f>
        <v>0</v>
      </c>
      <c r="E47" s="115">
        <f>'3B OUTWARD'!H88</f>
        <v>0</v>
      </c>
    </row>
    <row r="48" spans="1:5" ht="15" thickBot="1" x14ac:dyDescent="0.35">
      <c r="A48" s="114"/>
      <c r="B48" s="116"/>
      <c r="C48" s="116"/>
      <c r="D48" s="116"/>
      <c r="E48" s="116"/>
    </row>
    <row r="49" spans="1:11" ht="16.2" thickTop="1" x14ac:dyDescent="0.3">
      <c r="A49" s="42" t="s">
        <v>149</v>
      </c>
      <c r="B49" s="326">
        <f>SUM(B46:B47)</f>
        <v>0</v>
      </c>
      <c r="C49" s="326">
        <f>SUM(C46:C47)</f>
        <v>0</v>
      </c>
      <c r="D49" s="326">
        <f>SUM(D46:D47)</f>
        <v>0</v>
      </c>
      <c r="E49" s="326">
        <f>SUM(E46:E47)</f>
        <v>0</v>
      </c>
    </row>
    <row r="50" spans="1:11" x14ac:dyDescent="0.3">
      <c r="A50" s="74"/>
      <c r="B50" s="26"/>
      <c r="C50" s="26"/>
      <c r="D50" s="26"/>
      <c r="E50" s="26"/>
    </row>
    <row r="51" spans="1:11" ht="17.399999999999999" x14ac:dyDescent="0.3">
      <c r="A51" s="39" t="s">
        <v>149</v>
      </c>
      <c r="B51" s="319">
        <f>B43+B49</f>
        <v>0</v>
      </c>
      <c r="C51" s="319">
        <f>C43+C49</f>
        <v>0</v>
      </c>
      <c r="D51" s="319">
        <f>D43+D49</f>
        <v>0</v>
      </c>
      <c r="E51" s="319">
        <f>E43+E49</f>
        <v>0</v>
      </c>
    </row>
    <row r="55" spans="1:11" ht="18" x14ac:dyDescent="0.35">
      <c r="A55" s="14" t="s">
        <v>163</v>
      </c>
    </row>
    <row r="57" spans="1:11" ht="24.9" customHeight="1" x14ac:dyDescent="0.3">
      <c r="A57" s="379" t="s">
        <v>135</v>
      </c>
      <c r="B57" s="379" t="s">
        <v>136</v>
      </c>
      <c r="C57" s="380" t="s">
        <v>137</v>
      </c>
      <c r="D57" s="380" t="s">
        <v>138</v>
      </c>
      <c r="E57" s="381" t="s">
        <v>139</v>
      </c>
      <c r="F57" s="322" t="s">
        <v>140</v>
      </c>
      <c r="G57" s="322" t="s">
        <v>96</v>
      </c>
      <c r="H57" s="322" t="s">
        <v>101</v>
      </c>
      <c r="I57" s="322" t="s">
        <v>105</v>
      </c>
      <c r="J57" s="322" t="s">
        <v>106</v>
      </c>
      <c r="K57" s="359" t="s">
        <v>90</v>
      </c>
    </row>
    <row r="58" spans="1:11" x14ac:dyDescent="0.3">
      <c r="A58" s="84" t="str">
        <f t="array" ref="A58">IFERROR(INDEX('GSTR 1'!$M$332:$M$448,MATCH(0,COUNTIF(A57:$A$57,'GSTR 1'!$M$332:$M$448&amp;"")+IF('GSTR 1'!$M$332:$M$448="",1,0),0)),"-")</f>
        <v>-</v>
      </c>
      <c r="B58" s="84" t="str">
        <f>IFERROR(INDEX('GSTR 1'!$B$332:$M$448,MATCH(Summaries!A58,'GSTR 1'!$M$332:$M$448,0),1),"-")</f>
        <v>-</v>
      </c>
      <c r="C58" s="85" t="str">
        <f>IFERROR(INDEX('GSTR 1'!$C$332:$M$448,MATCH(Summaries!A58,'GSTR 1'!$M$332:$M$448,0),1),"-")</f>
        <v>-</v>
      </c>
      <c r="D58" s="86" t="str">
        <f>IFERROR(INDEX('GSTR 1'!$C$332:$M$448,MATCH(Summaries!A58,'GSTR 1'!$M$332:$M$448,0),2),"-")</f>
        <v>-</v>
      </c>
      <c r="E58" s="86">
        <f>SUMIF('GSTR 1'!$M$332:$M$448,Summaries!A58,'GSTR 1'!$E$332:$E$448)</f>
        <v>0</v>
      </c>
      <c r="F58" s="86">
        <f>SUMIF('GSTR 1'!$M$332:$M$448,Summaries!A58,'GSTR 1'!$F$332:$F$448)</f>
        <v>0</v>
      </c>
      <c r="G58" s="86">
        <f>SUMIF('GSTR 1'!$M$332:$M$448,Summaries!A58,'GSTR 1'!$G$332:$G$448)</f>
        <v>0</v>
      </c>
      <c r="H58" s="86">
        <f>SUMIF('GSTR 1'!$M$332:$M$448,Summaries!A58,'GSTR 1'!$H$332:$H$448)</f>
        <v>0</v>
      </c>
      <c r="I58" s="86">
        <f>SUMIF('GSTR 1'!$M$332:$M$448,Summaries!A58,'GSTR 1'!$I$332:$I$448)</f>
        <v>0</v>
      </c>
      <c r="J58" s="86">
        <f>SUMIF('GSTR 1'!$M$332:$M$448,Summaries!A58,'GSTR 1'!$J$332:$J$448)</f>
        <v>0</v>
      </c>
      <c r="K58" s="86">
        <f>SUMIF('GSTR 1'!$M$332:$M$448,Summaries!A58,'GSTR 1'!$K$332:$K$448)</f>
        <v>0</v>
      </c>
    </row>
    <row r="59" spans="1:11" x14ac:dyDescent="0.3">
      <c r="A59" s="84" t="str">
        <f t="array" ref="A59">IFERROR(INDEX('GSTR 1'!$M$332:$M$448,MATCH(0,COUNTIF(A$57:$A58,'GSTR 1'!$M$332:$M$448&amp;"")+IF('GSTR 1'!$M$332:$M$448="",1,0),0)),"-")</f>
        <v>-</v>
      </c>
      <c r="B59" s="84" t="str">
        <f>IFERROR(INDEX('GSTR 1'!$B$332:$M$448,MATCH(Summaries!A59,'GSTR 1'!$M$332:$M$448,0),1),"-")</f>
        <v>-</v>
      </c>
      <c r="C59" s="85" t="str">
        <f>IFERROR(INDEX('GSTR 1'!$C$332:$M$448,MATCH(Summaries!A59,'GSTR 1'!$M$332:$M$448,0),1),"-")</f>
        <v>-</v>
      </c>
      <c r="D59" s="86" t="str">
        <f>IFERROR(INDEX('GSTR 1'!$C$332:$M$448,MATCH(Summaries!A59,'GSTR 1'!$M$332:$M$448,0),2),"-")</f>
        <v>-</v>
      </c>
      <c r="E59" s="86">
        <f>SUMIF('GSTR 1'!$M$332:$M$448,Summaries!A59,'GSTR 1'!$E$332:$E$448)</f>
        <v>0</v>
      </c>
      <c r="F59" s="86">
        <f>SUMIF('GSTR 1'!$M$332:$M$448,Summaries!A59,'GSTR 1'!$F$332:$F$448)</f>
        <v>0</v>
      </c>
      <c r="G59" s="86">
        <f>SUMIF('GSTR 1'!$M$332:$M$448,Summaries!A59,'GSTR 1'!$G$332:$G$448)</f>
        <v>0</v>
      </c>
      <c r="H59" s="86">
        <f>SUMIF('GSTR 1'!$M$332:$M$448,Summaries!A59,'GSTR 1'!$H$332:$H$448)</f>
        <v>0</v>
      </c>
      <c r="I59" s="86">
        <f>SUMIF('GSTR 1'!$M$332:$M$448,Summaries!A59,'GSTR 1'!$I$332:$I$448)</f>
        <v>0</v>
      </c>
      <c r="J59" s="86">
        <f>SUMIF('GSTR 1'!$M$332:$M$448,Summaries!A59,'GSTR 1'!$J$332:$J$448)</f>
        <v>0</v>
      </c>
      <c r="K59" s="86">
        <f>SUMIF('GSTR 1'!$M$332:$M$448,Summaries!A59,'GSTR 1'!$K$332:$K$448)</f>
        <v>0</v>
      </c>
    </row>
    <row r="60" spans="1:11" x14ac:dyDescent="0.3">
      <c r="A60" s="84" t="str">
        <f t="array" ref="A60">IFERROR(INDEX('GSTR 1'!$M$332:$M$448,MATCH(0,COUNTIF(A$57:$A59,'GSTR 1'!$M$332:$M$448&amp;"")+IF('GSTR 1'!$M$332:$M$448="",1,0),0)),"-")</f>
        <v>-</v>
      </c>
      <c r="B60" s="84" t="str">
        <f>IFERROR(INDEX('GSTR 1'!$B$332:$M$448,MATCH(Summaries!A60,'GSTR 1'!$M$332:$M$448,0),1),"-")</f>
        <v>-</v>
      </c>
      <c r="C60" s="85" t="str">
        <f>IFERROR(INDEX('GSTR 1'!$C$332:$M$448,MATCH(Summaries!A60,'GSTR 1'!$M$332:$M$448,0),1),"-")</f>
        <v>-</v>
      </c>
      <c r="D60" s="86" t="str">
        <f>IFERROR(INDEX('GSTR 1'!$C$332:$M$448,MATCH(Summaries!A60,'GSTR 1'!$M$332:$M$448,0),2),"-")</f>
        <v>-</v>
      </c>
      <c r="E60" s="86">
        <f>SUMIF('GSTR 1'!$M$332:$M$448,Summaries!A60,'GSTR 1'!$E$332:$E$448)</f>
        <v>0</v>
      </c>
      <c r="F60" s="86">
        <f>SUMIF('GSTR 1'!$M$332:$M$448,Summaries!A60,'GSTR 1'!$F$332:$F$448)</f>
        <v>0</v>
      </c>
      <c r="G60" s="86">
        <f>SUMIF('GSTR 1'!$M$332:$M$448,Summaries!A60,'GSTR 1'!$G$332:$G$448)</f>
        <v>0</v>
      </c>
      <c r="H60" s="86">
        <f>SUMIF('GSTR 1'!$M$332:$M$448,Summaries!A60,'GSTR 1'!$H$332:$H$448)</f>
        <v>0</v>
      </c>
      <c r="I60" s="86">
        <f>SUMIF('GSTR 1'!$M$332:$M$448,Summaries!A60,'GSTR 1'!$I$332:$I$448)</f>
        <v>0</v>
      </c>
      <c r="J60" s="86">
        <f>SUMIF('GSTR 1'!$M$332:$M$448,Summaries!A60,'GSTR 1'!$J$332:$J$448)</f>
        <v>0</v>
      </c>
      <c r="K60" s="86">
        <f>SUMIF('GSTR 1'!$M$332:$M$448,Summaries!A60,'GSTR 1'!$K$332:$K$448)</f>
        <v>0</v>
      </c>
    </row>
    <row r="61" spans="1:11" x14ac:dyDescent="0.3">
      <c r="A61" s="84" t="str">
        <f t="array" ref="A61">IFERROR(INDEX('GSTR 1'!$M$332:$M$448,MATCH(0,COUNTIF(A$57:$A60,'GSTR 1'!$M$332:$M$448&amp;"")+IF('GSTR 1'!$M$332:$M$448="",1,0),0)),"-")</f>
        <v>-</v>
      </c>
      <c r="B61" s="84" t="str">
        <f>IFERROR(INDEX('GSTR 1'!$B$332:$M$448,MATCH(Summaries!A61,'GSTR 1'!$M$332:$M$448,0),1),"-")</f>
        <v>-</v>
      </c>
      <c r="C61" s="85" t="str">
        <f>IFERROR(INDEX('GSTR 1'!$C$332:$M$448,MATCH(Summaries!A61,'GSTR 1'!$M$332:$M$448,0),1),"-")</f>
        <v>-</v>
      </c>
      <c r="D61" s="86" t="str">
        <f>IFERROR(INDEX('GSTR 1'!$C$332:$M$448,MATCH(Summaries!A61,'GSTR 1'!$M$332:$M$448,0),2),"-")</f>
        <v>-</v>
      </c>
      <c r="E61" s="86">
        <f>SUMIF('GSTR 1'!$M$332:$M$448,Summaries!A61,'GSTR 1'!$E$332:$E$448)</f>
        <v>0</v>
      </c>
      <c r="F61" s="86">
        <f>SUMIF('GSTR 1'!$M$332:$M$448,Summaries!A61,'GSTR 1'!$F$332:$F$448)</f>
        <v>0</v>
      </c>
      <c r="G61" s="86">
        <f>SUMIF('GSTR 1'!$M$332:$M$448,Summaries!A61,'GSTR 1'!$G$332:$G$448)</f>
        <v>0</v>
      </c>
      <c r="H61" s="86">
        <f>SUMIF('GSTR 1'!$M$332:$M$448,Summaries!A61,'GSTR 1'!$H$332:$H$448)</f>
        <v>0</v>
      </c>
      <c r="I61" s="86">
        <f>SUMIF('GSTR 1'!$M$332:$M$448,Summaries!A61,'GSTR 1'!$I$332:$I$448)</f>
        <v>0</v>
      </c>
      <c r="J61" s="86">
        <f>SUMIF('GSTR 1'!$M$332:$M$448,Summaries!A61,'GSTR 1'!$J$332:$J$448)</f>
        <v>0</v>
      </c>
      <c r="K61" s="86">
        <f>SUMIF('GSTR 1'!$M$332:$M$448,Summaries!A61,'GSTR 1'!$K$332:$K$448)</f>
        <v>0</v>
      </c>
    </row>
    <row r="62" spans="1:11" x14ac:dyDescent="0.3">
      <c r="A62" s="84" t="str">
        <f t="array" ref="A62">IFERROR(INDEX('GSTR 1'!$M$332:$M$448,MATCH(0,COUNTIF(A$57:$A61,'GSTR 1'!$M$332:$M$448&amp;"")+IF('GSTR 1'!$M$332:$M$448="",1,0),0)),"-")</f>
        <v>-</v>
      </c>
      <c r="B62" s="84" t="str">
        <f>IFERROR(INDEX('GSTR 1'!$B$332:$M$448,MATCH(Summaries!A62,'GSTR 1'!$M$332:$M$448,0),1),"-")</f>
        <v>-</v>
      </c>
      <c r="C62" s="85" t="str">
        <f>IFERROR(INDEX('GSTR 1'!$C$332:$M$448,MATCH(Summaries!A62,'GSTR 1'!$M$332:$M$448,0),1),"-")</f>
        <v>-</v>
      </c>
      <c r="D62" s="86" t="str">
        <f>IFERROR(INDEX('GSTR 1'!$C$332:$M$448,MATCH(Summaries!A62,'GSTR 1'!$M$332:$M$448,0),2),"-")</f>
        <v>-</v>
      </c>
      <c r="E62" s="86">
        <f>SUMIF('GSTR 1'!$M$332:$M$448,Summaries!A62,'GSTR 1'!$E$332:$E$448)</f>
        <v>0</v>
      </c>
      <c r="F62" s="86">
        <f>SUMIF('GSTR 1'!$M$332:$M$448,Summaries!A62,'GSTR 1'!$F$332:$F$448)</f>
        <v>0</v>
      </c>
      <c r="G62" s="86">
        <f>SUMIF('GSTR 1'!$M$332:$M$448,Summaries!A62,'GSTR 1'!$G$332:$G$448)</f>
        <v>0</v>
      </c>
      <c r="H62" s="86">
        <f>SUMIF('GSTR 1'!$M$332:$M$448,Summaries!A62,'GSTR 1'!$H$332:$H$448)</f>
        <v>0</v>
      </c>
      <c r="I62" s="86">
        <f>SUMIF('GSTR 1'!$M$332:$M$448,Summaries!A62,'GSTR 1'!$I$332:$I$448)</f>
        <v>0</v>
      </c>
      <c r="J62" s="86">
        <f>SUMIF('GSTR 1'!$M$332:$M$448,Summaries!A62,'GSTR 1'!$J$332:$J$448)</f>
        <v>0</v>
      </c>
      <c r="K62" s="86">
        <f>SUMIF('GSTR 1'!$M$332:$M$448,Summaries!A62,'GSTR 1'!$K$332:$K$448)</f>
        <v>0</v>
      </c>
    </row>
    <row r="63" spans="1:11" x14ac:dyDescent="0.3">
      <c r="A63" s="84" t="str">
        <f t="array" ref="A63">IFERROR(INDEX('GSTR 1'!$M$332:$M$448,MATCH(0,COUNTIF(A$57:$A62,'GSTR 1'!$M$332:$M$448&amp;"")+IF('GSTR 1'!$M$332:$M$448="",1,0),0)),"-")</f>
        <v>-</v>
      </c>
      <c r="B63" s="84" t="str">
        <f>IFERROR(INDEX('GSTR 1'!$B$332:$M$448,MATCH(Summaries!A63,'GSTR 1'!$M$332:$M$448,0),1),"-")</f>
        <v>-</v>
      </c>
      <c r="C63" s="85" t="str">
        <f>IFERROR(INDEX('GSTR 1'!$C$332:$M$448,MATCH(Summaries!A63,'GSTR 1'!$M$332:$M$448,0),1),"-")</f>
        <v>-</v>
      </c>
      <c r="D63" s="86" t="str">
        <f>IFERROR(INDEX('GSTR 1'!$C$332:$M$448,MATCH(Summaries!A63,'GSTR 1'!$M$332:$M$448,0),2),"-")</f>
        <v>-</v>
      </c>
      <c r="E63" s="86">
        <f>SUMIF('GSTR 1'!$M$332:$M$448,Summaries!A63,'GSTR 1'!$E$332:$E$448)</f>
        <v>0</v>
      </c>
      <c r="F63" s="86">
        <f>SUMIF('GSTR 1'!$M$332:$M$448,Summaries!A63,'GSTR 1'!$F$332:$F$448)</f>
        <v>0</v>
      </c>
      <c r="G63" s="86">
        <f>SUMIF('GSTR 1'!$M$332:$M$448,Summaries!A63,'GSTR 1'!$G$332:$G$448)</f>
        <v>0</v>
      </c>
      <c r="H63" s="86">
        <f>SUMIF('GSTR 1'!$M$332:$M$448,Summaries!A63,'GSTR 1'!$H$332:$H$448)</f>
        <v>0</v>
      </c>
      <c r="I63" s="86">
        <f>SUMIF('GSTR 1'!$M$332:$M$448,Summaries!A63,'GSTR 1'!$I$332:$I$448)</f>
        <v>0</v>
      </c>
      <c r="J63" s="86">
        <f>SUMIF('GSTR 1'!$M$332:$M$448,Summaries!A63,'GSTR 1'!$J$332:$J$448)</f>
        <v>0</v>
      </c>
      <c r="K63" s="86">
        <f>SUMIF('GSTR 1'!$M$332:$M$448,Summaries!A63,'GSTR 1'!$K$332:$K$448)</f>
        <v>0</v>
      </c>
    </row>
    <row r="64" spans="1:11" x14ac:dyDescent="0.3">
      <c r="A64" s="84" t="str">
        <f t="array" ref="A64">IFERROR(INDEX('GSTR 1'!$M$332:$M$448,MATCH(0,COUNTIF(A$57:$A63,'GSTR 1'!$M$332:$M$448&amp;"")+IF('GSTR 1'!$M$332:$M$448="",1,0),0)),"-")</f>
        <v>-</v>
      </c>
      <c r="B64" s="84" t="str">
        <f>IFERROR(INDEX('GSTR 1'!$B$332:$M$448,MATCH(Summaries!A64,'GSTR 1'!$M$332:$M$448,0),1),"-")</f>
        <v>-</v>
      </c>
      <c r="C64" s="85" t="str">
        <f>IFERROR(INDEX('GSTR 1'!$C$332:$M$448,MATCH(Summaries!A64,'GSTR 1'!$M$332:$M$448,0),1),"-")</f>
        <v>-</v>
      </c>
      <c r="D64" s="86" t="str">
        <f>IFERROR(INDEX('GSTR 1'!$C$332:$M$448,MATCH(Summaries!A64,'GSTR 1'!$M$332:$M$448,0),2),"-")</f>
        <v>-</v>
      </c>
      <c r="E64" s="86">
        <f>SUMIF('GSTR 1'!$M$332:$M$448,Summaries!A64,'GSTR 1'!$E$332:$E$448)</f>
        <v>0</v>
      </c>
      <c r="F64" s="86">
        <f>SUMIF('GSTR 1'!$M$332:$M$448,Summaries!A64,'GSTR 1'!$F$332:$F$448)</f>
        <v>0</v>
      </c>
      <c r="G64" s="86">
        <f>SUMIF('GSTR 1'!$M$332:$M$448,Summaries!A64,'GSTR 1'!$G$332:$G$448)</f>
        <v>0</v>
      </c>
      <c r="H64" s="86">
        <f>SUMIF('GSTR 1'!$M$332:$M$448,Summaries!A64,'GSTR 1'!$H$332:$H$448)</f>
        <v>0</v>
      </c>
      <c r="I64" s="86">
        <f>SUMIF('GSTR 1'!$M$332:$M$448,Summaries!A64,'GSTR 1'!$I$332:$I$448)</f>
        <v>0</v>
      </c>
      <c r="J64" s="86">
        <f>SUMIF('GSTR 1'!$M$332:$M$448,Summaries!A64,'GSTR 1'!$J$332:$J$448)</f>
        <v>0</v>
      </c>
      <c r="K64" s="86">
        <f>SUMIF('GSTR 1'!$M$332:$M$448,Summaries!A64,'GSTR 1'!$K$332:$K$448)</f>
        <v>0</v>
      </c>
    </row>
    <row r="65" spans="1:11" x14ac:dyDescent="0.3">
      <c r="A65" s="84" t="str">
        <f t="array" ref="A65">IFERROR(INDEX('GSTR 1'!$M$332:$M$448,MATCH(0,COUNTIF(A$57:$A64,'GSTR 1'!$M$332:$M$448&amp;"")+IF('GSTR 1'!$M$332:$M$448="",1,0),0)),"-")</f>
        <v>-</v>
      </c>
      <c r="B65" s="84" t="str">
        <f>IFERROR(INDEX('GSTR 1'!$B$332:$M$448,MATCH(Summaries!A65,'GSTR 1'!$M$332:$M$448,0),1),"-")</f>
        <v>-</v>
      </c>
      <c r="C65" s="85" t="str">
        <f>IFERROR(INDEX('GSTR 1'!$C$332:$M$448,MATCH(Summaries!A65,'GSTR 1'!$M$332:$M$448,0),1),"-")</f>
        <v>-</v>
      </c>
      <c r="D65" s="86" t="str">
        <f>IFERROR(INDEX('GSTR 1'!$C$332:$M$448,MATCH(Summaries!A65,'GSTR 1'!$M$332:$M$448,0),2),"-")</f>
        <v>-</v>
      </c>
      <c r="E65" s="86">
        <f>SUMIF('GSTR 1'!$M$332:$M$448,Summaries!A65,'GSTR 1'!$E$332:$E$448)</f>
        <v>0</v>
      </c>
      <c r="F65" s="86">
        <f>SUMIF('GSTR 1'!$M$332:$M$448,Summaries!A65,'GSTR 1'!$F$332:$F$448)</f>
        <v>0</v>
      </c>
      <c r="G65" s="86">
        <f>SUMIF('GSTR 1'!$M$332:$M$448,Summaries!A65,'GSTR 1'!$G$332:$G$448)</f>
        <v>0</v>
      </c>
      <c r="H65" s="86">
        <f>SUMIF('GSTR 1'!$M$332:$M$448,Summaries!A65,'GSTR 1'!$H$332:$H$448)</f>
        <v>0</v>
      </c>
      <c r="I65" s="86">
        <f>SUMIF('GSTR 1'!$M$332:$M$448,Summaries!A65,'GSTR 1'!$I$332:$I$448)</f>
        <v>0</v>
      </c>
      <c r="J65" s="86">
        <f>SUMIF('GSTR 1'!$M$332:$M$448,Summaries!A65,'GSTR 1'!$J$332:$J$448)</f>
        <v>0</v>
      </c>
      <c r="K65" s="86">
        <f>SUMIF('GSTR 1'!$M$332:$M$448,Summaries!A65,'GSTR 1'!$K$332:$K$448)</f>
        <v>0</v>
      </c>
    </row>
    <row r="66" spans="1:11" x14ac:dyDescent="0.3">
      <c r="A66" s="84" t="str">
        <f t="array" ref="A66">IFERROR(INDEX('GSTR 1'!$M$332:$M$448,MATCH(0,COUNTIF(A$57:$A65,'GSTR 1'!$M$332:$M$448&amp;"")+IF('GSTR 1'!$M$332:$M$448="",1,0),0)),"-")</f>
        <v>-</v>
      </c>
      <c r="B66" s="84" t="str">
        <f>IFERROR(INDEX('GSTR 1'!$B$332:$M$448,MATCH(Summaries!A66,'GSTR 1'!$M$332:$M$448,0),1),"-")</f>
        <v>-</v>
      </c>
      <c r="C66" s="85" t="str">
        <f>IFERROR(INDEX('GSTR 1'!$C$332:$M$448,MATCH(Summaries!A66,'GSTR 1'!$M$332:$M$448,0),1),"-")</f>
        <v>-</v>
      </c>
      <c r="D66" s="86" t="str">
        <f>IFERROR(INDEX('GSTR 1'!$C$332:$M$448,MATCH(Summaries!A66,'GSTR 1'!$M$332:$M$448,0),2),"-")</f>
        <v>-</v>
      </c>
      <c r="E66" s="86">
        <f>SUMIF('GSTR 1'!$M$332:$M$448,Summaries!A66,'GSTR 1'!$E$332:$E$448)</f>
        <v>0</v>
      </c>
      <c r="F66" s="86">
        <f>SUMIF('GSTR 1'!$M$332:$M$448,Summaries!A66,'GSTR 1'!$F$332:$F$448)</f>
        <v>0</v>
      </c>
      <c r="G66" s="86">
        <f>SUMIF('GSTR 1'!$M$332:$M$448,Summaries!A66,'GSTR 1'!$G$332:$G$448)</f>
        <v>0</v>
      </c>
      <c r="H66" s="86">
        <f>SUMIF('GSTR 1'!$M$332:$M$448,Summaries!A66,'GSTR 1'!$H$332:$H$448)</f>
        <v>0</v>
      </c>
      <c r="I66" s="86">
        <f>SUMIF('GSTR 1'!$M$332:$M$448,Summaries!A66,'GSTR 1'!$I$332:$I$448)</f>
        <v>0</v>
      </c>
      <c r="J66" s="86">
        <f>SUMIF('GSTR 1'!$M$332:$M$448,Summaries!A66,'GSTR 1'!$J$332:$J$448)</f>
        <v>0</v>
      </c>
      <c r="K66" s="86">
        <f>SUMIF('GSTR 1'!$M$332:$M$448,Summaries!A66,'GSTR 1'!$K$332:$K$448)</f>
        <v>0</v>
      </c>
    </row>
    <row r="67" spans="1:11" x14ac:dyDescent="0.3">
      <c r="A67" s="84" t="str">
        <f t="array" ref="A67">IFERROR(INDEX('GSTR 1'!$M$332:$M$448,MATCH(0,COUNTIF(A$57:$A66,'GSTR 1'!$M$332:$M$448&amp;"")+IF('GSTR 1'!$M$332:$M$448="",1,0),0)),"-")</f>
        <v>-</v>
      </c>
      <c r="B67" s="84" t="str">
        <f>IFERROR(INDEX('GSTR 1'!$B$332:$M$448,MATCH(Summaries!A67,'GSTR 1'!$M$332:$M$448,0),1),"-")</f>
        <v>-</v>
      </c>
      <c r="C67" s="85" t="str">
        <f>IFERROR(INDEX('GSTR 1'!$C$332:$M$448,MATCH(Summaries!A67,'GSTR 1'!$M$332:$M$448,0),1),"-")</f>
        <v>-</v>
      </c>
      <c r="D67" s="86" t="str">
        <f>IFERROR(INDEX('GSTR 1'!$C$332:$M$448,MATCH(Summaries!A67,'GSTR 1'!$M$332:$M$448,0),2),"-")</f>
        <v>-</v>
      </c>
      <c r="E67" s="86">
        <f>SUMIF('GSTR 1'!$M$332:$M$448,Summaries!A67,'GSTR 1'!$E$332:$E$448)</f>
        <v>0</v>
      </c>
      <c r="F67" s="86">
        <f>SUMIF('GSTR 1'!$M$332:$M$448,Summaries!A67,'GSTR 1'!$F$332:$F$448)</f>
        <v>0</v>
      </c>
      <c r="G67" s="86">
        <f>SUMIF('GSTR 1'!$M$332:$M$448,Summaries!A67,'GSTR 1'!$G$332:$G$448)</f>
        <v>0</v>
      </c>
      <c r="H67" s="86">
        <f>SUMIF('GSTR 1'!$M$332:$M$448,Summaries!A67,'GSTR 1'!$H$332:$H$448)</f>
        <v>0</v>
      </c>
      <c r="I67" s="86">
        <f>SUMIF('GSTR 1'!$M$332:$M$448,Summaries!A67,'GSTR 1'!$I$332:$I$448)</f>
        <v>0</v>
      </c>
      <c r="J67" s="86">
        <f>SUMIF('GSTR 1'!$M$332:$M$448,Summaries!A67,'GSTR 1'!$J$332:$J$448)</f>
        <v>0</v>
      </c>
      <c r="K67" s="86">
        <f>SUMIF('GSTR 1'!$M$332:$M$448,Summaries!A67,'GSTR 1'!$K$332:$K$448)</f>
        <v>0</v>
      </c>
    </row>
    <row r="68" spans="1:11" x14ac:dyDescent="0.3">
      <c r="A68" s="84" t="str">
        <f t="array" ref="A68">IFERROR(INDEX('GSTR 1'!$M$332:$M$448,MATCH(0,COUNTIF(A$57:$A67,'GSTR 1'!$M$332:$M$448&amp;"")+IF('GSTR 1'!$M$332:$M$448="",1,0),0)),"-")</f>
        <v>-</v>
      </c>
      <c r="B68" s="84" t="str">
        <f>IFERROR(INDEX('GSTR 1'!$B$332:$M$448,MATCH(Summaries!A68,'GSTR 1'!$M$332:$M$448,0),1),"-")</f>
        <v>-</v>
      </c>
      <c r="C68" s="85" t="str">
        <f>IFERROR(INDEX('GSTR 1'!$C$332:$M$448,MATCH(Summaries!A68,'GSTR 1'!$M$332:$M$448,0),1),"-")</f>
        <v>-</v>
      </c>
      <c r="D68" s="86" t="str">
        <f>IFERROR(INDEX('GSTR 1'!$C$332:$M$448,MATCH(Summaries!A68,'GSTR 1'!$M$332:$M$448,0),2),"-")</f>
        <v>-</v>
      </c>
      <c r="E68" s="86">
        <f>SUMIF('GSTR 1'!$M$332:$M$448,Summaries!A68,'GSTR 1'!$E$332:$E$448)</f>
        <v>0</v>
      </c>
      <c r="F68" s="86">
        <f>SUMIF('GSTR 1'!$M$332:$M$448,Summaries!A68,'GSTR 1'!$F$332:$F$448)</f>
        <v>0</v>
      </c>
      <c r="G68" s="86">
        <f>SUMIF('GSTR 1'!$M$332:$M$448,Summaries!A68,'GSTR 1'!$G$332:$G$448)</f>
        <v>0</v>
      </c>
      <c r="H68" s="86">
        <f>SUMIF('GSTR 1'!$M$332:$M$448,Summaries!A68,'GSTR 1'!$H$332:$H$448)</f>
        <v>0</v>
      </c>
      <c r="I68" s="86">
        <f>SUMIF('GSTR 1'!$M$332:$M$448,Summaries!A68,'GSTR 1'!$I$332:$I$448)</f>
        <v>0</v>
      </c>
      <c r="J68" s="86">
        <f>SUMIF('GSTR 1'!$M$332:$M$448,Summaries!A68,'GSTR 1'!$J$332:$J$448)</f>
        <v>0</v>
      </c>
      <c r="K68" s="86">
        <f>SUMIF('GSTR 1'!$M$332:$M$448,Summaries!A68,'GSTR 1'!$K$332:$K$448)</f>
        <v>0</v>
      </c>
    </row>
    <row r="69" spans="1:11" x14ac:dyDescent="0.3">
      <c r="A69" s="84" t="str">
        <f t="array" ref="A69">IFERROR(INDEX('GSTR 1'!$M$332:$M$448,MATCH(0,COUNTIF(A$57:$A68,'GSTR 1'!$M$332:$M$448&amp;"")+IF('GSTR 1'!$M$332:$M$448="",1,0),0)),"-")</f>
        <v>-</v>
      </c>
      <c r="B69" s="84" t="str">
        <f>IFERROR(INDEX('GSTR 1'!$B$332:$M$448,MATCH(Summaries!A69,'GSTR 1'!$M$332:$M$448,0),1),"-")</f>
        <v>-</v>
      </c>
      <c r="C69" s="85" t="str">
        <f>IFERROR(INDEX('GSTR 1'!$C$332:$M$448,MATCH(Summaries!A69,'GSTR 1'!$M$332:$M$448,0),1),"-")</f>
        <v>-</v>
      </c>
      <c r="D69" s="86" t="str">
        <f>IFERROR(INDEX('GSTR 1'!$C$332:$M$448,MATCH(Summaries!A69,'GSTR 1'!$M$332:$M$448,0),2),"-")</f>
        <v>-</v>
      </c>
      <c r="E69" s="86">
        <f>SUMIF('GSTR 1'!$M$332:$M$448,Summaries!A69,'GSTR 1'!$E$332:$E$448)</f>
        <v>0</v>
      </c>
      <c r="F69" s="86">
        <f>SUMIF('GSTR 1'!$M$332:$M$448,Summaries!A69,'GSTR 1'!$F$332:$F$448)</f>
        <v>0</v>
      </c>
      <c r="G69" s="86">
        <f>SUMIF('GSTR 1'!$M$332:$M$448,Summaries!A69,'GSTR 1'!$G$332:$G$448)</f>
        <v>0</v>
      </c>
      <c r="H69" s="86">
        <f>SUMIF('GSTR 1'!$M$332:$M$448,Summaries!A69,'GSTR 1'!$H$332:$H$448)</f>
        <v>0</v>
      </c>
      <c r="I69" s="86">
        <f>SUMIF('GSTR 1'!$M$332:$M$448,Summaries!A69,'GSTR 1'!$I$332:$I$448)</f>
        <v>0</v>
      </c>
      <c r="J69" s="86">
        <f>SUMIF('GSTR 1'!$M$332:$M$448,Summaries!A69,'GSTR 1'!$J$332:$J$448)</f>
        <v>0</v>
      </c>
      <c r="K69" s="86">
        <f>SUMIF('GSTR 1'!$M$332:$M$448,Summaries!A69,'GSTR 1'!$K$332:$K$448)</f>
        <v>0</v>
      </c>
    </row>
    <row r="70" spans="1:11" x14ac:dyDescent="0.3">
      <c r="A70" s="84" t="str">
        <f t="array" ref="A70">IFERROR(INDEX('GSTR 1'!$M$332:$M$448,MATCH(0,COUNTIF(A$57:$A69,'GSTR 1'!$M$332:$M$448&amp;"")+IF('GSTR 1'!$M$332:$M$448="",1,0),0)),"-")</f>
        <v>-</v>
      </c>
      <c r="B70" s="84" t="str">
        <f>IFERROR(INDEX('GSTR 1'!$B$332:$M$448,MATCH(Summaries!A70,'GSTR 1'!$M$332:$M$448,0),1),"-")</f>
        <v>-</v>
      </c>
      <c r="C70" s="85" t="str">
        <f>IFERROR(INDEX('GSTR 1'!$C$332:$M$448,MATCH(Summaries!A70,'GSTR 1'!$M$332:$M$448,0),1),"-")</f>
        <v>-</v>
      </c>
      <c r="D70" s="86" t="str">
        <f>IFERROR(INDEX('GSTR 1'!$C$332:$M$448,MATCH(Summaries!A70,'GSTR 1'!$M$332:$M$448,0),2),"-")</f>
        <v>-</v>
      </c>
      <c r="E70" s="86">
        <f>SUMIF('GSTR 1'!$M$332:$M$448,Summaries!A70,'GSTR 1'!$E$332:$E$448)</f>
        <v>0</v>
      </c>
      <c r="F70" s="86">
        <f>SUMIF('GSTR 1'!$M$332:$M$448,Summaries!A70,'GSTR 1'!$F$332:$F$448)</f>
        <v>0</v>
      </c>
      <c r="G70" s="86">
        <f>SUMIF('GSTR 1'!$M$332:$M$448,Summaries!A70,'GSTR 1'!$G$332:$G$448)</f>
        <v>0</v>
      </c>
      <c r="H70" s="86">
        <f>SUMIF('GSTR 1'!$M$332:$M$448,Summaries!A70,'GSTR 1'!$H$332:$H$448)</f>
        <v>0</v>
      </c>
      <c r="I70" s="86">
        <f>SUMIF('GSTR 1'!$M$332:$M$448,Summaries!A70,'GSTR 1'!$I$332:$I$448)</f>
        <v>0</v>
      </c>
      <c r="J70" s="86">
        <f>SUMIF('GSTR 1'!$M$332:$M$448,Summaries!A70,'GSTR 1'!$J$332:$J$448)</f>
        <v>0</v>
      </c>
      <c r="K70" s="86">
        <f>SUMIF('GSTR 1'!$M$332:$M$448,Summaries!A70,'GSTR 1'!$K$332:$K$448)</f>
        <v>0</v>
      </c>
    </row>
    <row r="71" spans="1:11" x14ac:dyDescent="0.3">
      <c r="A71" s="84" t="str">
        <f t="array" ref="A71">IFERROR(INDEX('GSTR 1'!$M$332:$M$448,MATCH(0,COUNTIF(A$57:$A70,'GSTR 1'!$M$332:$M$448&amp;"")+IF('GSTR 1'!$M$332:$M$448="",1,0),0)),"-")</f>
        <v>-</v>
      </c>
      <c r="B71" s="84" t="str">
        <f>IFERROR(INDEX('GSTR 1'!$B$332:$M$448,MATCH(Summaries!A71,'GSTR 1'!$M$332:$M$448,0),1),"-")</f>
        <v>-</v>
      </c>
      <c r="C71" s="85" t="str">
        <f>IFERROR(INDEX('GSTR 1'!$C$332:$M$448,MATCH(Summaries!A71,'GSTR 1'!$M$332:$M$448,0),1),"-")</f>
        <v>-</v>
      </c>
      <c r="D71" s="86" t="str">
        <f>IFERROR(INDEX('GSTR 1'!$C$332:$M$448,MATCH(Summaries!A71,'GSTR 1'!$M$332:$M$448,0),2),"-")</f>
        <v>-</v>
      </c>
      <c r="E71" s="86">
        <f>SUMIF('GSTR 1'!$M$332:$M$448,Summaries!A71,'GSTR 1'!$E$332:$E$448)</f>
        <v>0</v>
      </c>
      <c r="F71" s="86">
        <f>SUMIF('GSTR 1'!$M$332:$M$448,Summaries!A71,'GSTR 1'!$F$332:$F$448)</f>
        <v>0</v>
      </c>
      <c r="G71" s="86">
        <f>SUMIF('GSTR 1'!$M$332:$M$448,Summaries!A71,'GSTR 1'!$G$332:$G$448)</f>
        <v>0</v>
      </c>
      <c r="H71" s="86">
        <f>SUMIF('GSTR 1'!$M$332:$M$448,Summaries!A71,'GSTR 1'!$H$332:$H$448)</f>
        <v>0</v>
      </c>
      <c r="I71" s="86">
        <f>SUMIF('GSTR 1'!$M$332:$M$448,Summaries!A71,'GSTR 1'!$I$332:$I$448)</f>
        <v>0</v>
      </c>
      <c r="J71" s="86">
        <f>SUMIF('GSTR 1'!$M$332:$M$448,Summaries!A71,'GSTR 1'!$J$332:$J$448)</f>
        <v>0</v>
      </c>
      <c r="K71" s="86">
        <f>SUMIF('GSTR 1'!$M$332:$M$448,Summaries!A71,'GSTR 1'!$K$332:$K$448)</f>
        <v>0</v>
      </c>
    </row>
    <row r="72" spans="1:11" x14ac:dyDescent="0.3">
      <c r="A72" s="84" t="str">
        <f t="array" ref="A72">IFERROR(INDEX('GSTR 1'!$M$332:$M$448,MATCH(0,COUNTIF(A$57:$A71,'GSTR 1'!$M$332:$M$448&amp;"")+IF('GSTR 1'!$M$332:$M$448="",1,0),0)),"-")</f>
        <v>-</v>
      </c>
      <c r="B72" s="84" t="str">
        <f>IFERROR(INDEX('GSTR 1'!$B$332:$M$448,MATCH(Summaries!A72,'GSTR 1'!$M$332:$M$448,0),1),"-")</f>
        <v>-</v>
      </c>
      <c r="C72" s="85" t="str">
        <f>IFERROR(INDEX('GSTR 1'!$C$332:$M$448,MATCH(Summaries!A72,'GSTR 1'!$M$332:$M$448,0),1),"-")</f>
        <v>-</v>
      </c>
      <c r="D72" s="86" t="str">
        <f>IFERROR(INDEX('GSTR 1'!$C$332:$M$448,MATCH(Summaries!A72,'GSTR 1'!$M$332:$M$448,0),2),"-")</f>
        <v>-</v>
      </c>
      <c r="E72" s="86">
        <f>SUMIF('GSTR 1'!$M$332:$M$448,Summaries!A72,'GSTR 1'!$E$332:$E$448)</f>
        <v>0</v>
      </c>
      <c r="F72" s="86">
        <f>SUMIF('GSTR 1'!$M$332:$M$448,Summaries!A72,'GSTR 1'!$F$332:$F$448)</f>
        <v>0</v>
      </c>
      <c r="G72" s="86">
        <f>SUMIF('GSTR 1'!$M$332:$M$448,Summaries!A72,'GSTR 1'!$G$332:$G$448)</f>
        <v>0</v>
      </c>
      <c r="H72" s="86">
        <f>SUMIF('GSTR 1'!$M$332:$M$448,Summaries!A72,'GSTR 1'!$H$332:$H$448)</f>
        <v>0</v>
      </c>
      <c r="I72" s="86">
        <f>SUMIF('GSTR 1'!$M$332:$M$448,Summaries!A72,'GSTR 1'!$I$332:$I$448)</f>
        <v>0</v>
      </c>
      <c r="J72" s="86">
        <f>SUMIF('GSTR 1'!$M$332:$M$448,Summaries!A72,'GSTR 1'!$J$332:$J$448)</f>
        <v>0</v>
      </c>
      <c r="K72" s="86">
        <f>SUMIF('GSTR 1'!$M$332:$M$448,Summaries!A72,'GSTR 1'!$K$332:$K$448)</f>
        <v>0</v>
      </c>
    </row>
    <row r="73" spans="1:11" x14ac:dyDescent="0.3">
      <c r="A73" s="84" t="str">
        <f t="array" ref="A73">IFERROR(INDEX('GSTR 1'!$M$332:$M$448,MATCH(0,COUNTIF(A$57:$A72,'GSTR 1'!$M$332:$M$448&amp;"")+IF('GSTR 1'!$M$332:$M$448="",1,0),0)),"-")</f>
        <v>-</v>
      </c>
      <c r="B73" s="84" t="str">
        <f>IFERROR(INDEX('GSTR 1'!$B$332:$M$448,MATCH(Summaries!A73,'GSTR 1'!$M$332:$M$448,0),1),"-")</f>
        <v>-</v>
      </c>
      <c r="C73" s="85" t="str">
        <f>IFERROR(INDEX('GSTR 1'!$C$332:$M$448,MATCH(Summaries!A73,'GSTR 1'!$M$332:$M$448,0),1),"-")</f>
        <v>-</v>
      </c>
      <c r="D73" s="86" t="str">
        <f>IFERROR(INDEX('GSTR 1'!$C$332:$M$448,MATCH(Summaries!A73,'GSTR 1'!$M$332:$M$448,0),2),"-")</f>
        <v>-</v>
      </c>
      <c r="E73" s="86">
        <f>SUMIF('GSTR 1'!$M$332:$M$448,Summaries!A73,'GSTR 1'!$E$332:$E$448)</f>
        <v>0</v>
      </c>
      <c r="F73" s="86">
        <f>SUMIF('GSTR 1'!$M$332:$M$448,Summaries!A73,'GSTR 1'!$F$332:$F$448)</f>
        <v>0</v>
      </c>
      <c r="G73" s="86">
        <f>SUMIF('GSTR 1'!$M$332:$M$448,Summaries!A73,'GSTR 1'!$G$332:$G$448)</f>
        <v>0</v>
      </c>
      <c r="H73" s="86">
        <f>SUMIF('GSTR 1'!$M$332:$M$448,Summaries!A73,'GSTR 1'!$H$332:$H$448)</f>
        <v>0</v>
      </c>
      <c r="I73" s="86">
        <f>SUMIF('GSTR 1'!$M$332:$M$448,Summaries!A73,'GSTR 1'!$I$332:$I$448)</f>
        <v>0</v>
      </c>
      <c r="J73" s="86">
        <f>SUMIF('GSTR 1'!$M$332:$M$448,Summaries!A73,'GSTR 1'!$J$332:$J$448)</f>
        <v>0</v>
      </c>
      <c r="K73" s="86">
        <f>SUMIF('GSTR 1'!$M$332:$M$448,Summaries!A73,'GSTR 1'!$K$332:$K$448)</f>
        <v>0</v>
      </c>
    </row>
    <row r="74" spans="1:11" x14ac:dyDescent="0.3">
      <c r="A74" s="84" t="str">
        <f t="array" ref="A74">IFERROR(INDEX('GSTR 1'!$M$332:$M$448,MATCH(0,COUNTIF(A$57:$A73,'GSTR 1'!$M$332:$M$448&amp;"")+IF('GSTR 1'!$M$332:$M$448="",1,0),0)),"-")</f>
        <v>-</v>
      </c>
      <c r="B74" s="84" t="str">
        <f>IFERROR(INDEX('GSTR 1'!$B$332:$M$448,MATCH(Summaries!A74,'GSTR 1'!$M$332:$M$448,0),1),"-")</f>
        <v>-</v>
      </c>
      <c r="C74" s="85" t="str">
        <f>IFERROR(INDEX('GSTR 1'!$C$332:$M$448,MATCH(Summaries!A74,'GSTR 1'!$M$332:$M$448,0),1),"-")</f>
        <v>-</v>
      </c>
      <c r="D74" s="86" t="str">
        <f>IFERROR(INDEX('GSTR 1'!$C$332:$M$448,MATCH(Summaries!A74,'GSTR 1'!$M$332:$M$448,0),2),"-")</f>
        <v>-</v>
      </c>
      <c r="E74" s="86">
        <f>SUMIF('GSTR 1'!$M$332:$M$448,Summaries!A74,'GSTR 1'!$E$332:$E$448)</f>
        <v>0</v>
      </c>
      <c r="F74" s="86">
        <f>SUMIF('GSTR 1'!$M$332:$M$448,Summaries!A74,'GSTR 1'!$F$332:$F$448)</f>
        <v>0</v>
      </c>
      <c r="G74" s="86">
        <f>SUMIF('GSTR 1'!$M$332:$M$448,Summaries!A74,'GSTR 1'!$G$332:$G$448)</f>
        <v>0</v>
      </c>
      <c r="H74" s="86">
        <f>SUMIF('GSTR 1'!$M$332:$M$448,Summaries!A74,'GSTR 1'!$H$332:$H$448)</f>
        <v>0</v>
      </c>
      <c r="I74" s="86">
        <f>SUMIF('GSTR 1'!$M$332:$M$448,Summaries!A74,'GSTR 1'!$I$332:$I$448)</f>
        <v>0</v>
      </c>
      <c r="J74" s="86">
        <f>SUMIF('GSTR 1'!$M$332:$M$448,Summaries!A74,'GSTR 1'!$J$332:$J$448)</f>
        <v>0</v>
      </c>
      <c r="K74" s="86">
        <f>SUMIF('GSTR 1'!$M$332:$M$448,Summaries!A74,'GSTR 1'!$K$332:$K$448)</f>
        <v>0</v>
      </c>
    </row>
    <row r="75" spans="1:11" x14ac:dyDescent="0.3">
      <c r="A75" s="84" t="str">
        <f t="array" ref="A75">IFERROR(INDEX('GSTR 1'!$M$332:$M$448,MATCH(0,COUNTIF(A$57:$A74,'GSTR 1'!$M$332:$M$448&amp;"")+IF('GSTR 1'!$M$332:$M$448="",1,0),0)),"-")</f>
        <v>-</v>
      </c>
      <c r="B75" s="84" t="str">
        <f>IFERROR(INDEX('GSTR 1'!$B$332:$M$448,MATCH(Summaries!A75,'GSTR 1'!$M$332:$M$448,0),1),"-")</f>
        <v>-</v>
      </c>
      <c r="C75" s="85" t="str">
        <f>IFERROR(INDEX('GSTR 1'!$C$332:$M$448,MATCH(Summaries!A75,'GSTR 1'!$M$332:$M$448,0),1),"-")</f>
        <v>-</v>
      </c>
      <c r="D75" s="86" t="str">
        <f>IFERROR(INDEX('GSTR 1'!$C$332:$M$448,MATCH(Summaries!A75,'GSTR 1'!$M$332:$M$448,0),2),"-")</f>
        <v>-</v>
      </c>
      <c r="E75" s="86">
        <f>SUMIF('GSTR 1'!$M$332:$M$448,Summaries!A75,'GSTR 1'!$E$332:$E$448)</f>
        <v>0</v>
      </c>
      <c r="F75" s="86">
        <f>SUMIF('GSTR 1'!$M$332:$M$448,Summaries!A75,'GSTR 1'!$F$332:$F$448)</f>
        <v>0</v>
      </c>
      <c r="G75" s="86">
        <f>SUMIF('GSTR 1'!$M$332:$M$448,Summaries!A75,'GSTR 1'!$G$332:$G$448)</f>
        <v>0</v>
      </c>
      <c r="H75" s="86">
        <f>SUMIF('GSTR 1'!$M$332:$M$448,Summaries!A75,'GSTR 1'!$H$332:$H$448)</f>
        <v>0</v>
      </c>
      <c r="I75" s="86">
        <f>SUMIF('GSTR 1'!$M$332:$M$448,Summaries!A75,'GSTR 1'!$I$332:$I$448)</f>
        <v>0</v>
      </c>
      <c r="J75" s="86">
        <f>SUMIF('GSTR 1'!$M$332:$M$448,Summaries!A75,'GSTR 1'!$J$332:$J$448)</f>
        <v>0</v>
      </c>
      <c r="K75" s="86">
        <f>SUMIF('GSTR 1'!$M$332:$M$448,Summaries!A75,'GSTR 1'!$K$332:$K$448)</f>
        <v>0</v>
      </c>
    </row>
    <row r="76" spans="1:11" x14ac:dyDescent="0.3">
      <c r="A76" s="84" t="str">
        <f t="array" ref="A76">IFERROR(INDEX('GSTR 1'!$M$332:$M$448,MATCH(0,COUNTIF(A$57:$A75,'GSTR 1'!$M$332:$M$448&amp;"")+IF('GSTR 1'!$M$332:$M$448="",1,0),0)),"-")</f>
        <v>-</v>
      </c>
      <c r="B76" s="84" t="str">
        <f>IFERROR(INDEX('GSTR 1'!$B$332:$M$448,MATCH(Summaries!A76,'GSTR 1'!$M$332:$M$448,0),1),"-")</f>
        <v>-</v>
      </c>
      <c r="C76" s="85" t="str">
        <f>IFERROR(INDEX('GSTR 1'!$C$332:$M$448,MATCH(Summaries!A76,'GSTR 1'!$M$332:$M$448,0),1),"-")</f>
        <v>-</v>
      </c>
      <c r="D76" s="86" t="str">
        <f>IFERROR(INDEX('GSTR 1'!$C$332:$M$448,MATCH(Summaries!A76,'GSTR 1'!$M$332:$M$448,0),2),"-")</f>
        <v>-</v>
      </c>
      <c r="E76" s="86">
        <f>SUMIF('GSTR 1'!$M$332:$M$448,Summaries!A76,'GSTR 1'!$E$332:$E$448)</f>
        <v>0</v>
      </c>
      <c r="F76" s="86">
        <f>SUMIF('GSTR 1'!$M$332:$M$448,Summaries!A76,'GSTR 1'!$F$332:$F$448)</f>
        <v>0</v>
      </c>
      <c r="G76" s="86">
        <f>SUMIF('GSTR 1'!$M$332:$M$448,Summaries!A76,'GSTR 1'!$G$332:$G$448)</f>
        <v>0</v>
      </c>
      <c r="H76" s="86">
        <f>SUMIF('GSTR 1'!$M$332:$M$448,Summaries!A76,'GSTR 1'!$H$332:$H$448)</f>
        <v>0</v>
      </c>
      <c r="I76" s="86">
        <f>SUMIF('GSTR 1'!$M$332:$M$448,Summaries!A76,'GSTR 1'!$I$332:$I$448)</f>
        <v>0</v>
      </c>
      <c r="J76" s="86">
        <f>SUMIF('GSTR 1'!$M$332:$M$448,Summaries!A76,'GSTR 1'!$J$332:$J$448)</f>
        <v>0</v>
      </c>
      <c r="K76" s="86">
        <f>SUMIF('GSTR 1'!$M$332:$M$448,Summaries!A76,'GSTR 1'!$K$332:$K$448)</f>
        <v>0</v>
      </c>
    </row>
    <row r="77" spans="1:11" x14ac:dyDescent="0.3">
      <c r="A77" s="84" t="str">
        <f t="array" ref="A77">IFERROR(INDEX('GSTR 1'!$M$332:$M$448,MATCH(0,COUNTIF(A$57:$A76,'GSTR 1'!$M$332:$M$448&amp;"")+IF('GSTR 1'!$M$332:$M$448="",1,0),0)),"-")</f>
        <v>-</v>
      </c>
      <c r="B77" s="84" t="str">
        <f>IFERROR(INDEX('GSTR 1'!$B$332:$M$448,MATCH(Summaries!A77,'GSTR 1'!$M$332:$M$448,0),1),"-")</f>
        <v>-</v>
      </c>
      <c r="C77" s="85" t="str">
        <f>IFERROR(INDEX('GSTR 1'!$C$332:$M$448,MATCH(Summaries!A77,'GSTR 1'!$M$332:$M$448,0),1),"-")</f>
        <v>-</v>
      </c>
      <c r="D77" s="86" t="str">
        <f>IFERROR(INDEX('GSTR 1'!$C$332:$M$448,MATCH(Summaries!A77,'GSTR 1'!$M$332:$M$448,0),2),"-")</f>
        <v>-</v>
      </c>
      <c r="E77" s="86">
        <f>SUMIF('GSTR 1'!$M$332:$M$448,Summaries!A77,'GSTR 1'!$E$332:$E$448)</f>
        <v>0</v>
      </c>
      <c r="F77" s="86">
        <f>SUMIF('GSTR 1'!$M$332:$M$448,Summaries!A77,'GSTR 1'!$F$332:$F$448)</f>
        <v>0</v>
      </c>
      <c r="G77" s="86">
        <f>SUMIF('GSTR 1'!$M$332:$M$448,Summaries!A77,'GSTR 1'!$G$332:$G$448)</f>
        <v>0</v>
      </c>
      <c r="H77" s="86">
        <f>SUMIF('GSTR 1'!$M$332:$M$448,Summaries!A77,'GSTR 1'!$H$332:$H$448)</f>
        <v>0</v>
      </c>
      <c r="I77" s="86">
        <f>SUMIF('GSTR 1'!$M$332:$M$448,Summaries!A77,'GSTR 1'!$I$332:$I$448)</f>
        <v>0</v>
      </c>
      <c r="J77" s="86">
        <f>SUMIF('GSTR 1'!$M$332:$M$448,Summaries!A77,'GSTR 1'!$J$332:$J$448)</f>
        <v>0</v>
      </c>
      <c r="K77" s="86">
        <f>SUMIF('GSTR 1'!$M$332:$M$448,Summaries!A77,'GSTR 1'!$K$332:$K$448)</f>
        <v>0</v>
      </c>
    </row>
    <row r="78" spans="1:11" x14ac:dyDescent="0.3">
      <c r="A78" s="84" t="str">
        <f t="array" ref="A78">IFERROR(INDEX('GSTR 1'!$M$332:$M$448,MATCH(0,COUNTIF(A$57:$A77,'GSTR 1'!$M$332:$M$448&amp;"")+IF('GSTR 1'!$M$332:$M$448="",1,0),0)),"-")</f>
        <v>-</v>
      </c>
      <c r="B78" s="84" t="str">
        <f>IFERROR(INDEX('GSTR 1'!$B$332:$M$448,MATCH(Summaries!A78,'GSTR 1'!$M$332:$M$448,0),1),"-")</f>
        <v>-</v>
      </c>
      <c r="C78" s="85" t="str">
        <f>IFERROR(INDEX('GSTR 1'!$C$332:$M$448,MATCH(Summaries!A78,'GSTR 1'!$M$332:$M$448,0),1),"-")</f>
        <v>-</v>
      </c>
      <c r="D78" s="86" t="str">
        <f>IFERROR(INDEX('GSTR 1'!$C$332:$M$448,MATCH(Summaries!A78,'GSTR 1'!$M$332:$M$448,0),2),"-")</f>
        <v>-</v>
      </c>
      <c r="E78" s="86">
        <f>SUMIF('GSTR 1'!$M$332:$M$448,Summaries!A78,'GSTR 1'!$E$332:$E$448)</f>
        <v>0</v>
      </c>
      <c r="F78" s="86">
        <f>SUMIF('GSTR 1'!$M$332:$M$448,Summaries!A78,'GSTR 1'!$F$332:$F$448)</f>
        <v>0</v>
      </c>
      <c r="G78" s="86">
        <f>SUMIF('GSTR 1'!$M$332:$M$448,Summaries!A78,'GSTR 1'!$G$332:$G$448)</f>
        <v>0</v>
      </c>
      <c r="H78" s="86">
        <f>SUMIF('GSTR 1'!$M$332:$M$448,Summaries!A78,'GSTR 1'!$H$332:$H$448)</f>
        <v>0</v>
      </c>
      <c r="I78" s="86">
        <f>SUMIF('GSTR 1'!$M$332:$M$448,Summaries!A78,'GSTR 1'!$I$332:$I$448)</f>
        <v>0</v>
      </c>
      <c r="J78" s="86">
        <f>SUMIF('GSTR 1'!$M$332:$M$448,Summaries!A78,'GSTR 1'!$J$332:$J$448)</f>
        <v>0</v>
      </c>
      <c r="K78" s="86">
        <f>SUMIF('GSTR 1'!$M$332:$M$448,Summaries!A78,'GSTR 1'!$K$332:$K$448)</f>
        <v>0</v>
      </c>
    </row>
    <row r="79" spans="1:11" x14ac:dyDescent="0.3">
      <c r="A79" s="84" t="str">
        <f t="array" ref="A79">IFERROR(INDEX('GSTR 1'!$M$332:$M$448,MATCH(0,COUNTIF(A$57:$A78,'GSTR 1'!$M$332:$M$448&amp;"")+IF('GSTR 1'!$M$332:$M$448="",1,0),0)),"-")</f>
        <v>-</v>
      </c>
      <c r="B79" s="84" t="str">
        <f>IFERROR(INDEX('GSTR 1'!$B$332:$M$448,MATCH(Summaries!A79,'GSTR 1'!$M$332:$M$448,0),1),"-")</f>
        <v>-</v>
      </c>
      <c r="C79" s="85" t="str">
        <f>IFERROR(INDEX('GSTR 1'!$C$332:$M$448,MATCH(Summaries!A79,'GSTR 1'!$M$332:$M$448,0),1),"-")</f>
        <v>-</v>
      </c>
      <c r="D79" s="86" t="str">
        <f>IFERROR(INDEX('GSTR 1'!$C$332:$M$448,MATCH(Summaries!A79,'GSTR 1'!$M$332:$M$448,0),2),"-")</f>
        <v>-</v>
      </c>
      <c r="E79" s="86">
        <f>SUMIF('GSTR 1'!$M$332:$M$448,Summaries!A79,'GSTR 1'!$E$332:$E$448)</f>
        <v>0</v>
      </c>
      <c r="F79" s="86">
        <f>SUMIF('GSTR 1'!$M$332:$M$448,Summaries!A79,'GSTR 1'!$F$332:$F$448)</f>
        <v>0</v>
      </c>
      <c r="G79" s="86">
        <f>SUMIF('GSTR 1'!$M$332:$M$448,Summaries!A79,'GSTR 1'!$G$332:$G$448)</f>
        <v>0</v>
      </c>
      <c r="H79" s="86">
        <f>SUMIF('GSTR 1'!$M$332:$M$448,Summaries!A79,'GSTR 1'!$H$332:$H$448)</f>
        <v>0</v>
      </c>
      <c r="I79" s="86">
        <f>SUMIF('GSTR 1'!$M$332:$M$448,Summaries!A79,'GSTR 1'!$I$332:$I$448)</f>
        <v>0</v>
      </c>
      <c r="J79" s="86">
        <f>SUMIF('GSTR 1'!$M$332:$M$448,Summaries!A79,'GSTR 1'!$J$332:$J$448)</f>
        <v>0</v>
      </c>
      <c r="K79" s="86">
        <f>SUMIF('GSTR 1'!$M$332:$M$448,Summaries!A79,'GSTR 1'!$K$332:$K$448)</f>
        <v>0</v>
      </c>
    </row>
    <row r="80" spans="1:11" x14ac:dyDescent="0.3">
      <c r="A80" s="84" t="str">
        <f t="array" ref="A80">IFERROR(INDEX('GSTR 1'!$M$332:$M$448,MATCH(0,COUNTIF(A$57:$A79,'GSTR 1'!$M$332:$M$448&amp;"")+IF('GSTR 1'!$M$332:$M$448="",1,0),0)),"-")</f>
        <v>-</v>
      </c>
      <c r="B80" s="84" t="str">
        <f>IFERROR(INDEX('GSTR 1'!$B$332:$M$448,MATCH(Summaries!A80,'GSTR 1'!$M$332:$M$448,0),1),"-")</f>
        <v>-</v>
      </c>
      <c r="C80" s="85" t="str">
        <f>IFERROR(INDEX('GSTR 1'!$C$332:$M$448,MATCH(Summaries!A80,'GSTR 1'!$M$332:$M$448,0),1),"-")</f>
        <v>-</v>
      </c>
      <c r="D80" s="86" t="str">
        <f>IFERROR(INDEX('GSTR 1'!$C$332:$M$448,MATCH(Summaries!A80,'GSTR 1'!$M$332:$M$448,0),2),"-")</f>
        <v>-</v>
      </c>
      <c r="E80" s="86">
        <f>SUMIF('GSTR 1'!$M$332:$M$448,Summaries!A80,'GSTR 1'!$E$332:$E$448)</f>
        <v>0</v>
      </c>
      <c r="F80" s="86">
        <f>SUMIF('GSTR 1'!$M$332:$M$448,Summaries!A80,'GSTR 1'!$F$332:$F$448)</f>
        <v>0</v>
      </c>
      <c r="G80" s="86">
        <f>SUMIF('GSTR 1'!$M$332:$M$448,Summaries!A80,'GSTR 1'!$G$332:$G$448)</f>
        <v>0</v>
      </c>
      <c r="H80" s="86">
        <f>SUMIF('GSTR 1'!$M$332:$M$448,Summaries!A80,'GSTR 1'!$H$332:$H$448)</f>
        <v>0</v>
      </c>
      <c r="I80" s="86">
        <f>SUMIF('GSTR 1'!$M$332:$M$448,Summaries!A80,'GSTR 1'!$I$332:$I$448)</f>
        <v>0</v>
      </c>
      <c r="J80" s="86">
        <f>SUMIF('GSTR 1'!$M$332:$M$448,Summaries!A80,'GSTR 1'!$J$332:$J$448)</f>
        <v>0</v>
      </c>
      <c r="K80" s="86">
        <f>SUMIF('GSTR 1'!$M$332:$M$448,Summaries!A80,'GSTR 1'!$K$332:$K$448)</f>
        <v>0</v>
      </c>
    </row>
    <row r="81" spans="1:211" x14ac:dyDescent="0.3">
      <c r="A81" s="84" t="str">
        <f t="array" ref="A81">IFERROR(INDEX('GSTR 1'!$M$332:$M$448,MATCH(0,COUNTIF(A$57:$A80,'GSTR 1'!$M$332:$M$448&amp;"")+IF('GSTR 1'!$M$332:$M$448="",1,0),0)),"-")</f>
        <v>-</v>
      </c>
      <c r="B81" s="84" t="str">
        <f>IFERROR(INDEX('GSTR 1'!$B$332:$M$448,MATCH(Summaries!A81,'GSTR 1'!$M$332:$M$448,0),1),"-")</f>
        <v>-</v>
      </c>
      <c r="C81" s="85" t="str">
        <f>IFERROR(INDEX('GSTR 1'!$C$332:$M$448,MATCH(Summaries!A81,'GSTR 1'!$M$332:$M$448,0),1),"-")</f>
        <v>-</v>
      </c>
      <c r="D81" s="86" t="str">
        <f>IFERROR(INDEX('GSTR 1'!$C$332:$M$448,MATCH(Summaries!A81,'GSTR 1'!$M$332:$M$448,0),2),"-")</f>
        <v>-</v>
      </c>
      <c r="E81" s="86">
        <f>SUMIF('GSTR 1'!$M$332:$M$448,Summaries!A81,'GSTR 1'!$E$332:$E$448)</f>
        <v>0</v>
      </c>
      <c r="F81" s="86">
        <f>SUMIF('GSTR 1'!$M$332:$M$448,Summaries!A81,'GSTR 1'!$F$332:$F$448)</f>
        <v>0</v>
      </c>
      <c r="G81" s="86">
        <f>SUMIF('GSTR 1'!$M$332:$M$448,Summaries!A81,'GSTR 1'!$G$332:$G$448)</f>
        <v>0</v>
      </c>
      <c r="H81" s="86">
        <f>SUMIF('GSTR 1'!$M$332:$M$448,Summaries!A81,'GSTR 1'!$H$332:$H$448)</f>
        <v>0</v>
      </c>
      <c r="I81" s="86">
        <f>SUMIF('GSTR 1'!$M$332:$M$448,Summaries!A81,'GSTR 1'!$I$332:$I$448)</f>
        <v>0</v>
      </c>
      <c r="J81" s="86">
        <f>SUMIF('GSTR 1'!$M$332:$M$448,Summaries!A81,'GSTR 1'!$J$332:$J$448)</f>
        <v>0</v>
      </c>
      <c r="K81" s="86">
        <f>SUMIF('GSTR 1'!$M$332:$M$448,Summaries!A81,'GSTR 1'!$K$332:$K$448)</f>
        <v>0</v>
      </c>
    </row>
    <row r="82" spans="1:211" x14ac:dyDescent="0.3">
      <c r="A82" s="84" t="str">
        <f t="array" ref="A82">IFERROR(INDEX('GSTR 1'!$M$332:$M$448,MATCH(0,COUNTIF(A$57:$A81,'GSTR 1'!$M$332:$M$448&amp;"")+IF('GSTR 1'!$M$332:$M$448="",1,0),0)),"-")</f>
        <v>-</v>
      </c>
      <c r="B82" s="84" t="str">
        <f>IFERROR(INDEX('GSTR 1'!$B$332:$M$448,MATCH(Summaries!A82,'GSTR 1'!$M$332:$M$448,0),1),"-")</f>
        <v>-</v>
      </c>
      <c r="C82" s="85" t="str">
        <f>IFERROR(INDEX('GSTR 1'!$C$332:$M$448,MATCH(Summaries!A82,'GSTR 1'!$M$332:$M$448,0),1),"-")</f>
        <v>-</v>
      </c>
      <c r="D82" s="86" t="str">
        <f>IFERROR(INDEX('GSTR 1'!$C$332:$M$448,MATCH(Summaries!A82,'GSTR 1'!$M$332:$M$448,0),2),"-")</f>
        <v>-</v>
      </c>
      <c r="E82" s="86">
        <f>SUMIF('GSTR 1'!$M$332:$M$448,Summaries!A82,'GSTR 1'!$E$332:$E$448)</f>
        <v>0</v>
      </c>
      <c r="F82" s="86">
        <f>SUMIF('GSTR 1'!$M$332:$M$448,Summaries!A82,'GSTR 1'!$F$332:$F$448)</f>
        <v>0</v>
      </c>
      <c r="G82" s="86">
        <f>SUMIF('GSTR 1'!$M$332:$M$448,Summaries!A82,'GSTR 1'!$G$332:$G$448)</f>
        <v>0</v>
      </c>
      <c r="H82" s="86">
        <f>SUMIF('GSTR 1'!$M$332:$M$448,Summaries!A82,'GSTR 1'!$H$332:$H$448)</f>
        <v>0</v>
      </c>
      <c r="I82" s="86">
        <f>SUMIF('GSTR 1'!$M$332:$M$448,Summaries!A82,'GSTR 1'!$I$332:$I$448)</f>
        <v>0</v>
      </c>
      <c r="J82" s="86">
        <f>SUMIF('GSTR 1'!$M$332:$M$448,Summaries!A82,'GSTR 1'!$J$332:$J$448)</f>
        <v>0</v>
      </c>
      <c r="K82" s="86">
        <f>SUMIF('GSTR 1'!$M$332:$M$448,Summaries!A82,'GSTR 1'!$K$332:$K$448)</f>
        <v>0</v>
      </c>
    </row>
    <row r="83" spans="1:211" x14ac:dyDescent="0.3">
      <c r="A83" s="84" t="str">
        <f t="array" ref="A83">IFERROR(INDEX('GSTR 1'!$M$332:$M$448,MATCH(0,COUNTIF(A$57:$A82,'GSTR 1'!$M$332:$M$448&amp;"")+IF('GSTR 1'!$M$332:$M$448="",1,0),0)),"-")</f>
        <v>-</v>
      </c>
      <c r="B83" s="84" t="str">
        <f>IFERROR(INDEX('GSTR 1'!$B$332:$M$448,MATCH(Summaries!A83,'GSTR 1'!$M$332:$M$448,0),1),"-")</f>
        <v>-</v>
      </c>
      <c r="C83" s="85" t="str">
        <f>IFERROR(INDEX('GSTR 1'!$C$332:$M$448,MATCH(Summaries!A83,'GSTR 1'!$M$332:$M$448,0),1),"-")</f>
        <v>-</v>
      </c>
      <c r="D83" s="86" t="str">
        <f>IFERROR(INDEX('GSTR 1'!$C$332:$M$448,MATCH(Summaries!A83,'GSTR 1'!$M$332:$M$448,0),2),"-")</f>
        <v>-</v>
      </c>
      <c r="E83" s="86">
        <f>SUMIF('GSTR 1'!$M$332:$M$448,Summaries!A83,'GSTR 1'!$E$332:$E$448)</f>
        <v>0</v>
      </c>
      <c r="F83" s="86">
        <f>SUMIF('GSTR 1'!$M$332:$M$448,Summaries!A83,'GSTR 1'!$F$332:$F$448)</f>
        <v>0</v>
      </c>
      <c r="G83" s="86">
        <f>SUMIF('GSTR 1'!$M$332:$M$448,Summaries!A83,'GSTR 1'!$G$332:$G$448)</f>
        <v>0</v>
      </c>
      <c r="H83" s="86">
        <f>SUMIF('GSTR 1'!$M$332:$M$448,Summaries!A83,'GSTR 1'!$H$332:$H$448)</f>
        <v>0</v>
      </c>
      <c r="I83" s="86">
        <f>SUMIF('GSTR 1'!$M$332:$M$448,Summaries!A83,'GSTR 1'!$I$332:$I$448)</f>
        <v>0</v>
      </c>
      <c r="J83" s="86">
        <f>SUMIF('GSTR 1'!$M$332:$M$448,Summaries!A83,'GSTR 1'!$J$332:$J$448)</f>
        <v>0</v>
      </c>
      <c r="K83" s="86">
        <f>SUMIF('GSTR 1'!$M$332:$M$448,Summaries!A83,'GSTR 1'!$K$332:$K$448)</f>
        <v>0</v>
      </c>
    </row>
    <row r="84" spans="1:211" x14ac:dyDescent="0.3">
      <c r="A84" s="84" t="str">
        <f t="array" ref="A84">IFERROR(INDEX('GSTR 1'!$M$332:$M$448,MATCH(0,COUNTIF(A$57:$A83,'GSTR 1'!$M$332:$M$448&amp;"")+IF('GSTR 1'!$M$332:$M$448="",1,0),0)),"-")</f>
        <v>-</v>
      </c>
      <c r="B84" s="84" t="str">
        <f>IFERROR(INDEX('GSTR 1'!$B$332:$M$448,MATCH(Summaries!A84,'GSTR 1'!$M$332:$M$448,0),1),"-")</f>
        <v>-</v>
      </c>
      <c r="C84" s="85" t="str">
        <f>IFERROR(INDEX('GSTR 1'!$C$332:$M$448,MATCH(Summaries!A84,'GSTR 1'!$M$332:$M$448,0),1),"-")</f>
        <v>-</v>
      </c>
      <c r="D84" s="86" t="str">
        <f>IFERROR(INDEX('GSTR 1'!$C$332:$M$448,MATCH(Summaries!A84,'GSTR 1'!$M$332:$M$448,0),2),"-")</f>
        <v>-</v>
      </c>
      <c r="E84" s="86">
        <f>SUMIF('GSTR 1'!$M$332:$M$448,Summaries!A84,'GSTR 1'!$E$332:$E$448)</f>
        <v>0</v>
      </c>
      <c r="F84" s="86">
        <f>SUMIF('GSTR 1'!$M$332:$M$448,Summaries!A84,'GSTR 1'!$F$332:$F$448)</f>
        <v>0</v>
      </c>
      <c r="G84" s="86">
        <f>SUMIF('GSTR 1'!$M$332:$M$448,Summaries!A84,'GSTR 1'!$G$332:$G$448)</f>
        <v>0</v>
      </c>
      <c r="H84" s="86">
        <f>SUMIF('GSTR 1'!$M$332:$M$448,Summaries!A84,'GSTR 1'!$H$332:$H$448)</f>
        <v>0</v>
      </c>
      <c r="I84" s="86">
        <f>SUMIF('GSTR 1'!$M$332:$M$448,Summaries!A84,'GSTR 1'!$I$332:$I$448)</f>
        <v>0</v>
      </c>
      <c r="J84" s="86">
        <f>SUMIF('GSTR 1'!$M$332:$M$448,Summaries!A84,'GSTR 1'!$J$332:$J$448)</f>
        <v>0</v>
      </c>
      <c r="K84" s="86">
        <f>SUMIF('GSTR 1'!$M$332:$M$448,Summaries!A84,'GSTR 1'!$K$332:$K$448)</f>
        <v>0</v>
      </c>
    </row>
    <row r="85" spans="1:211" x14ac:dyDescent="0.3">
      <c r="A85" s="84" t="str">
        <f t="array" ref="A85">IFERROR(INDEX('GSTR 1'!$M$332:$M$448,MATCH(0,COUNTIF(A$57:$A84,'GSTR 1'!$M$332:$M$448&amp;"")+IF('GSTR 1'!$M$332:$M$448="",1,0),0)),"-")</f>
        <v>-</v>
      </c>
      <c r="B85" s="84" t="str">
        <f>IFERROR(INDEX('GSTR 1'!$B$332:$M$448,MATCH(Summaries!A85,'GSTR 1'!$M$332:$M$448,0),1),"-")</f>
        <v>-</v>
      </c>
      <c r="C85" s="85" t="str">
        <f>IFERROR(INDEX('GSTR 1'!$C$332:$M$448,MATCH(Summaries!A85,'GSTR 1'!$M$332:$M$448,0),1),"-")</f>
        <v>-</v>
      </c>
      <c r="D85" s="86" t="str">
        <f>IFERROR(INDEX('GSTR 1'!$C$332:$M$448,MATCH(Summaries!A85,'GSTR 1'!$M$332:$M$448,0),2),"-")</f>
        <v>-</v>
      </c>
      <c r="E85" s="86">
        <f>SUMIF('GSTR 1'!$M$332:$M$448,Summaries!A85,'GSTR 1'!$E$332:$E$448)</f>
        <v>0</v>
      </c>
      <c r="F85" s="86">
        <f>SUMIF('GSTR 1'!$M$332:$M$448,Summaries!A85,'GSTR 1'!$F$332:$F$448)</f>
        <v>0</v>
      </c>
      <c r="G85" s="86">
        <f>SUMIF('GSTR 1'!$M$332:$M$448,Summaries!A85,'GSTR 1'!$G$332:$G$448)</f>
        <v>0</v>
      </c>
      <c r="H85" s="86">
        <f>SUMIF('GSTR 1'!$M$332:$M$448,Summaries!A85,'GSTR 1'!$H$332:$H$448)</f>
        <v>0</v>
      </c>
      <c r="I85" s="86">
        <f>SUMIF('GSTR 1'!$M$332:$M$448,Summaries!A85,'GSTR 1'!$I$332:$I$448)</f>
        <v>0</v>
      </c>
      <c r="J85" s="86">
        <f>SUMIF('GSTR 1'!$M$332:$M$448,Summaries!A85,'GSTR 1'!$J$332:$J$448)</f>
        <v>0</v>
      </c>
      <c r="K85" s="86">
        <f>SUMIF('GSTR 1'!$M$332:$M$448,Summaries!A85,'GSTR 1'!$K$332:$K$448)</f>
        <v>0</v>
      </c>
    </row>
    <row r="86" spans="1:211" x14ac:dyDescent="0.3">
      <c r="A86" s="84" t="str">
        <f t="array" ref="A86">IFERROR(INDEX('GSTR 1'!$M$332:$M$448,MATCH(0,COUNTIF(A$57:$A85,'GSTR 1'!$M$332:$M$448&amp;"")+IF('GSTR 1'!$M$332:$M$448="",1,0),0)),"-")</f>
        <v>-</v>
      </c>
      <c r="B86" s="84" t="str">
        <f>IFERROR(INDEX('GSTR 1'!$B$332:$M$448,MATCH(Summaries!A86,'GSTR 1'!$M$332:$M$448,0),1),"-")</f>
        <v>-</v>
      </c>
      <c r="C86" s="85" t="str">
        <f>IFERROR(INDEX('GSTR 1'!$C$332:$M$448,MATCH(Summaries!A86,'GSTR 1'!$M$332:$M$448,0),1),"-")</f>
        <v>-</v>
      </c>
      <c r="D86" s="86" t="str">
        <f>IFERROR(INDEX('GSTR 1'!$C$332:$M$448,MATCH(Summaries!A86,'GSTR 1'!$M$332:$M$448,0),2),"-")</f>
        <v>-</v>
      </c>
      <c r="E86" s="86">
        <f>SUMIF('GSTR 1'!$M$332:$M$448,Summaries!A86,'GSTR 1'!$E$332:$E$448)</f>
        <v>0</v>
      </c>
      <c r="F86" s="86">
        <f>SUMIF('GSTR 1'!$M$332:$M$448,Summaries!A86,'GSTR 1'!$F$332:$F$448)</f>
        <v>0</v>
      </c>
      <c r="G86" s="86">
        <f>SUMIF('GSTR 1'!$M$332:$M$448,Summaries!A86,'GSTR 1'!$G$332:$G$448)</f>
        <v>0</v>
      </c>
      <c r="H86" s="86">
        <f>SUMIF('GSTR 1'!$M$332:$M$448,Summaries!A86,'GSTR 1'!$H$332:$H$448)</f>
        <v>0</v>
      </c>
      <c r="I86" s="86">
        <f>SUMIF('GSTR 1'!$M$332:$M$448,Summaries!A86,'GSTR 1'!$I$332:$I$448)</f>
        <v>0</v>
      </c>
      <c r="J86" s="86">
        <f>SUMIF('GSTR 1'!$M$332:$M$448,Summaries!A86,'GSTR 1'!$J$332:$J$448)</f>
        <v>0</v>
      </c>
      <c r="K86" s="86">
        <f>SUMIF('GSTR 1'!$M$332:$M$448,Summaries!A86,'GSTR 1'!$K$332:$K$448)</f>
        <v>0</v>
      </c>
    </row>
    <row r="87" spans="1:211" x14ac:dyDescent="0.3">
      <c r="A87" s="84" t="str">
        <f t="array" ref="A87">IFERROR(INDEX('GSTR 1'!$M$332:$M$448,MATCH(0,COUNTIF(A$57:$A86,'GSTR 1'!$M$332:$M$448&amp;"")+IF('GSTR 1'!$M$332:$M$448="",1,0),0)),"-")</f>
        <v>-</v>
      </c>
      <c r="B87" s="84" t="str">
        <f>IFERROR(INDEX('GSTR 1'!$B$332:$M$448,MATCH(Summaries!A87,'GSTR 1'!$M$332:$M$448,0),1),"-")</f>
        <v>-</v>
      </c>
      <c r="C87" s="85" t="str">
        <f>IFERROR(INDEX('GSTR 1'!$C$332:$M$448,MATCH(Summaries!A87,'GSTR 1'!$M$332:$M$448,0),1),"-")</f>
        <v>-</v>
      </c>
      <c r="D87" s="86" t="str">
        <f>IFERROR(INDEX('GSTR 1'!$C$332:$M$448,MATCH(Summaries!A87,'GSTR 1'!$M$332:$M$448,0),2),"-")</f>
        <v>-</v>
      </c>
      <c r="E87" s="86">
        <f>SUMIF('GSTR 1'!$M$332:$M$448,Summaries!A87,'GSTR 1'!$E$332:$E$448)</f>
        <v>0</v>
      </c>
      <c r="F87" s="86">
        <f>SUMIF('GSTR 1'!$M$332:$M$448,Summaries!A87,'GSTR 1'!$F$332:$F$448)</f>
        <v>0</v>
      </c>
      <c r="G87" s="86">
        <f>SUMIF('GSTR 1'!$M$332:$M$448,Summaries!A87,'GSTR 1'!$G$332:$G$448)</f>
        <v>0</v>
      </c>
      <c r="H87" s="86">
        <f>SUMIF('GSTR 1'!$M$332:$M$448,Summaries!A87,'GSTR 1'!$H$332:$H$448)</f>
        <v>0</v>
      </c>
      <c r="I87" s="86">
        <f>SUMIF('GSTR 1'!$M$332:$M$448,Summaries!A87,'GSTR 1'!$I$332:$I$448)</f>
        <v>0</v>
      </c>
      <c r="J87" s="86">
        <f>SUMIF('GSTR 1'!$M$332:$M$448,Summaries!A87,'GSTR 1'!$J$332:$J$448)</f>
        <v>0</v>
      </c>
      <c r="K87" s="86">
        <f>SUMIF('GSTR 1'!$M$332:$M$448,Summaries!A87,'GSTR 1'!$K$332:$K$448)</f>
        <v>0</v>
      </c>
    </row>
    <row r="88" spans="1:211" ht="15" thickBot="1" x14ac:dyDescent="0.35">
      <c r="A88" s="87"/>
      <c r="B88" s="87"/>
      <c r="C88" s="88"/>
      <c r="D88" s="88"/>
      <c r="E88" s="88"/>
      <c r="F88" s="88"/>
      <c r="G88" s="88"/>
      <c r="H88" s="88"/>
      <c r="I88" s="88"/>
      <c r="J88" s="88"/>
      <c r="K88" s="88"/>
    </row>
    <row r="89" spans="1:211" ht="16.2" thickTop="1" x14ac:dyDescent="0.3">
      <c r="A89" s="42" t="s">
        <v>149</v>
      </c>
      <c r="B89" s="72"/>
      <c r="C89" s="27"/>
      <c r="D89" s="27"/>
      <c r="E89" s="27">
        <f t="shared" ref="E89:K89" si="2">SUM(E58:E88)</f>
        <v>0</v>
      </c>
      <c r="F89" s="27">
        <f t="shared" si="2"/>
        <v>0</v>
      </c>
      <c r="G89" s="27">
        <f t="shared" si="2"/>
        <v>0</v>
      </c>
      <c r="H89" s="27">
        <f t="shared" si="2"/>
        <v>0</v>
      </c>
      <c r="I89" s="27">
        <f t="shared" si="2"/>
        <v>0</v>
      </c>
      <c r="J89" s="27">
        <f t="shared" si="2"/>
        <v>0</v>
      </c>
      <c r="K89" s="27">
        <f t="shared" si="2"/>
        <v>0</v>
      </c>
    </row>
    <row r="90" spans="1:211" x14ac:dyDescent="0.3">
      <c r="E90" s="100">
        <f>E89-'GSTR 1'!E450</f>
        <v>0</v>
      </c>
      <c r="F90" s="100">
        <f>F89-'GSTR 1'!F450</f>
        <v>0</v>
      </c>
      <c r="G90" s="100">
        <f>G89-'GSTR 1'!G450</f>
        <v>0</v>
      </c>
      <c r="H90" s="100">
        <f>H89-'GSTR 1'!H450</f>
        <v>0</v>
      </c>
      <c r="I90" s="100">
        <f>I89-'GSTR 1'!I450</f>
        <v>0</v>
      </c>
      <c r="J90" s="100">
        <f>J89-'GSTR 1'!J450</f>
        <v>0</v>
      </c>
      <c r="K90" s="100">
        <f>K89-'GSTR 1'!K450</f>
        <v>0</v>
      </c>
    </row>
    <row r="93" spans="1:211" ht="18" x14ac:dyDescent="0.35">
      <c r="A93" s="14" t="s">
        <v>164</v>
      </c>
    </row>
    <row r="94" spans="1:211" ht="18" x14ac:dyDescent="0.35">
      <c r="A94" s="14"/>
    </row>
    <row r="95" spans="1:211" ht="24.9" customHeight="1" x14ac:dyDescent="0.3">
      <c r="A95" s="77" t="s">
        <v>160</v>
      </c>
      <c r="B95" s="534" t="str">
        <f>$B58</f>
        <v>-</v>
      </c>
      <c r="C95" s="535"/>
      <c r="D95" s="535"/>
      <c r="E95" s="535"/>
      <c r="F95" s="535"/>
      <c r="G95" s="535"/>
      <c r="H95" s="536"/>
      <c r="I95" s="534" t="str">
        <f>$B59</f>
        <v>-</v>
      </c>
      <c r="J95" s="535"/>
      <c r="K95" s="535"/>
      <c r="L95" s="535"/>
      <c r="M95" s="535"/>
      <c r="N95" s="535"/>
      <c r="O95" s="536"/>
      <c r="P95" s="534" t="str">
        <f>$B60</f>
        <v>-</v>
      </c>
      <c r="Q95" s="535"/>
      <c r="R95" s="535"/>
      <c r="S95" s="535"/>
      <c r="T95" s="535"/>
      <c r="U95" s="535"/>
      <c r="V95" s="536"/>
      <c r="W95" s="534" t="str">
        <f>$B61</f>
        <v>-</v>
      </c>
      <c r="X95" s="535"/>
      <c r="Y95" s="535"/>
      <c r="Z95" s="535"/>
      <c r="AA95" s="535"/>
      <c r="AB95" s="535"/>
      <c r="AC95" s="536"/>
      <c r="AD95" s="534" t="str">
        <f>$B62</f>
        <v>-</v>
      </c>
      <c r="AE95" s="535"/>
      <c r="AF95" s="535"/>
      <c r="AG95" s="535"/>
      <c r="AH95" s="535"/>
      <c r="AI95" s="535"/>
      <c r="AJ95" s="536"/>
      <c r="AK95" s="534" t="str">
        <f>$B63</f>
        <v>-</v>
      </c>
      <c r="AL95" s="535"/>
      <c r="AM95" s="535"/>
      <c r="AN95" s="535"/>
      <c r="AO95" s="535"/>
      <c r="AP95" s="535"/>
      <c r="AQ95" s="536"/>
      <c r="AR95" s="534" t="str">
        <f>$B64</f>
        <v>-</v>
      </c>
      <c r="AS95" s="535"/>
      <c r="AT95" s="535"/>
      <c r="AU95" s="535"/>
      <c r="AV95" s="535"/>
      <c r="AW95" s="535"/>
      <c r="AX95" s="536"/>
      <c r="AY95" s="534" t="str">
        <f>$B65</f>
        <v>-</v>
      </c>
      <c r="AZ95" s="535"/>
      <c r="BA95" s="535"/>
      <c r="BB95" s="535"/>
      <c r="BC95" s="535"/>
      <c r="BD95" s="535"/>
      <c r="BE95" s="536"/>
      <c r="BF95" s="534" t="str">
        <f>$B66</f>
        <v>-</v>
      </c>
      <c r="BG95" s="535"/>
      <c r="BH95" s="535"/>
      <c r="BI95" s="535"/>
      <c r="BJ95" s="535"/>
      <c r="BK95" s="535"/>
      <c r="BL95" s="536"/>
      <c r="BM95" s="534" t="str">
        <f>$B67</f>
        <v>-</v>
      </c>
      <c r="BN95" s="535"/>
      <c r="BO95" s="535"/>
      <c r="BP95" s="535"/>
      <c r="BQ95" s="535"/>
      <c r="BR95" s="535"/>
      <c r="BS95" s="536"/>
      <c r="BT95" s="534" t="str">
        <f>$B68</f>
        <v>-</v>
      </c>
      <c r="BU95" s="535"/>
      <c r="BV95" s="535"/>
      <c r="BW95" s="535"/>
      <c r="BX95" s="535"/>
      <c r="BY95" s="535"/>
      <c r="BZ95" s="536"/>
      <c r="CA95" s="534" t="str">
        <f>$B69</f>
        <v>-</v>
      </c>
      <c r="CB95" s="535"/>
      <c r="CC95" s="535"/>
      <c r="CD95" s="535"/>
      <c r="CE95" s="535"/>
      <c r="CF95" s="535"/>
      <c r="CG95" s="536"/>
      <c r="CH95" s="534" t="str">
        <f>$B70</f>
        <v>-</v>
      </c>
      <c r="CI95" s="535"/>
      <c r="CJ95" s="535"/>
      <c r="CK95" s="535"/>
      <c r="CL95" s="535"/>
      <c r="CM95" s="535"/>
      <c r="CN95" s="536"/>
      <c r="CO95" s="534" t="str">
        <f>$B71</f>
        <v>-</v>
      </c>
      <c r="CP95" s="535"/>
      <c r="CQ95" s="535"/>
      <c r="CR95" s="535"/>
      <c r="CS95" s="535"/>
      <c r="CT95" s="535"/>
      <c r="CU95" s="536"/>
      <c r="CV95" s="534" t="str">
        <f>$B72</f>
        <v>-</v>
      </c>
      <c r="CW95" s="535"/>
      <c r="CX95" s="535"/>
      <c r="CY95" s="535"/>
      <c r="CZ95" s="535"/>
      <c r="DA95" s="535"/>
      <c r="DB95" s="536"/>
      <c r="DC95" s="534" t="str">
        <f>$B73</f>
        <v>-</v>
      </c>
      <c r="DD95" s="535"/>
      <c r="DE95" s="535"/>
      <c r="DF95" s="535"/>
      <c r="DG95" s="535"/>
      <c r="DH95" s="535"/>
      <c r="DI95" s="536"/>
      <c r="DJ95" s="534" t="str">
        <f>$B74</f>
        <v>-</v>
      </c>
      <c r="DK95" s="535"/>
      <c r="DL95" s="535"/>
      <c r="DM95" s="535"/>
      <c r="DN95" s="535"/>
      <c r="DO95" s="535"/>
      <c r="DP95" s="536"/>
      <c r="DQ95" s="534" t="str">
        <f>$B75</f>
        <v>-</v>
      </c>
      <c r="DR95" s="535"/>
      <c r="DS95" s="535"/>
      <c r="DT95" s="535"/>
      <c r="DU95" s="535"/>
      <c r="DV95" s="535"/>
      <c r="DW95" s="536"/>
      <c r="DX95" s="534" t="str">
        <f>$B76</f>
        <v>-</v>
      </c>
      <c r="DY95" s="535"/>
      <c r="DZ95" s="535"/>
      <c r="EA95" s="535"/>
      <c r="EB95" s="535"/>
      <c r="EC95" s="535"/>
      <c r="ED95" s="536"/>
      <c r="EE95" s="534" t="str">
        <f>$B77</f>
        <v>-</v>
      </c>
      <c r="EF95" s="535"/>
      <c r="EG95" s="535"/>
      <c r="EH95" s="535"/>
      <c r="EI95" s="535"/>
      <c r="EJ95" s="535"/>
      <c r="EK95" s="536"/>
      <c r="EL95" s="534" t="str">
        <f>$B78</f>
        <v>-</v>
      </c>
      <c r="EM95" s="535"/>
      <c r="EN95" s="535"/>
      <c r="EO95" s="535"/>
      <c r="EP95" s="535"/>
      <c r="EQ95" s="535"/>
      <c r="ER95" s="536"/>
      <c r="ES95" s="534" t="str">
        <f>$B79</f>
        <v>-</v>
      </c>
      <c r="ET95" s="535"/>
      <c r="EU95" s="535"/>
      <c r="EV95" s="535"/>
      <c r="EW95" s="535"/>
      <c r="EX95" s="535"/>
      <c r="EY95" s="536"/>
      <c r="EZ95" s="534" t="str">
        <f>$B80</f>
        <v>-</v>
      </c>
      <c r="FA95" s="535"/>
      <c r="FB95" s="535"/>
      <c r="FC95" s="535"/>
      <c r="FD95" s="535"/>
      <c r="FE95" s="535"/>
      <c r="FF95" s="536"/>
      <c r="FG95" s="534" t="str">
        <f>$B81</f>
        <v>-</v>
      </c>
      <c r="FH95" s="535"/>
      <c r="FI95" s="535"/>
      <c r="FJ95" s="535"/>
      <c r="FK95" s="535"/>
      <c r="FL95" s="535"/>
      <c r="FM95" s="536"/>
      <c r="FN95" s="534" t="str">
        <f>$B82</f>
        <v>-</v>
      </c>
      <c r="FO95" s="535"/>
      <c r="FP95" s="535"/>
      <c r="FQ95" s="535"/>
      <c r="FR95" s="535"/>
      <c r="FS95" s="535"/>
      <c r="FT95" s="536"/>
      <c r="FU95" s="534" t="str">
        <f>$B83</f>
        <v>-</v>
      </c>
      <c r="FV95" s="535"/>
      <c r="FW95" s="535"/>
      <c r="FX95" s="535"/>
      <c r="FY95" s="535"/>
      <c r="FZ95" s="535"/>
      <c r="GA95" s="536"/>
      <c r="GB95" s="534" t="str">
        <f>$B84</f>
        <v>-</v>
      </c>
      <c r="GC95" s="535"/>
      <c r="GD95" s="535"/>
      <c r="GE95" s="535"/>
      <c r="GF95" s="535"/>
      <c r="GG95" s="535"/>
      <c r="GH95" s="536"/>
      <c r="GI95" s="534" t="str">
        <f>$B85</f>
        <v>-</v>
      </c>
      <c r="GJ95" s="535"/>
      <c r="GK95" s="535"/>
      <c r="GL95" s="535"/>
      <c r="GM95" s="535"/>
      <c r="GN95" s="535"/>
      <c r="GO95" s="536"/>
      <c r="GP95" s="534" t="str">
        <f>$B86</f>
        <v>-</v>
      </c>
      <c r="GQ95" s="535"/>
      <c r="GR95" s="535"/>
      <c r="GS95" s="535"/>
      <c r="GT95" s="535"/>
      <c r="GU95" s="535"/>
      <c r="GV95" s="536"/>
      <c r="GW95" s="534" t="str">
        <f>$B87</f>
        <v>-</v>
      </c>
      <c r="GX95" s="535"/>
      <c r="GY95" s="535"/>
      <c r="GZ95" s="535"/>
      <c r="HA95" s="535"/>
      <c r="HB95" s="535"/>
      <c r="HC95" s="537"/>
    </row>
    <row r="96" spans="1:211" ht="18" customHeight="1" x14ac:dyDescent="0.3">
      <c r="A96" s="538" t="s">
        <v>82</v>
      </c>
      <c r="B96" s="101" t="str">
        <f>UPPER($D58)</f>
        <v>-</v>
      </c>
      <c r="C96" s="102" t="s">
        <v>162</v>
      </c>
      <c r="D96" s="103" t="str">
        <f>UPPER($C58)</f>
        <v>-</v>
      </c>
      <c r="E96" s="104"/>
      <c r="F96" s="104"/>
      <c r="G96" s="104"/>
      <c r="H96" s="105"/>
      <c r="I96" s="106" t="str">
        <f>UPPER($D59)</f>
        <v>-</v>
      </c>
      <c r="J96" s="102" t="s">
        <v>162</v>
      </c>
      <c r="K96" s="107" t="str">
        <f>UPPER($C59)</f>
        <v>-</v>
      </c>
      <c r="L96" s="108"/>
      <c r="M96" s="108"/>
      <c r="N96" s="108"/>
      <c r="O96" s="109"/>
      <c r="P96" s="101" t="str">
        <f>UPPER($D60)</f>
        <v>-</v>
      </c>
      <c r="Q96" s="102" t="s">
        <v>162</v>
      </c>
      <c r="R96" s="103" t="str">
        <f>UPPER($C60)</f>
        <v>-</v>
      </c>
      <c r="S96" s="104"/>
      <c r="T96" s="104"/>
      <c r="U96" s="104"/>
      <c r="V96" s="105"/>
      <c r="W96" s="110" t="str">
        <f>UPPER($D61)</f>
        <v>-</v>
      </c>
      <c r="X96" s="102" t="s">
        <v>162</v>
      </c>
      <c r="Y96" s="107" t="str">
        <f>UPPER($C61)</f>
        <v>-</v>
      </c>
      <c r="Z96" s="108"/>
      <c r="AA96" s="108"/>
      <c r="AB96" s="108"/>
      <c r="AC96" s="109"/>
      <c r="AD96" s="101" t="str">
        <f>UPPER($D62)</f>
        <v>-</v>
      </c>
      <c r="AE96" s="102" t="s">
        <v>162</v>
      </c>
      <c r="AF96" s="103" t="str">
        <f>UPPER($C62)</f>
        <v>-</v>
      </c>
      <c r="AG96" s="104"/>
      <c r="AH96" s="104"/>
      <c r="AI96" s="104"/>
      <c r="AJ96" s="105"/>
      <c r="AK96" s="110" t="str">
        <f>UPPER($D63)</f>
        <v>-</v>
      </c>
      <c r="AL96" s="102" t="s">
        <v>162</v>
      </c>
      <c r="AM96" s="107" t="str">
        <f>UPPER($C63)</f>
        <v>-</v>
      </c>
      <c r="AN96" s="108"/>
      <c r="AO96" s="108"/>
      <c r="AP96" s="108"/>
      <c r="AQ96" s="109"/>
      <c r="AR96" s="101" t="str">
        <f>UPPER($D64)</f>
        <v>-</v>
      </c>
      <c r="AS96" s="102" t="s">
        <v>162</v>
      </c>
      <c r="AT96" s="103" t="str">
        <f>UPPER($C64)</f>
        <v>-</v>
      </c>
      <c r="AU96" s="104"/>
      <c r="AV96" s="104"/>
      <c r="AW96" s="104"/>
      <c r="AX96" s="105"/>
      <c r="AY96" s="110" t="str">
        <f>UPPER($D65)</f>
        <v>-</v>
      </c>
      <c r="AZ96" s="102" t="s">
        <v>162</v>
      </c>
      <c r="BA96" s="107" t="str">
        <f>UPPER($C65)</f>
        <v>-</v>
      </c>
      <c r="BB96" s="108"/>
      <c r="BC96" s="108"/>
      <c r="BD96" s="108"/>
      <c r="BE96" s="109"/>
      <c r="BF96" s="101" t="str">
        <f>UPPER($D66)</f>
        <v>-</v>
      </c>
      <c r="BG96" s="102" t="s">
        <v>162</v>
      </c>
      <c r="BH96" s="103" t="str">
        <f>UPPER($C66)</f>
        <v>-</v>
      </c>
      <c r="BI96" s="104"/>
      <c r="BJ96" s="104"/>
      <c r="BK96" s="104"/>
      <c r="BL96" s="105"/>
      <c r="BM96" s="110" t="str">
        <f>UPPER($D67)</f>
        <v>-</v>
      </c>
      <c r="BN96" s="102" t="s">
        <v>162</v>
      </c>
      <c r="BO96" s="107" t="str">
        <f>UPPER($C67)</f>
        <v>-</v>
      </c>
      <c r="BP96" s="108"/>
      <c r="BQ96" s="108"/>
      <c r="BR96" s="108"/>
      <c r="BS96" s="109"/>
      <c r="BT96" s="101" t="str">
        <f>UPPER($D68)</f>
        <v>-</v>
      </c>
      <c r="BU96" s="102" t="s">
        <v>162</v>
      </c>
      <c r="BV96" s="103" t="str">
        <f>UPPER($C68)</f>
        <v>-</v>
      </c>
      <c r="BW96" s="104"/>
      <c r="BX96" s="104"/>
      <c r="BY96" s="104"/>
      <c r="BZ96" s="105"/>
      <c r="CA96" s="110" t="str">
        <f>UPPER($D69)</f>
        <v>-</v>
      </c>
      <c r="CB96" s="102" t="s">
        <v>162</v>
      </c>
      <c r="CC96" s="107" t="str">
        <f>UPPER($C69)</f>
        <v>-</v>
      </c>
      <c r="CD96" s="108"/>
      <c r="CE96" s="108"/>
      <c r="CF96" s="108"/>
      <c r="CG96" s="109"/>
      <c r="CH96" s="101" t="str">
        <f>UPPER($D70)</f>
        <v>-</v>
      </c>
      <c r="CI96" s="102" t="s">
        <v>162</v>
      </c>
      <c r="CJ96" s="103" t="str">
        <f>UPPER($C70)</f>
        <v>-</v>
      </c>
      <c r="CK96" s="104"/>
      <c r="CL96" s="104"/>
      <c r="CM96" s="104"/>
      <c r="CN96" s="105"/>
      <c r="CO96" s="110" t="str">
        <f>UPPER($D71)</f>
        <v>-</v>
      </c>
      <c r="CP96" s="102" t="s">
        <v>162</v>
      </c>
      <c r="CQ96" s="107" t="str">
        <f>UPPER($C71)</f>
        <v>-</v>
      </c>
      <c r="CR96" s="108"/>
      <c r="CS96" s="108"/>
      <c r="CT96" s="108"/>
      <c r="CU96" s="109"/>
      <c r="CV96" s="101" t="str">
        <f>UPPER($D72)</f>
        <v>-</v>
      </c>
      <c r="CW96" s="102" t="s">
        <v>162</v>
      </c>
      <c r="CX96" s="103" t="str">
        <f>UPPER($C72)</f>
        <v>-</v>
      </c>
      <c r="CY96" s="104"/>
      <c r="CZ96" s="104"/>
      <c r="DA96" s="104"/>
      <c r="DB96" s="105"/>
      <c r="DC96" s="110" t="str">
        <f>UPPER($D73)</f>
        <v>-</v>
      </c>
      <c r="DD96" s="102" t="s">
        <v>162</v>
      </c>
      <c r="DE96" s="107" t="str">
        <f>UPPER($C73)</f>
        <v>-</v>
      </c>
      <c r="DF96" s="108"/>
      <c r="DG96" s="108"/>
      <c r="DH96" s="108"/>
      <c r="DI96" s="109"/>
      <c r="DJ96" s="101" t="str">
        <f>UPPER($D74)</f>
        <v>-</v>
      </c>
      <c r="DK96" s="102" t="s">
        <v>162</v>
      </c>
      <c r="DL96" s="103" t="str">
        <f>UPPER($C74)</f>
        <v>-</v>
      </c>
      <c r="DM96" s="104"/>
      <c r="DN96" s="104"/>
      <c r="DO96" s="104"/>
      <c r="DP96" s="105"/>
      <c r="DQ96" s="110" t="str">
        <f>UPPER($D75)</f>
        <v>-</v>
      </c>
      <c r="DR96" s="102" t="s">
        <v>162</v>
      </c>
      <c r="DS96" s="107" t="str">
        <f>UPPER($C75)</f>
        <v>-</v>
      </c>
      <c r="DT96" s="108"/>
      <c r="DU96" s="108"/>
      <c r="DV96" s="108"/>
      <c r="DW96" s="109"/>
      <c r="DX96" s="101" t="str">
        <f>UPPER($D76)</f>
        <v>-</v>
      </c>
      <c r="DY96" s="102" t="s">
        <v>162</v>
      </c>
      <c r="DZ96" s="103" t="str">
        <f>UPPER($C76)</f>
        <v>-</v>
      </c>
      <c r="EA96" s="104"/>
      <c r="EB96" s="104"/>
      <c r="EC96" s="104"/>
      <c r="ED96" s="105"/>
      <c r="EE96" s="110" t="str">
        <f>UPPER($D77)</f>
        <v>-</v>
      </c>
      <c r="EF96" s="102" t="s">
        <v>162</v>
      </c>
      <c r="EG96" s="107" t="str">
        <f>UPPER($C77)</f>
        <v>-</v>
      </c>
      <c r="EH96" s="108"/>
      <c r="EI96" s="108"/>
      <c r="EJ96" s="108"/>
      <c r="EK96" s="109"/>
      <c r="EL96" s="101" t="str">
        <f>UPPER($D78)</f>
        <v>-</v>
      </c>
      <c r="EM96" s="102" t="s">
        <v>162</v>
      </c>
      <c r="EN96" s="103" t="str">
        <f>UPPER($C78)</f>
        <v>-</v>
      </c>
      <c r="EO96" s="104"/>
      <c r="EP96" s="104"/>
      <c r="EQ96" s="104"/>
      <c r="ER96" s="105"/>
      <c r="ES96" s="110" t="str">
        <f>UPPER($D79)</f>
        <v>-</v>
      </c>
      <c r="ET96" s="102" t="s">
        <v>162</v>
      </c>
      <c r="EU96" s="111" t="str">
        <f>UPPER($C79)</f>
        <v>-</v>
      </c>
      <c r="EV96" s="108"/>
      <c r="EW96" s="108"/>
      <c r="EX96" s="108"/>
      <c r="EY96" s="109"/>
      <c r="EZ96" s="101" t="str">
        <f>UPPER($D80)</f>
        <v>-</v>
      </c>
      <c r="FA96" s="102" t="s">
        <v>162</v>
      </c>
      <c r="FB96" s="103" t="str">
        <f>UPPER($C80)</f>
        <v>-</v>
      </c>
      <c r="FC96" s="104"/>
      <c r="FD96" s="104"/>
      <c r="FE96" s="104"/>
      <c r="FF96" s="105"/>
      <c r="FG96" s="110" t="str">
        <f>UPPER($D81)</f>
        <v>-</v>
      </c>
      <c r="FH96" s="102" t="s">
        <v>162</v>
      </c>
      <c r="FI96" s="111" t="str">
        <f>UPPER($C81)</f>
        <v>-</v>
      </c>
      <c r="FJ96" s="108"/>
      <c r="FK96" s="108"/>
      <c r="FL96" s="108"/>
      <c r="FM96" s="109"/>
      <c r="FN96" s="101" t="str">
        <f>UPPER($D82)</f>
        <v>-</v>
      </c>
      <c r="FO96" s="102" t="s">
        <v>162</v>
      </c>
      <c r="FP96" s="103" t="str">
        <f>UPPER($C82)</f>
        <v>-</v>
      </c>
      <c r="FQ96" s="104"/>
      <c r="FR96" s="104"/>
      <c r="FS96" s="104"/>
      <c r="FT96" s="105"/>
      <c r="FU96" s="110" t="str">
        <f>UPPER($D83)</f>
        <v>-</v>
      </c>
      <c r="FV96" s="102" t="s">
        <v>162</v>
      </c>
      <c r="FW96" s="111" t="str">
        <f>UPPER($C83)</f>
        <v>-</v>
      </c>
      <c r="FX96" s="108"/>
      <c r="FY96" s="108"/>
      <c r="FZ96" s="108"/>
      <c r="GA96" s="109"/>
      <c r="GB96" s="101" t="str">
        <f>UPPER($D84)</f>
        <v>-</v>
      </c>
      <c r="GC96" s="102" t="s">
        <v>162</v>
      </c>
      <c r="GD96" s="103" t="str">
        <f>UPPER($C84)</f>
        <v>-</v>
      </c>
      <c r="GE96" s="104"/>
      <c r="GF96" s="104"/>
      <c r="GG96" s="104"/>
      <c r="GH96" s="105"/>
      <c r="GI96" s="110" t="str">
        <f>UPPER($D85)</f>
        <v>-</v>
      </c>
      <c r="GJ96" s="102" t="s">
        <v>162</v>
      </c>
      <c r="GK96" s="111" t="str">
        <f>UPPER($C85)</f>
        <v>-</v>
      </c>
      <c r="GL96" s="108"/>
      <c r="GM96" s="108"/>
      <c r="GN96" s="108"/>
      <c r="GO96" s="109"/>
      <c r="GP96" s="101" t="str">
        <f>UPPER($D86)</f>
        <v>-</v>
      </c>
      <c r="GQ96" s="102" t="s">
        <v>162</v>
      </c>
      <c r="GR96" s="103" t="str">
        <f>UPPER($C86)</f>
        <v>-</v>
      </c>
      <c r="GS96" s="104"/>
      <c r="GT96" s="104"/>
      <c r="GU96" s="104"/>
      <c r="GV96" s="105"/>
      <c r="GW96" s="110" t="str">
        <f>UPPER($D87)</f>
        <v>-</v>
      </c>
      <c r="GX96" s="102" t="s">
        <v>162</v>
      </c>
      <c r="GY96" s="111" t="str">
        <f>UPPER($C87)</f>
        <v>-</v>
      </c>
      <c r="GZ96" s="108"/>
      <c r="HA96" s="108"/>
      <c r="HB96" s="108"/>
      <c r="HC96" s="112"/>
    </row>
    <row r="97" spans="1:211" ht="21.9" customHeight="1" x14ac:dyDescent="0.3">
      <c r="A97" s="538"/>
      <c r="B97" s="28" t="s">
        <v>139</v>
      </c>
      <c r="C97" s="28" t="s">
        <v>140</v>
      </c>
      <c r="D97" s="28" t="s">
        <v>96</v>
      </c>
      <c r="E97" s="28" t="s">
        <v>101</v>
      </c>
      <c r="F97" s="28" t="s">
        <v>105</v>
      </c>
      <c r="G97" s="28" t="s">
        <v>106</v>
      </c>
      <c r="H97" s="28" t="s">
        <v>90</v>
      </c>
      <c r="I97" s="28" t="s">
        <v>139</v>
      </c>
      <c r="J97" s="28" t="s">
        <v>140</v>
      </c>
      <c r="K97" s="28" t="s">
        <v>96</v>
      </c>
      <c r="L97" s="28" t="s">
        <v>101</v>
      </c>
      <c r="M97" s="28" t="s">
        <v>105</v>
      </c>
      <c r="N97" s="28" t="s">
        <v>106</v>
      </c>
      <c r="O97" s="28" t="s">
        <v>90</v>
      </c>
      <c r="P97" s="28" t="s">
        <v>139</v>
      </c>
      <c r="Q97" s="28" t="s">
        <v>140</v>
      </c>
      <c r="R97" s="28" t="s">
        <v>96</v>
      </c>
      <c r="S97" s="28" t="s">
        <v>101</v>
      </c>
      <c r="T97" s="28" t="s">
        <v>105</v>
      </c>
      <c r="U97" s="28" t="s">
        <v>106</v>
      </c>
      <c r="V97" s="28" t="s">
        <v>90</v>
      </c>
      <c r="W97" s="28" t="s">
        <v>139</v>
      </c>
      <c r="X97" s="28" t="s">
        <v>140</v>
      </c>
      <c r="Y97" s="28" t="s">
        <v>96</v>
      </c>
      <c r="Z97" s="28" t="s">
        <v>101</v>
      </c>
      <c r="AA97" s="28" t="s">
        <v>105</v>
      </c>
      <c r="AB97" s="28" t="s">
        <v>106</v>
      </c>
      <c r="AC97" s="28" t="s">
        <v>90</v>
      </c>
      <c r="AD97" s="28" t="s">
        <v>139</v>
      </c>
      <c r="AE97" s="28" t="s">
        <v>140</v>
      </c>
      <c r="AF97" s="28" t="s">
        <v>96</v>
      </c>
      <c r="AG97" s="28" t="s">
        <v>101</v>
      </c>
      <c r="AH97" s="28" t="s">
        <v>105</v>
      </c>
      <c r="AI97" s="28" t="s">
        <v>106</v>
      </c>
      <c r="AJ97" s="28" t="s">
        <v>90</v>
      </c>
      <c r="AK97" s="28" t="s">
        <v>139</v>
      </c>
      <c r="AL97" s="28" t="s">
        <v>140</v>
      </c>
      <c r="AM97" s="28" t="s">
        <v>96</v>
      </c>
      <c r="AN97" s="28" t="s">
        <v>101</v>
      </c>
      <c r="AO97" s="28" t="s">
        <v>105</v>
      </c>
      <c r="AP97" s="28" t="s">
        <v>106</v>
      </c>
      <c r="AQ97" s="28" t="s">
        <v>90</v>
      </c>
      <c r="AR97" s="28" t="s">
        <v>139</v>
      </c>
      <c r="AS97" s="28" t="s">
        <v>140</v>
      </c>
      <c r="AT97" s="28" t="s">
        <v>96</v>
      </c>
      <c r="AU97" s="28" t="s">
        <v>101</v>
      </c>
      <c r="AV97" s="28" t="s">
        <v>105</v>
      </c>
      <c r="AW97" s="28" t="s">
        <v>106</v>
      </c>
      <c r="AX97" s="28" t="s">
        <v>90</v>
      </c>
      <c r="AY97" s="28" t="s">
        <v>139</v>
      </c>
      <c r="AZ97" s="28" t="s">
        <v>140</v>
      </c>
      <c r="BA97" s="28" t="s">
        <v>96</v>
      </c>
      <c r="BB97" s="28" t="s">
        <v>101</v>
      </c>
      <c r="BC97" s="28" t="s">
        <v>105</v>
      </c>
      <c r="BD97" s="28" t="s">
        <v>106</v>
      </c>
      <c r="BE97" s="28" t="s">
        <v>90</v>
      </c>
      <c r="BF97" s="28" t="s">
        <v>139</v>
      </c>
      <c r="BG97" s="28" t="s">
        <v>140</v>
      </c>
      <c r="BH97" s="28" t="s">
        <v>96</v>
      </c>
      <c r="BI97" s="28" t="s">
        <v>101</v>
      </c>
      <c r="BJ97" s="28" t="s">
        <v>105</v>
      </c>
      <c r="BK97" s="28" t="s">
        <v>106</v>
      </c>
      <c r="BL97" s="28" t="s">
        <v>90</v>
      </c>
      <c r="BM97" s="28" t="s">
        <v>139</v>
      </c>
      <c r="BN97" s="28" t="s">
        <v>140</v>
      </c>
      <c r="BO97" s="28" t="s">
        <v>96</v>
      </c>
      <c r="BP97" s="28" t="s">
        <v>101</v>
      </c>
      <c r="BQ97" s="28" t="s">
        <v>105</v>
      </c>
      <c r="BR97" s="28" t="s">
        <v>106</v>
      </c>
      <c r="BS97" s="28" t="s">
        <v>90</v>
      </c>
      <c r="BT97" s="28" t="s">
        <v>139</v>
      </c>
      <c r="BU97" s="28" t="s">
        <v>140</v>
      </c>
      <c r="BV97" s="28" t="s">
        <v>96</v>
      </c>
      <c r="BW97" s="28" t="s">
        <v>101</v>
      </c>
      <c r="BX97" s="28" t="s">
        <v>105</v>
      </c>
      <c r="BY97" s="28" t="s">
        <v>106</v>
      </c>
      <c r="BZ97" s="28" t="s">
        <v>90</v>
      </c>
      <c r="CA97" s="28" t="s">
        <v>139</v>
      </c>
      <c r="CB97" s="28" t="s">
        <v>140</v>
      </c>
      <c r="CC97" s="28" t="s">
        <v>96</v>
      </c>
      <c r="CD97" s="28" t="s">
        <v>101</v>
      </c>
      <c r="CE97" s="28" t="s">
        <v>105</v>
      </c>
      <c r="CF97" s="28" t="s">
        <v>106</v>
      </c>
      <c r="CG97" s="28" t="s">
        <v>90</v>
      </c>
      <c r="CH97" s="28" t="s">
        <v>139</v>
      </c>
      <c r="CI97" s="28" t="s">
        <v>140</v>
      </c>
      <c r="CJ97" s="28" t="s">
        <v>96</v>
      </c>
      <c r="CK97" s="28" t="s">
        <v>101</v>
      </c>
      <c r="CL97" s="28" t="s">
        <v>105</v>
      </c>
      <c r="CM97" s="28" t="s">
        <v>106</v>
      </c>
      <c r="CN97" s="28" t="s">
        <v>90</v>
      </c>
      <c r="CO97" s="28" t="s">
        <v>139</v>
      </c>
      <c r="CP97" s="28" t="s">
        <v>140</v>
      </c>
      <c r="CQ97" s="28" t="s">
        <v>96</v>
      </c>
      <c r="CR97" s="28" t="s">
        <v>101</v>
      </c>
      <c r="CS97" s="28" t="s">
        <v>105</v>
      </c>
      <c r="CT97" s="28" t="s">
        <v>106</v>
      </c>
      <c r="CU97" s="28" t="s">
        <v>90</v>
      </c>
      <c r="CV97" s="28" t="s">
        <v>139</v>
      </c>
      <c r="CW97" s="28" t="s">
        <v>140</v>
      </c>
      <c r="CX97" s="28" t="s">
        <v>96</v>
      </c>
      <c r="CY97" s="28" t="s">
        <v>101</v>
      </c>
      <c r="CZ97" s="28" t="s">
        <v>105</v>
      </c>
      <c r="DA97" s="28" t="s">
        <v>106</v>
      </c>
      <c r="DB97" s="28" t="s">
        <v>90</v>
      </c>
      <c r="DC97" s="28" t="s">
        <v>139</v>
      </c>
      <c r="DD97" s="28" t="s">
        <v>140</v>
      </c>
      <c r="DE97" s="28" t="s">
        <v>96</v>
      </c>
      <c r="DF97" s="28" t="s">
        <v>101</v>
      </c>
      <c r="DG97" s="28" t="s">
        <v>105</v>
      </c>
      <c r="DH97" s="28" t="s">
        <v>106</v>
      </c>
      <c r="DI97" s="28" t="s">
        <v>90</v>
      </c>
      <c r="DJ97" s="28" t="s">
        <v>139</v>
      </c>
      <c r="DK97" s="28" t="s">
        <v>140</v>
      </c>
      <c r="DL97" s="28" t="s">
        <v>96</v>
      </c>
      <c r="DM97" s="28" t="s">
        <v>101</v>
      </c>
      <c r="DN97" s="28" t="s">
        <v>105</v>
      </c>
      <c r="DO97" s="28" t="s">
        <v>106</v>
      </c>
      <c r="DP97" s="28" t="s">
        <v>90</v>
      </c>
      <c r="DQ97" s="28" t="s">
        <v>139</v>
      </c>
      <c r="DR97" s="28" t="s">
        <v>140</v>
      </c>
      <c r="DS97" s="28" t="s">
        <v>96</v>
      </c>
      <c r="DT97" s="28" t="s">
        <v>101</v>
      </c>
      <c r="DU97" s="28" t="s">
        <v>105</v>
      </c>
      <c r="DV97" s="28" t="s">
        <v>106</v>
      </c>
      <c r="DW97" s="28" t="s">
        <v>90</v>
      </c>
      <c r="DX97" s="28" t="s">
        <v>139</v>
      </c>
      <c r="DY97" s="28" t="s">
        <v>140</v>
      </c>
      <c r="DZ97" s="28" t="s">
        <v>96</v>
      </c>
      <c r="EA97" s="28" t="s">
        <v>101</v>
      </c>
      <c r="EB97" s="28" t="s">
        <v>105</v>
      </c>
      <c r="EC97" s="28" t="s">
        <v>106</v>
      </c>
      <c r="ED97" s="28" t="s">
        <v>90</v>
      </c>
      <c r="EE97" s="28" t="s">
        <v>139</v>
      </c>
      <c r="EF97" s="28" t="s">
        <v>140</v>
      </c>
      <c r="EG97" s="28" t="s">
        <v>96</v>
      </c>
      <c r="EH97" s="28" t="s">
        <v>101</v>
      </c>
      <c r="EI97" s="28" t="s">
        <v>105</v>
      </c>
      <c r="EJ97" s="28" t="s">
        <v>106</v>
      </c>
      <c r="EK97" s="28" t="s">
        <v>90</v>
      </c>
      <c r="EL97" s="28" t="s">
        <v>139</v>
      </c>
      <c r="EM97" s="28" t="s">
        <v>140</v>
      </c>
      <c r="EN97" s="28" t="s">
        <v>96</v>
      </c>
      <c r="EO97" s="28" t="s">
        <v>101</v>
      </c>
      <c r="EP97" s="28" t="s">
        <v>105</v>
      </c>
      <c r="EQ97" s="28" t="s">
        <v>106</v>
      </c>
      <c r="ER97" s="28" t="s">
        <v>90</v>
      </c>
      <c r="ES97" s="28" t="s">
        <v>139</v>
      </c>
      <c r="ET97" s="28" t="s">
        <v>140</v>
      </c>
      <c r="EU97" s="28" t="s">
        <v>96</v>
      </c>
      <c r="EV97" s="28" t="s">
        <v>101</v>
      </c>
      <c r="EW97" s="28" t="s">
        <v>105</v>
      </c>
      <c r="EX97" s="28" t="s">
        <v>106</v>
      </c>
      <c r="EY97" s="28" t="s">
        <v>90</v>
      </c>
      <c r="EZ97" s="28" t="s">
        <v>139</v>
      </c>
      <c r="FA97" s="28" t="s">
        <v>140</v>
      </c>
      <c r="FB97" s="28" t="s">
        <v>96</v>
      </c>
      <c r="FC97" s="28" t="s">
        <v>101</v>
      </c>
      <c r="FD97" s="28" t="s">
        <v>105</v>
      </c>
      <c r="FE97" s="28" t="s">
        <v>106</v>
      </c>
      <c r="FF97" s="28" t="s">
        <v>90</v>
      </c>
      <c r="FG97" s="28" t="s">
        <v>139</v>
      </c>
      <c r="FH97" s="28" t="s">
        <v>140</v>
      </c>
      <c r="FI97" s="28" t="s">
        <v>96</v>
      </c>
      <c r="FJ97" s="28" t="s">
        <v>101</v>
      </c>
      <c r="FK97" s="28" t="s">
        <v>105</v>
      </c>
      <c r="FL97" s="28" t="s">
        <v>106</v>
      </c>
      <c r="FM97" s="28" t="s">
        <v>90</v>
      </c>
      <c r="FN97" s="28" t="s">
        <v>139</v>
      </c>
      <c r="FO97" s="28" t="s">
        <v>140</v>
      </c>
      <c r="FP97" s="28" t="s">
        <v>96</v>
      </c>
      <c r="FQ97" s="28" t="s">
        <v>101</v>
      </c>
      <c r="FR97" s="28" t="s">
        <v>105</v>
      </c>
      <c r="FS97" s="28" t="s">
        <v>106</v>
      </c>
      <c r="FT97" s="28" t="s">
        <v>90</v>
      </c>
      <c r="FU97" s="28" t="s">
        <v>139</v>
      </c>
      <c r="FV97" s="28" t="s">
        <v>140</v>
      </c>
      <c r="FW97" s="28" t="s">
        <v>96</v>
      </c>
      <c r="FX97" s="28" t="s">
        <v>101</v>
      </c>
      <c r="FY97" s="28" t="s">
        <v>105</v>
      </c>
      <c r="FZ97" s="28" t="s">
        <v>106</v>
      </c>
      <c r="GA97" s="28" t="s">
        <v>90</v>
      </c>
      <c r="GB97" s="28" t="s">
        <v>139</v>
      </c>
      <c r="GC97" s="28" t="s">
        <v>140</v>
      </c>
      <c r="GD97" s="28" t="s">
        <v>96</v>
      </c>
      <c r="GE97" s="28" t="s">
        <v>101</v>
      </c>
      <c r="GF97" s="28" t="s">
        <v>105</v>
      </c>
      <c r="GG97" s="28" t="s">
        <v>106</v>
      </c>
      <c r="GH97" s="28" t="s">
        <v>90</v>
      </c>
      <c r="GI97" s="28" t="s">
        <v>139</v>
      </c>
      <c r="GJ97" s="28" t="s">
        <v>140</v>
      </c>
      <c r="GK97" s="28" t="s">
        <v>96</v>
      </c>
      <c r="GL97" s="28" t="s">
        <v>101</v>
      </c>
      <c r="GM97" s="28" t="s">
        <v>105</v>
      </c>
      <c r="GN97" s="28" t="s">
        <v>106</v>
      </c>
      <c r="GO97" s="28" t="s">
        <v>90</v>
      </c>
      <c r="GP97" s="28" t="s">
        <v>139</v>
      </c>
      <c r="GQ97" s="28" t="s">
        <v>140</v>
      </c>
      <c r="GR97" s="28" t="s">
        <v>96</v>
      </c>
      <c r="GS97" s="28" t="s">
        <v>101</v>
      </c>
      <c r="GT97" s="28" t="s">
        <v>105</v>
      </c>
      <c r="GU97" s="28" t="s">
        <v>106</v>
      </c>
      <c r="GV97" s="28" t="s">
        <v>90</v>
      </c>
      <c r="GW97" s="28" t="s">
        <v>139</v>
      </c>
      <c r="GX97" s="28" t="s">
        <v>140</v>
      </c>
      <c r="GY97" s="28" t="s">
        <v>96</v>
      </c>
      <c r="GZ97" s="28" t="s">
        <v>101</v>
      </c>
      <c r="HA97" s="28" t="s">
        <v>105</v>
      </c>
      <c r="HB97" s="28" t="s">
        <v>106</v>
      </c>
      <c r="HC97" s="29" t="s">
        <v>90</v>
      </c>
    </row>
    <row r="98" spans="1:211" x14ac:dyDescent="0.3">
      <c r="A98" s="78">
        <f>DATE(INT(LEFT($B$3,4)),4,1)</f>
        <v>45748</v>
      </c>
      <c r="B98" s="79">
        <f>SUMIFS('GSTR 1'!$E$332:$E$448,'GSTR 1'!$M$332:$M$448,Summaries!$A$58,'GSTR 1'!$A$332:$A$448,Summaries!$A98)</f>
        <v>0</v>
      </c>
      <c r="C98" s="79">
        <f>SUMIFS('GSTR 1'!$F$332:$F$448,'GSTR 1'!$M$332:$M$448,Summaries!$A$58,'GSTR 1'!$A$332:$A$448,Summaries!$A98)</f>
        <v>0</v>
      </c>
      <c r="D98" s="79">
        <f>SUMIFS('GSTR 1'!$G$332:$G$448,'GSTR 1'!$M$332:$M$448,Summaries!$A$58,'GSTR 1'!$A$332:$A$448,Summaries!$A98)</f>
        <v>0</v>
      </c>
      <c r="E98" s="79">
        <f>SUMIFS('GSTR 1'!$H$332:$H$448,'GSTR 1'!$M$332:$M$448,Summaries!$A$58,'GSTR 1'!$A$332:$A$448,Summaries!$A98)</f>
        <v>0</v>
      </c>
      <c r="F98" s="79">
        <f>SUMIFS('GSTR 1'!$I$332:$I$448,'GSTR 1'!$M$332:$M$448,Summaries!$A$58,'GSTR 1'!$A$332:$A$448,Summaries!$A98)</f>
        <v>0</v>
      </c>
      <c r="G98" s="79">
        <f>SUMIFS('GSTR 1'!$J$332:$J$448,'GSTR 1'!$M$332:$M$448,Summaries!$A$58,'GSTR 1'!$A$332:$A$448,Summaries!$A98)</f>
        <v>0</v>
      </c>
      <c r="H98" s="79">
        <f>SUMIFS('GSTR 1'!$K$332:$K$448,'GSTR 1'!$M$332:$M$448,Summaries!$A$58,'GSTR 1'!$A$332:$A$448,Summaries!$A98)</f>
        <v>0</v>
      </c>
      <c r="I98" s="80">
        <f>SUMIFS('GSTR 1'!$E$332:$E$448,'GSTR 1'!$M$332:$M$448,Summaries!$A$59,'GSTR 1'!$A$332:$A$448,Summaries!$A98)</f>
        <v>0</v>
      </c>
      <c r="J98" s="80">
        <f>SUMIFS('GSTR 1'!$F$332:$F$448,'GSTR 1'!$M$332:$M$448,Summaries!$A$59,'GSTR 1'!$A$332:$A$448,Summaries!$A98)</f>
        <v>0</v>
      </c>
      <c r="K98" s="80">
        <f>SUMIFS('GSTR 1'!$G$332:$G$448,'GSTR 1'!$M$332:$M$448,Summaries!$A$59,'GSTR 1'!$A$332:$A$448,Summaries!$A98)</f>
        <v>0</v>
      </c>
      <c r="L98" s="80">
        <f>SUMIFS('GSTR 1'!$H$332:$H$448,'GSTR 1'!$M$332:$M$448,Summaries!$A$59,'GSTR 1'!$A$332:$A$448,Summaries!$A98)</f>
        <v>0</v>
      </c>
      <c r="M98" s="80">
        <f>SUMIFS('GSTR 1'!$I$332:$I$448,'GSTR 1'!$M$332:$M$448,Summaries!$A$59,'GSTR 1'!$A$332:$A$448,Summaries!$A98)</f>
        <v>0</v>
      </c>
      <c r="N98" s="80">
        <f>SUMIFS('GSTR 1'!$J$332:$J$448,'GSTR 1'!$M$332:$M$448,Summaries!$A$59,'GSTR 1'!$A$332:$A$448,Summaries!$A98)</f>
        <v>0</v>
      </c>
      <c r="O98" s="80">
        <f>SUMIFS('GSTR 1'!$K$332:$K$448,'GSTR 1'!$M$332:$M$448,Summaries!$A$59,'GSTR 1'!$A$332:$A$448,Summaries!$A98)</f>
        <v>0</v>
      </c>
      <c r="P98" s="79">
        <f>SUMIFS('GSTR 1'!$E$332:$E$448,'GSTR 1'!$M$332:$M$448,Summaries!$A$60,'GSTR 1'!$A$332:$A$448,Summaries!$A98)</f>
        <v>0</v>
      </c>
      <c r="Q98" s="79">
        <f>SUMIFS('GSTR 1'!$F$332:$F$448,'GSTR 1'!$M$332:$M$448,Summaries!$A$60,'GSTR 1'!$A$332:$A$448,Summaries!$A98)</f>
        <v>0</v>
      </c>
      <c r="R98" s="79">
        <f>SUMIFS('GSTR 1'!$G$332:$G$448,'GSTR 1'!$M$332:$M$448,Summaries!$A$60,'GSTR 1'!$A$332:$A$448,Summaries!$A98)</f>
        <v>0</v>
      </c>
      <c r="S98" s="79">
        <f>SUMIFS('GSTR 1'!$H$332:$H$448,'GSTR 1'!$M$332:$M$448,Summaries!$A$60,'GSTR 1'!$A$332:$A$448,Summaries!$A98)</f>
        <v>0</v>
      </c>
      <c r="T98" s="79">
        <f>SUMIFS('GSTR 1'!$I$332:$I$448,'GSTR 1'!$M$332:$M$448,Summaries!$A$60,'GSTR 1'!$A$332:$A$448,Summaries!$A98)</f>
        <v>0</v>
      </c>
      <c r="U98" s="79">
        <f>SUMIFS('GSTR 1'!$J$332:$J$448,'GSTR 1'!$M$332:$M$448,Summaries!$A$60,'GSTR 1'!$A$332:$A$448,Summaries!$A98)</f>
        <v>0</v>
      </c>
      <c r="V98" s="79">
        <f>SUMIFS('GSTR 1'!$K$332:$K$448,'GSTR 1'!$M$332:$M$448,Summaries!$A$60,'GSTR 1'!$A$332:$A$448,Summaries!$A98)</f>
        <v>0</v>
      </c>
      <c r="W98" s="80">
        <f>SUMIFS('GSTR 1'!$E$332:$E$448,'GSTR 1'!$M$332:$M$448,Summaries!$A$61,'GSTR 1'!$A$332:$A$448,Summaries!$A98)</f>
        <v>0</v>
      </c>
      <c r="X98" s="80">
        <f>SUMIFS('GSTR 1'!$F$332:$F$448,'GSTR 1'!$M$332:$M$448,Summaries!$A$61,'GSTR 1'!$A$332:$A$448,Summaries!$A98)</f>
        <v>0</v>
      </c>
      <c r="Y98" s="80">
        <f>SUMIFS('GSTR 1'!$G$332:$G$448,'GSTR 1'!$M$332:$M$448,Summaries!$A$61,'GSTR 1'!$A$332:$A$448,Summaries!$A98)</f>
        <v>0</v>
      </c>
      <c r="Z98" s="80">
        <f>SUMIFS('GSTR 1'!$H$332:$H$448,'GSTR 1'!$M$332:$M$448,Summaries!$A$61,'GSTR 1'!$A$332:$A$448,Summaries!$A98)</f>
        <v>0</v>
      </c>
      <c r="AA98" s="80">
        <f>SUMIFS('GSTR 1'!$I$332:$I$448,'GSTR 1'!$M$332:$M$448,Summaries!$A$61,'GSTR 1'!$A$332:$A$448,Summaries!$A98)</f>
        <v>0</v>
      </c>
      <c r="AB98" s="80">
        <f>SUMIFS('GSTR 1'!$J$332:$J$448,'GSTR 1'!$M$332:$M$448,Summaries!$A$61,'GSTR 1'!$A$332:$A$448,Summaries!$A98)</f>
        <v>0</v>
      </c>
      <c r="AC98" s="80">
        <f>SUMIFS('GSTR 1'!$K$332:$K$448,'GSTR 1'!$M$332:$M$448,Summaries!$A$61,'GSTR 1'!$A$332:$A$448,Summaries!$A98)</f>
        <v>0</v>
      </c>
      <c r="AD98" s="79">
        <f>SUMIFS('GSTR 1'!$E$332:$E$448,'GSTR 1'!$M$332:$M$448,Summaries!$A$62,'GSTR 1'!$A$332:$A$448,Summaries!$A98)</f>
        <v>0</v>
      </c>
      <c r="AE98" s="79">
        <f>SUMIFS('GSTR 1'!$F$332:$F$448,'GSTR 1'!$M$332:$M$448,Summaries!$A$62,'GSTR 1'!$A$332:$A$448,Summaries!$A98)</f>
        <v>0</v>
      </c>
      <c r="AF98" s="79">
        <f>SUMIFS('GSTR 1'!$G$332:$G$448,'GSTR 1'!$M$332:$M$448,Summaries!$A$62,'GSTR 1'!$A$332:$A$448,Summaries!$A98)</f>
        <v>0</v>
      </c>
      <c r="AG98" s="79">
        <f>SUMIFS('GSTR 1'!$H$332:$H$448,'GSTR 1'!$M$332:$M$448,Summaries!$A$62,'GSTR 1'!$A$332:$A$448,Summaries!$A98)</f>
        <v>0</v>
      </c>
      <c r="AH98" s="79">
        <f>SUMIFS('GSTR 1'!$I$332:$I$448,'GSTR 1'!$M$332:$M$448,Summaries!$A$62,'GSTR 1'!$A$332:$A$448,Summaries!$A98)</f>
        <v>0</v>
      </c>
      <c r="AI98" s="79">
        <f>SUMIFS('GSTR 1'!$J$332:$J$448,'GSTR 1'!$M$332:$M$448,Summaries!$A$62,'GSTR 1'!$A$332:$A$448,Summaries!$A98)</f>
        <v>0</v>
      </c>
      <c r="AJ98" s="79">
        <f>SUMIFS('GSTR 1'!$K$332:$K$448,'GSTR 1'!$M$332:$M$448,Summaries!$A$62,'GSTR 1'!$A$332:$A$448,Summaries!$A98)</f>
        <v>0</v>
      </c>
      <c r="AK98" s="80">
        <f>SUMIFS('GSTR 1'!$E$332:$E$448,'GSTR 1'!$M$332:$M$448,Summaries!$A$63,'GSTR 1'!$A$332:$A$448,Summaries!$A98)</f>
        <v>0</v>
      </c>
      <c r="AL98" s="80">
        <f>SUMIFS('GSTR 1'!$F$332:$F$448,'GSTR 1'!$M$332:$M$448,Summaries!$A$63,'GSTR 1'!$A$332:$A$448,Summaries!$A98)</f>
        <v>0</v>
      </c>
      <c r="AM98" s="80">
        <f>SUMIFS('GSTR 1'!$G$332:$G$448,'GSTR 1'!$M$332:$M$448,Summaries!$A$63,'GSTR 1'!$A$332:$A$448,Summaries!$A98)</f>
        <v>0</v>
      </c>
      <c r="AN98" s="80">
        <f>SUMIFS('GSTR 1'!$H$332:$H$448,'GSTR 1'!$M$332:$M$448,Summaries!$A$63,'GSTR 1'!$A$332:$A$448,Summaries!$A98)</f>
        <v>0</v>
      </c>
      <c r="AO98" s="80">
        <f>SUMIFS('GSTR 1'!$I$332:$I$448,'GSTR 1'!$M$332:$M$448,Summaries!$A$63,'GSTR 1'!$A$332:$A$448,Summaries!$A98)</f>
        <v>0</v>
      </c>
      <c r="AP98" s="80">
        <f>SUMIFS('GSTR 1'!$J$332:$J$448,'GSTR 1'!$M$332:$M$448,Summaries!$A$63,'GSTR 1'!$A$332:$A$448,Summaries!$A98)</f>
        <v>0</v>
      </c>
      <c r="AQ98" s="80">
        <f>SUMIFS('GSTR 1'!$K$332:$K$448,'GSTR 1'!$M$332:$M$448,Summaries!$A$63,'GSTR 1'!$A$332:$A$448,Summaries!$A98)</f>
        <v>0</v>
      </c>
      <c r="AR98" s="79">
        <f>SUMIFS('GSTR 1'!$E$332:$E$448,'GSTR 1'!$M$332:$M$448,Summaries!$A$64,'GSTR 1'!$A$332:$A$448,Summaries!$A98)</f>
        <v>0</v>
      </c>
      <c r="AS98" s="79">
        <f>SUMIFS('GSTR 1'!$F$332:$F$448,'GSTR 1'!$M$332:$M$448,Summaries!$A$64,'GSTR 1'!$A$332:$A$448,Summaries!$A98)</f>
        <v>0</v>
      </c>
      <c r="AT98" s="79">
        <f>SUMIFS('GSTR 1'!$G$332:$G$448,'GSTR 1'!$M$332:$M$448,Summaries!$A$64,'GSTR 1'!$A$332:$A$448,Summaries!$A98)</f>
        <v>0</v>
      </c>
      <c r="AU98" s="79">
        <f>SUMIFS('GSTR 1'!$H$332:$H$448,'GSTR 1'!$M$332:$M$448,Summaries!$A$64,'GSTR 1'!$A$332:$A$448,Summaries!$A98)</f>
        <v>0</v>
      </c>
      <c r="AV98" s="79">
        <f>SUMIFS('GSTR 1'!$I$332:$I$448,'GSTR 1'!$M$332:$M$448,Summaries!$A$64,'GSTR 1'!$A$332:$A$448,Summaries!$A98)</f>
        <v>0</v>
      </c>
      <c r="AW98" s="79">
        <f>SUMIFS('GSTR 1'!$J$332:$J$448,'GSTR 1'!$M$332:$M$448,Summaries!$A$64,'GSTR 1'!$A$332:$A$448,Summaries!$A98)</f>
        <v>0</v>
      </c>
      <c r="AX98" s="79">
        <f>SUMIFS('GSTR 1'!$K$332:$K$448,'GSTR 1'!$M$332:$M$448,Summaries!$A$64,'GSTR 1'!$A$332:$A$448,Summaries!$A98)</f>
        <v>0</v>
      </c>
      <c r="AY98" s="80">
        <f>SUMIFS('GSTR 1'!$E$332:$E$448,'GSTR 1'!$M$332:$M$448,Summaries!$A$65,'GSTR 1'!$A$332:$A$448,Summaries!$A98)</f>
        <v>0</v>
      </c>
      <c r="AZ98" s="80">
        <f>SUMIFS('GSTR 1'!$F$332:$F$448,'GSTR 1'!$M$332:$M$448,Summaries!$A$65,'GSTR 1'!$A$332:$A$448,Summaries!$A98)</f>
        <v>0</v>
      </c>
      <c r="BA98" s="80">
        <f>SUMIFS('GSTR 1'!$G$332:$G$448,'GSTR 1'!$M$332:$M$448,Summaries!$A$65,'GSTR 1'!$A$332:$A$448,Summaries!$A98)</f>
        <v>0</v>
      </c>
      <c r="BB98" s="80">
        <f>SUMIFS('GSTR 1'!$H$332:$H$448,'GSTR 1'!$M$332:$M$448,Summaries!$A$65,'GSTR 1'!$A$332:$A$448,Summaries!$A98)</f>
        <v>0</v>
      </c>
      <c r="BC98" s="80">
        <f>SUMIFS('GSTR 1'!$I$332:$I$448,'GSTR 1'!$M$332:$M$448,Summaries!$A$65,'GSTR 1'!$A$332:$A$448,Summaries!$A98)</f>
        <v>0</v>
      </c>
      <c r="BD98" s="80">
        <f>SUMIFS('GSTR 1'!$J$332:$J$448,'GSTR 1'!$M$332:$M$448,Summaries!$A$65,'GSTR 1'!$A$332:$A$448,Summaries!$A98)</f>
        <v>0</v>
      </c>
      <c r="BE98" s="80">
        <f>SUMIFS('GSTR 1'!$K$332:$K$448,'GSTR 1'!$M$332:$M$448,Summaries!$A$65,'GSTR 1'!$A$332:$A$448,Summaries!$A98)</f>
        <v>0</v>
      </c>
      <c r="BF98" s="79">
        <f>SUMIFS('GSTR 1'!$E$332:$E$448,'GSTR 1'!$M$332:$M$448,Summaries!$A$66,'GSTR 1'!$A$332:$A$448,Summaries!$A98)</f>
        <v>0</v>
      </c>
      <c r="BG98" s="79">
        <f>SUMIFS('GSTR 1'!$F$332:$F$448,'GSTR 1'!$M$332:$M$448,Summaries!$A$66,'GSTR 1'!$A$332:$A$448,Summaries!$A98)</f>
        <v>0</v>
      </c>
      <c r="BH98" s="79">
        <f>SUMIFS('GSTR 1'!$G$332:$G$448,'GSTR 1'!$M$332:$M$448,Summaries!$A$66,'GSTR 1'!$A$332:$A$448,Summaries!$A98)</f>
        <v>0</v>
      </c>
      <c r="BI98" s="79">
        <f>SUMIFS('GSTR 1'!$H$332:$H$448,'GSTR 1'!$M$332:$M$448,Summaries!$A$66,'GSTR 1'!$A$332:$A$448,Summaries!$A98)</f>
        <v>0</v>
      </c>
      <c r="BJ98" s="79">
        <f>SUMIFS('GSTR 1'!$I$332:$I$448,'GSTR 1'!$M$332:$M$448,Summaries!$A$66,'GSTR 1'!$A$332:$A$448,Summaries!$A98)</f>
        <v>0</v>
      </c>
      <c r="BK98" s="79">
        <f>SUMIFS('GSTR 1'!$J$332:$J$448,'GSTR 1'!$M$332:$M$448,Summaries!$A$66,'GSTR 1'!$A$332:$A$448,Summaries!$A98)</f>
        <v>0</v>
      </c>
      <c r="BL98" s="79">
        <f>SUMIFS('GSTR 1'!$K$332:$K$448,'GSTR 1'!$M$332:$M$448,Summaries!$A$66,'GSTR 1'!$A$332:$A$448,Summaries!$A98)</f>
        <v>0</v>
      </c>
      <c r="BM98" s="80">
        <f>SUMIFS('GSTR 1'!$E$332:$E$448,'GSTR 1'!$M$332:$M$448,Summaries!$A$67,'GSTR 1'!$A$332:$A$448,Summaries!$A98)</f>
        <v>0</v>
      </c>
      <c r="BN98" s="80">
        <f>SUMIFS('GSTR 1'!$F$332:$F$448,'GSTR 1'!$M$332:$M$448,Summaries!$A$67,'GSTR 1'!$A$332:$A$448,Summaries!$A98)</f>
        <v>0</v>
      </c>
      <c r="BO98" s="80">
        <f>SUMIFS('GSTR 1'!$G$332:$G$448,'GSTR 1'!$M$332:$M$448,Summaries!$A$67,'GSTR 1'!$A$332:$A$448,Summaries!$A98)</f>
        <v>0</v>
      </c>
      <c r="BP98" s="80">
        <f>SUMIFS('GSTR 1'!$H$332:$H$448,'GSTR 1'!$M$332:$M$448,Summaries!$A$67,'GSTR 1'!$A$332:$A$448,Summaries!$A98)</f>
        <v>0</v>
      </c>
      <c r="BQ98" s="80">
        <f>SUMIFS('GSTR 1'!$I$332:$I$448,'GSTR 1'!$M$332:$M$448,Summaries!$A$67,'GSTR 1'!$A$332:$A$448,Summaries!$A98)</f>
        <v>0</v>
      </c>
      <c r="BR98" s="80">
        <f>SUMIFS('GSTR 1'!$J$332:$J$448,'GSTR 1'!$M$332:$M$448,Summaries!$A$67,'GSTR 1'!$A$332:$A$448,Summaries!$A98)</f>
        <v>0</v>
      </c>
      <c r="BS98" s="80">
        <f>SUMIFS('GSTR 1'!$K$332:$K$448,'GSTR 1'!$M$332:$M$448,Summaries!$A$67,'GSTR 1'!$A$332:$A$448,Summaries!$A98)</f>
        <v>0</v>
      </c>
      <c r="BT98" s="79">
        <f>SUMIFS('GSTR 1'!$E$332:$E$448,'GSTR 1'!$M$332:$M$448,Summaries!$A$68,'GSTR 1'!$A$332:$A$448,Summaries!$A98)</f>
        <v>0</v>
      </c>
      <c r="BU98" s="79">
        <f>SUMIFS('GSTR 1'!$F$332:$F$448,'GSTR 1'!$M$332:$M$448,Summaries!$A$68,'GSTR 1'!$A$332:$A$448,Summaries!$A98)</f>
        <v>0</v>
      </c>
      <c r="BV98" s="79">
        <f>SUMIFS('GSTR 1'!$G$332:$G$448,'GSTR 1'!$M$332:$M$448,Summaries!$A$68,'GSTR 1'!$A$332:$A$448,Summaries!$A98)</f>
        <v>0</v>
      </c>
      <c r="BW98" s="79">
        <f>SUMIFS('GSTR 1'!$H$332:$H$448,'GSTR 1'!$M$332:$M$448,Summaries!$A$68,'GSTR 1'!$A$332:$A$448,Summaries!$A98)</f>
        <v>0</v>
      </c>
      <c r="BX98" s="79">
        <f>SUMIFS('GSTR 1'!$I$332:$I$448,'GSTR 1'!$M$332:$M$448,Summaries!$A$68,'GSTR 1'!$A$332:$A$448,Summaries!$A98)</f>
        <v>0</v>
      </c>
      <c r="BY98" s="79">
        <f>SUMIFS('GSTR 1'!$J$332:$J$448,'GSTR 1'!$M$332:$M$448,Summaries!$A$68,'GSTR 1'!$A$332:$A$448,Summaries!$A98)</f>
        <v>0</v>
      </c>
      <c r="BZ98" s="79">
        <f>SUMIFS('GSTR 1'!$K$332:$K$448,'GSTR 1'!$M$332:$M$448,Summaries!$A$68,'GSTR 1'!$A$332:$A$448,Summaries!$A98)</f>
        <v>0</v>
      </c>
      <c r="CA98" s="80">
        <f>SUMIFS('GSTR 1'!$E$332:$E$448,'GSTR 1'!$M$332:$M$448,Summaries!$A$69,'GSTR 1'!$A$332:$A$448,Summaries!$A98)</f>
        <v>0</v>
      </c>
      <c r="CB98" s="80">
        <f>SUMIFS('GSTR 1'!$F$332:$F$448,'GSTR 1'!$M$332:$M$448,Summaries!$A$69,'GSTR 1'!$A$332:$A$448,Summaries!$A98)</f>
        <v>0</v>
      </c>
      <c r="CC98" s="80">
        <f>SUMIFS('GSTR 1'!$G$332:$G$448,'GSTR 1'!$M$332:$M$448,Summaries!$A$69,'GSTR 1'!$A$332:$A$448,Summaries!$A98)</f>
        <v>0</v>
      </c>
      <c r="CD98" s="80">
        <f>SUMIFS('GSTR 1'!$H$332:$H$448,'GSTR 1'!$M$332:$M$448,Summaries!$A$69,'GSTR 1'!$A$332:$A$448,Summaries!$A98)</f>
        <v>0</v>
      </c>
      <c r="CE98" s="80">
        <f>SUMIFS('GSTR 1'!$I$332:$I$448,'GSTR 1'!$M$332:$M$448,Summaries!$A$69,'GSTR 1'!$A$332:$A$448,Summaries!$A98)</f>
        <v>0</v>
      </c>
      <c r="CF98" s="80">
        <f>SUMIFS('GSTR 1'!$J$332:$J$448,'GSTR 1'!$M$332:$M$448,Summaries!$A$69,'GSTR 1'!$A$332:$A$448,Summaries!$A98)</f>
        <v>0</v>
      </c>
      <c r="CG98" s="80">
        <f>SUMIFS('GSTR 1'!$K$332:$K$448,'GSTR 1'!$M$332:$M$448,Summaries!$A$69,'GSTR 1'!$A$332:$A$448,Summaries!$A98)</f>
        <v>0</v>
      </c>
      <c r="CH98" s="79">
        <f>SUMIFS('GSTR 1'!$E$332:$E$448,'GSTR 1'!$M$332:$M$448,Summaries!$A$70,'GSTR 1'!$A$332:$A$448,Summaries!$A98)</f>
        <v>0</v>
      </c>
      <c r="CI98" s="79">
        <f>SUMIFS('GSTR 1'!$F$332:$F$448,'GSTR 1'!$M$332:$M$448,Summaries!$A$70,'GSTR 1'!$A$332:$A$448,Summaries!$A98)</f>
        <v>0</v>
      </c>
      <c r="CJ98" s="79">
        <f>SUMIFS('GSTR 1'!$G$332:$G$448,'GSTR 1'!$M$332:$M$448,Summaries!$A$70,'GSTR 1'!$A$332:$A$448,Summaries!$A98)</f>
        <v>0</v>
      </c>
      <c r="CK98" s="79">
        <f>SUMIFS('GSTR 1'!$H$332:$H$448,'GSTR 1'!$M$332:$M$448,Summaries!$A$70,'GSTR 1'!$A$332:$A$448,Summaries!$A98)</f>
        <v>0</v>
      </c>
      <c r="CL98" s="79">
        <f>SUMIFS('GSTR 1'!$I$332:$I$448,'GSTR 1'!$M$332:$M$448,Summaries!$A$70,'GSTR 1'!$A$332:$A$448,Summaries!$A98)</f>
        <v>0</v>
      </c>
      <c r="CM98" s="79">
        <f>SUMIFS('GSTR 1'!$J$332:$J$448,'GSTR 1'!$M$332:$M$448,Summaries!$A$70,'GSTR 1'!$A$332:$A$448,Summaries!$A98)</f>
        <v>0</v>
      </c>
      <c r="CN98" s="79">
        <f>SUMIFS('GSTR 1'!$K$332:$K$448,'GSTR 1'!$M$332:$M$448,Summaries!$A$70,'GSTR 1'!$A$332:$A$448,Summaries!$A98)</f>
        <v>0</v>
      </c>
      <c r="CO98" s="80">
        <f>SUMIFS('GSTR 1'!$E$332:$E$448,'GSTR 1'!$M$332:$M$448,Summaries!$A$71,'GSTR 1'!$A$332:$A$448,Summaries!$A98)</f>
        <v>0</v>
      </c>
      <c r="CP98" s="80">
        <f>SUMIFS('GSTR 1'!$F$332:$F$448,'GSTR 1'!$M$332:$M$448,Summaries!$A$71,'GSTR 1'!$A$332:$A$448,Summaries!$A98)</f>
        <v>0</v>
      </c>
      <c r="CQ98" s="80">
        <f>SUMIFS('GSTR 1'!$G$332:$G$448,'GSTR 1'!$M$332:$M$448,Summaries!$A$71,'GSTR 1'!$A$332:$A$448,Summaries!$A98)</f>
        <v>0</v>
      </c>
      <c r="CR98" s="80">
        <f>SUMIFS('GSTR 1'!$H$332:$H$448,'GSTR 1'!$M$332:$M$448,Summaries!$A$71,'GSTR 1'!$A$332:$A$448,Summaries!$A98)</f>
        <v>0</v>
      </c>
      <c r="CS98" s="80">
        <f>SUMIFS('GSTR 1'!$I$332:$I$448,'GSTR 1'!$M$332:$M$448,Summaries!$A$71,'GSTR 1'!$A$332:$A$448,Summaries!$A98)</f>
        <v>0</v>
      </c>
      <c r="CT98" s="80">
        <f>SUMIFS('GSTR 1'!$J$332:$J$448,'GSTR 1'!$M$332:$M$448,Summaries!$A$71,'GSTR 1'!$A$332:$A$448,Summaries!$A98)</f>
        <v>0</v>
      </c>
      <c r="CU98" s="80">
        <f>SUMIFS('GSTR 1'!$K$332:$K$448,'GSTR 1'!$M$332:$M$448,Summaries!$A$71,'GSTR 1'!$A$332:$A$448,Summaries!$A98)</f>
        <v>0</v>
      </c>
      <c r="CV98" s="79">
        <f>SUMIFS('GSTR 1'!$E$332:$E$448,'GSTR 1'!$M$332:$M$448,Summaries!$A$72,'GSTR 1'!$A$332:$A$448,Summaries!$A98)</f>
        <v>0</v>
      </c>
      <c r="CW98" s="79">
        <f>SUMIFS('GSTR 1'!$F$332:$F$448,'GSTR 1'!$M$332:$M$448,Summaries!$A$72,'GSTR 1'!$A$332:$A$448,Summaries!$A98)</f>
        <v>0</v>
      </c>
      <c r="CX98" s="79">
        <f>SUMIFS('GSTR 1'!$G$332:$G$448,'GSTR 1'!$M$332:$M$448,Summaries!$A$72,'GSTR 1'!$A$332:$A$448,Summaries!$A98)</f>
        <v>0</v>
      </c>
      <c r="CY98" s="79">
        <f>SUMIFS('GSTR 1'!$H$332:$H$448,'GSTR 1'!$M$332:$M$448,Summaries!$A$72,'GSTR 1'!$A$332:$A$448,Summaries!$A98)</f>
        <v>0</v>
      </c>
      <c r="CZ98" s="79">
        <f>SUMIFS('GSTR 1'!$I$332:$I$448,'GSTR 1'!$M$332:$M$448,Summaries!$A$72,'GSTR 1'!$A$332:$A$448,Summaries!$A98)</f>
        <v>0</v>
      </c>
      <c r="DA98" s="79">
        <f>SUMIFS('GSTR 1'!$J$332:$J$448,'GSTR 1'!$M$332:$M$448,Summaries!$A$72,'GSTR 1'!$A$332:$A$448,Summaries!$A98)</f>
        <v>0</v>
      </c>
      <c r="DB98" s="79">
        <f>SUMIFS('GSTR 1'!$K$332:$K$448,'GSTR 1'!$M$332:$M$448,Summaries!$A$72,'GSTR 1'!$A$332:$A$448,Summaries!$A98)</f>
        <v>0</v>
      </c>
      <c r="DC98" s="80">
        <f>SUMIFS('GSTR 1'!$E$332:$E$448,'GSTR 1'!$M$332:$M$448,Summaries!$A$73,'GSTR 1'!$A$332:$A$448,Summaries!$A98)</f>
        <v>0</v>
      </c>
      <c r="DD98" s="80">
        <f>SUMIFS('GSTR 1'!$F$332:$F$448,'GSTR 1'!$M$332:$M$448,Summaries!$A$73,'GSTR 1'!$A$332:$A$448,Summaries!$A98)</f>
        <v>0</v>
      </c>
      <c r="DE98" s="80">
        <f>SUMIFS('GSTR 1'!$G$332:$G$448,'GSTR 1'!$M$332:$M$448,Summaries!$A$73,'GSTR 1'!$A$332:$A$448,Summaries!$A98)</f>
        <v>0</v>
      </c>
      <c r="DF98" s="80">
        <f>SUMIFS('GSTR 1'!$H$332:$H$448,'GSTR 1'!$M$332:$M$448,Summaries!$A$73,'GSTR 1'!$A$332:$A$448,Summaries!$A98)</f>
        <v>0</v>
      </c>
      <c r="DG98" s="80">
        <f>SUMIFS('GSTR 1'!$I$332:$I$448,'GSTR 1'!$M$332:$M$448,Summaries!$A$73,'GSTR 1'!$A$332:$A$448,Summaries!$A98)</f>
        <v>0</v>
      </c>
      <c r="DH98" s="80">
        <f>SUMIFS('GSTR 1'!$J$332:$J$448,'GSTR 1'!$M$332:$M$448,Summaries!$A$73,'GSTR 1'!$A$332:$A$448,Summaries!$A98)</f>
        <v>0</v>
      </c>
      <c r="DI98" s="80">
        <f>SUMIFS('GSTR 1'!$K$332:$K$448,'GSTR 1'!$M$332:$M$448,Summaries!$A$73,'GSTR 1'!$A$332:$A$448,Summaries!$A98)</f>
        <v>0</v>
      </c>
      <c r="DJ98" s="79">
        <f>SUMIFS('GSTR 1'!$E$332:$E$448,'GSTR 1'!$M$332:$M$448,Summaries!$A$74,'GSTR 1'!$A$332:$A$448,Summaries!$A98)</f>
        <v>0</v>
      </c>
      <c r="DK98" s="79">
        <f>SUMIFS('GSTR 1'!$F$332:$F$448,'GSTR 1'!$M$332:$M$448,Summaries!$A$74,'GSTR 1'!$A$332:$A$448,Summaries!$A98)</f>
        <v>0</v>
      </c>
      <c r="DL98" s="79">
        <f>SUMIFS('GSTR 1'!$G$332:$G$448,'GSTR 1'!$M$332:$M$448,Summaries!$A$74,'GSTR 1'!$A$332:$A$448,Summaries!$A98)</f>
        <v>0</v>
      </c>
      <c r="DM98" s="79">
        <f>SUMIFS('GSTR 1'!$H$332:$H$448,'GSTR 1'!$M$332:$M$448,Summaries!$A$74,'GSTR 1'!$A$332:$A$448,Summaries!$A98)</f>
        <v>0</v>
      </c>
      <c r="DN98" s="79">
        <f>SUMIFS('GSTR 1'!$I$332:$I$448,'GSTR 1'!$M$332:$M$448,Summaries!$A$74,'GSTR 1'!$A$332:$A$448,Summaries!$A98)</f>
        <v>0</v>
      </c>
      <c r="DO98" s="79">
        <f>SUMIFS('GSTR 1'!$J$332:$J$448,'GSTR 1'!$M$332:$M$448,Summaries!$A$74,'GSTR 1'!$A$332:$A$448,Summaries!$A98)</f>
        <v>0</v>
      </c>
      <c r="DP98" s="79">
        <f>SUMIFS('GSTR 1'!$K$332:$K$448,'GSTR 1'!$M$332:$M$448,Summaries!$A$74,'GSTR 1'!$A$332:$A$448,Summaries!$A98)</f>
        <v>0</v>
      </c>
      <c r="DQ98" s="80">
        <f>SUMIFS('GSTR 1'!$E$332:$E$448,'GSTR 1'!$M$332:$M$448,Summaries!$A$75,'GSTR 1'!$A$332:$A$448,Summaries!$A98)</f>
        <v>0</v>
      </c>
      <c r="DR98" s="80">
        <f>SUMIFS('GSTR 1'!$F$332:$F$448,'GSTR 1'!$M$332:$M$448,Summaries!$A$75,'GSTR 1'!$A$332:$A$448,Summaries!$A98)</f>
        <v>0</v>
      </c>
      <c r="DS98" s="80">
        <f>SUMIFS('GSTR 1'!$G$332:$G$448,'GSTR 1'!$M$332:$M$448,Summaries!$A$75,'GSTR 1'!$A$332:$A$448,Summaries!$A98)</f>
        <v>0</v>
      </c>
      <c r="DT98" s="80">
        <f>SUMIFS('GSTR 1'!$H$332:$H$448,'GSTR 1'!$M$332:$M$448,Summaries!$A$75,'GSTR 1'!$A$332:$A$448,Summaries!$A98)</f>
        <v>0</v>
      </c>
      <c r="DU98" s="80">
        <f>SUMIFS('GSTR 1'!$I$332:$I$448,'GSTR 1'!$M$332:$M$448,Summaries!$A$75,'GSTR 1'!$A$332:$A$448,Summaries!$A98)</f>
        <v>0</v>
      </c>
      <c r="DV98" s="80">
        <f>SUMIFS('GSTR 1'!$J$332:$J$448,'GSTR 1'!$M$332:$M$448,Summaries!$A$75,'GSTR 1'!$A$332:$A$448,Summaries!$A98)</f>
        <v>0</v>
      </c>
      <c r="DW98" s="80">
        <f>SUMIFS('GSTR 1'!$K$332:$K$448,'GSTR 1'!$M$332:$M$448,Summaries!$A$75,'GSTR 1'!$A$332:$A$448,Summaries!$A98)</f>
        <v>0</v>
      </c>
      <c r="DX98" s="79">
        <f>SUMIFS('GSTR 1'!$E$332:$E$448,'GSTR 1'!$M$332:$M$448,Summaries!$A$76,'GSTR 1'!$A$332:$A$448,Summaries!$A98)</f>
        <v>0</v>
      </c>
      <c r="DY98" s="79">
        <f>SUMIFS('GSTR 1'!$F$332:$F$448,'GSTR 1'!$M$332:$M$448,Summaries!$A$76,'GSTR 1'!$A$332:$A$448,Summaries!$A98)</f>
        <v>0</v>
      </c>
      <c r="DZ98" s="79">
        <f>SUMIFS('GSTR 1'!$G$332:$G$448,'GSTR 1'!$M$332:$M$448,Summaries!$A$76,'GSTR 1'!$A$332:$A$448,Summaries!$A98)</f>
        <v>0</v>
      </c>
      <c r="EA98" s="79">
        <f>SUMIFS('GSTR 1'!$H$332:$H$448,'GSTR 1'!$M$332:$M$448,Summaries!$A$76,'GSTR 1'!$A$332:$A$448,Summaries!$A98)</f>
        <v>0</v>
      </c>
      <c r="EB98" s="79">
        <f>SUMIFS('GSTR 1'!$I$332:$I$448,'GSTR 1'!$M$332:$M$448,Summaries!$A$76,'GSTR 1'!$A$332:$A$448,Summaries!$A98)</f>
        <v>0</v>
      </c>
      <c r="EC98" s="79">
        <f>SUMIFS('GSTR 1'!$J$332:$J$448,'GSTR 1'!$M$332:$M$448,Summaries!$A$76,'GSTR 1'!$A$332:$A$448,Summaries!$A98)</f>
        <v>0</v>
      </c>
      <c r="ED98" s="79">
        <f>SUMIFS('GSTR 1'!$K$332:$K$448,'GSTR 1'!$M$332:$M$448,Summaries!$A$76,'GSTR 1'!$A$332:$A$448,Summaries!$A98)</f>
        <v>0</v>
      </c>
      <c r="EE98" s="80">
        <f>SUMIFS('GSTR 1'!$E$332:$E$448,'GSTR 1'!$M$332:$M$448,Summaries!$A$77,'GSTR 1'!$A$332:$A$448,Summaries!$A98)</f>
        <v>0</v>
      </c>
      <c r="EF98" s="80">
        <f>SUMIFS('GSTR 1'!$F$332:$F$448,'GSTR 1'!$M$332:$M$448,Summaries!$A$77,'GSTR 1'!$A$332:$A$448,Summaries!$A98)</f>
        <v>0</v>
      </c>
      <c r="EG98" s="80">
        <f>SUMIFS('GSTR 1'!$G$332:$G$448,'GSTR 1'!$M$332:$M$448,Summaries!$A$77,'GSTR 1'!$A$332:$A$448,Summaries!$A98)</f>
        <v>0</v>
      </c>
      <c r="EH98" s="80">
        <f>SUMIFS('GSTR 1'!$H$332:$H$448,'GSTR 1'!$M$332:$M$448,Summaries!$A$77,'GSTR 1'!$A$332:$A$448,Summaries!$A98)</f>
        <v>0</v>
      </c>
      <c r="EI98" s="80">
        <f>SUMIFS('GSTR 1'!$I$332:$I$448,'GSTR 1'!$M$332:$M$448,Summaries!$A$77,'GSTR 1'!$A$332:$A$448,Summaries!$A98)</f>
        <v>0</v>
      </c>
      <c r="EJ98" s="80">
        <f>SUMIFS('GSTR 1'!$J$332:$J$448,'GSTR 1'!$M$332:$M$448,Summaries!$A$77,'GSTR 1'!$A$332:$A$448,Summaries!$A98)</f>
        <v>0</v>
      </c>
      <c r="EK98" s="80">
        <f>SUMIFS('GSTR 1'!$K$332:$K$448,'GSTR 1'!$M$332:$M$448,Summaries!$A$77,'GSTR 1'!$A$332:$A$448,Summaries!$A98)</f>
        <v>0</v>
      </c>
      <c r="EL98" s="79">
        <f>SUMIFS('GSTR 1'!$E$332:$E$448,'GSTR 1'!$M$332:$M$448,Summaries!$A$78,'GSTR 1'!$A$332:$A$448,Summaries!$A98)</f>
        <v>0</v>
      </c>
      <c r="EM98" s="79">
        <f>SUMIFS('GSTR 1'!$F$332:$F$448,'GSTR 1'!$M$332:$M$448,Summaries!$A$78,'GSTR 1'!$A$332:$A$448,Summaries!$A98)</f>
        <v>0</v>
      </c>
      <c r="EN98" s="79">
        <f>SUMIFS('GSTR 1'!$G$332:$G$448,'GSTR 1'!$M$332:$M$448,Summaries!$A$78,'GSTR 1'!$A$332:$A$448,Summaries!$A98)</f>
        <v>0</v>
      </c>
      <c r="EO98" s="79">
        <f>SUMIFS('GSTR 1'!$H$332:$H$448,'GSTR 1'!$M$332:$M$448,Summaries!$A$78,'GSTR 1'!$A$332:$A$448,Summaries!$A98)</f>
        <v>0</v>
      </c>
      <c r="EP98" s="79">
        <f>SUMIFS('GSTR 1'!$I$332:$I$448,'GSTR 1'!$M$332:$M$448,Summaries!$A$78,'GSTR 1'!$A$332:$A$448,Summaries!$A98)</f>
        <v>0</v>
      </c>
      <c r="EQ98" s="79">
        <f>SUMIFS('GSTR 1'!$J$332:$J$448,'GSTR 1'!$M$332:$M$448,Summaries!$A$78,'GSTR 1'!$A$332:$A$448,Summaries!$A98)</f>
        <v>0</v>
      </c>
      <c r="ER98" s="79">
        <f>SUMIFS('GSTR 1'!$K$332:$K$448,'GSTR 1'!$M$332:$M$448,Summaries!$A$78,'GSTR 1'!$A$332:$A$448,Summaries!$A98)</f>
        <v>0</v>
      </c>
      <c r="ES98" s="80">
        <f>SUMIFS('GSTR 1'!$E$332:$E$448,'GSTR 1'!$M$332:$M$448,Summaries!$A$79,'GSTR 1'!$A$332:$A$448,Summaries!$A98)</f>
        <v>0</v>
      </c>
      <c r="ET98" s="80">
        <f>SUMIFS('GSTR 1'!$F$332:$F$448,'GSTR 1'!$M$332:$M$448,Summaries!$A$79,'GSTR 1'!$A$332:$A$448,Summaries!$A98)</f>
        <v>0</v>
      </c>
      <c r="EU98" s="80">
        <f>SUMIFS('GSTR 1'!$G$332:$G$448,'GSTR 1'!$M$332:$M$448,Summaries!$A$79,'GSTR 1'!$A$332:$A$448,Summaries!$A98)</f>
        <v>0</v>
      </c>
      <c r="EV98" s="80">
        <f>SUMIFS('GSTR 1'!$H$332:$H$448,'GSTR 1'!$M$332:$M$448,Summaries!$A$79,'GSTR 1'!$A$332:$A$448,Summaries!$A98)</f>
        <v>0</v>
      </c>
      <c r="EW98" s="80">
        <f>SUMIFS('GSTR 1'!$I$332:$I$448,'GSTR 1'!$M$332:$M$448,Summaries!$A$79,'GSTR 1'!$A$332:$A$448,Summaries!$A98)</f>
        <v>0</v>
      </c>
      <c r="EX98" s="80">
        <f>SUMIFS('GSTR 1'!$J$332:$J$448,'GSTR 1'!$M$332:$M$448,Summaries!$A$79,'GSTR 1'!$A$332:$A$448,Summaries!$A98)</f>
        <v>0</v>
      </c>
      <c r="EY98" s="80">
        <f>SUMIFS('GSTR 1'!$K$332:$K$448,'GSTR 1'!$M$332:$M$448,Summaries!$A$79,'GSTR 1'!$A$332:$A$448,Summaries!$A98)</f>
        <v>0</v>
      </c>
      <c r="EZ98" s="79">
        <f>SUMIFS('GSTR 1'!$E$332:$E$448,'GSTR 1'!$M$332:$M$448,Summaries!$A$80,'GSTR 1'!$A$332:$A$448,Summaries!$A98)</f>
        <v>0</v>
      </c>
      <c r="FA98" s="79">
        <f>SUMIFS('GSTR 1'!$F$332:$F$448,'GSTR 1'!$M$332:$M$448,Summaries!$A$80,'GSTR 1'!$A$332:$A$448,Summaries!$A98)</f>
        <v>0</v>
      </c>
      <c r="FB98" s="79">
        <f>SUMIFS('GSTR 1'!$G$332:$G$448,'GSTR 1'!$M$332:$M$448,Summaries!$A$80,'GSTR 1'!$A$332:$A$448,Summaries!$A98)</f>
        <v>0</v>
      </c>
      <c r="FC98" s="79">
        <f>SUMIFS('GSTR 1'!$H$332:$H$448,'GSTR 1'!$M$332:$M$448,Summaries!$A$80,'GSTR 1'!$A$332:$A$448,Summaries!$A98)</f>
        <v>0</v>
      </c>
      <c r="FD98" s="79">
        <f>SUMIFS('GSTR 1'!$I$332:$I$448,'GSTR 1'!$M$332:$M$448,Summaries!$A$80,'GSTR 1'!$A$332:$A$448,Summaries!$A98)</f>
        <v>0</v>
      </c>
      <c r="FE98" s="79">
        <f>SUMIFS('GSTR 1'!$J$332:$J$448,'GSTR 1'!$M$332:$M$448,Summaries!$A$80,'GSTR 1'!$A$332:$A$448,Summaries!$A98)</f>
        <v>0</v>
      </c>
      <c r="FF98" s="79">
        <f>SUMIFS('GSTR 1'!$K$332:$K$448,'GSTR 1'!$M$332:$M$448,Summaries!$A$80,'GSTR 1'!$A$332:$A$448,Summaries!$A98)</f>
        <v>0</v>
      </c>
      <c r="FG98" s="80">
        <f>SUMIFS('GSTR 1'!$E$332:$E$448,'GSTR 1'!$M$332:$M$448,Summaries!$A$81,'GSTR 1'!$A$332:$A$448,Summaries!$A98)</f>
        <v>0</v>
      </c>
      <c r="FH98" s="80">
        <f>SUMIFS('GSTR 1'!$F$332:$F$448,'GSTR 1'!$M$332:$M$448,Summaries!$A$81,'GSTR 1'!$A$332:$A$448,Summaries!$A98)</f>
        <v>0</v>
      </c>
      <c r="FI98" s="80">
        <f>SUMIFS('GSTR 1'!$G$332:$G$448,'GSTR 1'!$M$332:$M$448,Summaries!$A$81,'GSTR 1'!$A$332:$A$448,Summaries!$A98)</f>
        <v>0</v>
      </c>
      <c r="FJ98" s="80">
        <f>SUMIFS('GSTR 1'!$H$332:$H$448,'GSTR 1'!$M$332:$M$448,Summaries!$A$81,'GSTR 1'!$A$332:$A$448,Summaries!$A98)</f>
        <v>0</v>
      </c>
      <c r="FK98" s="80">
        <f>SUMIFS('GSTR 1'!$I$332:$I$448,'GSTR 1'!$M$332:$M$448,Summaries!$A$81,'GSTR 1'!$A$332:$A$448,Summaries!$A98)</f>
        <v>0</v>
      </c>
      <c r="FL98" s="80">
        <f>SUMIFS('GSTR 1'!$J$332:$J$448,'GSTR 1'!$M$332:$M$448,Summaries!$A$81,'GSTR 1'!$A$332:$A$448,Summaries!$A98)</f>
        <v>0</v>
      </c>
      <c r="FM98" s="80">
        <f>SUMIFS('GSTR 1'!$K$332:$K$448,'GSTR 1'!$M$332:$M$448,Summaries!$A$81,'GSTR 1'!$A$332:$A$448,Summaries!$A98)</f>
        <v>0</v>
      </c>
      <c r="FN98" s="79">
        <f>SUMIFS('GSTR 1'!$E$332:$E$448,'GSTR 1'!$M$332:$M$448,Summaries!$A$82,'GSTR 1'!$A$332:$A$448,Summaries!$A98)</f>
        <v>0</v>
      </c>
      <c r="FO98" s="79">
        <f>SUMIFS('GSTR 1'!$F$332:$F$448,'GSTR 1'!$M$332:$M$448,Summaries!$A$82,'GSTR 1'!$A$332:$A$448,Summaries!$A98)</f>
        <v>0</v>
      </c>
      <c r="FP98" s="79">
        <f>SUMIFS('GSTR 1'!$G$332:$G$448,'GSTR 1'!$M$332:$M$448,Summaries!$A$82,'GSTR 1'!$A$332:$A$448,Summaries!$A98)</f>
        <v>0</v>
      </c>
      <c r="FQ98" s="79">
        <f>SUMIFS('GSTR 1'!$H$332:$H$448,'GSTR 1'!$M$332:$M$448,Summaries!$A$82,'GSTR 1'!$A$332:$A$448,Summaries!$A98)</f>
        <v>0</v>
      </c>
      <c r="FR98" s="79">
        <f>SUMIFS('GSTR 1'!$I$332:$I$448,'GSTR 1'!$M$332:$M$448,Summaries!$A$82,'GSTR 1'!$A$332:$A$448,Summaries!$A98)</f>
        <v>0</v>
      </c>
      <c r="FS98" s="79">
        <f>SUMIFS('GSTR 1'!$J$332:$J$448,'GSTR 1'!$M$332:$M$448,Summaries!$A$82,'GSTR 1'!$A$332:$A$448,Summaries!$A98)</f>
        <v>0</v>
      </c>
      <c r="FT98" s="79">
        <f>SUMIFS('GSTR 1'!$K$332:$K$448,'GSTR 1'!$M$332:$M$448,Summaries!$A$82,'GSTR 1'!$A$332:$A$448,Summaries!$A98)</f>
        <v>0</v>
      </c>
      <c r="FU98" s="80">
        <f>SUMIFS('GSTR 1'!$E$332:$E$448,'GSTR 1'!$M$332:$M$448,Summaries!$A$83,'GSTR 1'!$A$332:$A$448,Summaries!$A98)</f>
        <v>0</v>
      </c>
      <c r="FV98" s="80">
        <f>SUMIFS('GSTR 1'!$F$332:$F$448,'GSTR 1'!$M$332:$M$448,Summaries!$A$83,'GSTR 1'!$A$332:$A$448,Summaries!$A98)</f>
        <v>0</v>
      </c>
      <c r="FW98" s="80">
        <f>SUMIFS('GSTR 1'!$G$332:$G$448,'GSTR 1'!$M$332:$M$448,Summaries!$A$83,'GSTR 1'!$A$332:$A$448,Summaries!$A98)</f>
        <v>0</v>
      </c>
      <c r="FX98" s="80">
        <f>SUMIFS('GSTR 1'!$H$332:$H$448,'GSTR 1'!$M$332:$M$448,Summaries!$A$83,'GSTR 1'!$A$332:$A$448,Summaries!$A98)</f>
        <v>0</v>
      </c>
      <c r="FY98" s="80">
        <f>SUMIFS('GSTR 1'!$I$332:$I$448,'GSTR 1'!$M$332:$M$448,Summaries!$A$83,'GSTR 1'!$A$332:$A$448,Summaries!$A98)</f>
        <v>0</v>
      </c>
      <c r="FZ98" s="80">
        <f>SUMIFS('GSTR 1'!$J$332:$J$448,'GSTR 1'!$M$332:$M$448,Summaries!$A$83,'GSTR 1'!$A$332:$A$448,Summaries!$A98)</f>
        <v>0</v>
      </c>
      <c r="GA98" s="80">
        <f>SUMIFS('GSTR 1'!$K$332:$K$448,'GSTR 1'!$M$332:$M$448,Summaries!$A$83,'GSTR 1'!$A$332:$A$448,Summaries!$A98)</f>
        <v>0</v>
      </c>
      <c r="GB98" s="79">
        <f>SUMIFS('GSTR 1'!$E$332:$E$448,'GSTR 1'!$M$332:$M$448,Summaries!$A$84,'GSTR 1'!$A$332:$A$448,Summaries!$A98)</f>
        <v>0</v>
      </c>
      <c r="GC98" s="79">
        <f>SUMIFS('GSTR 1'!$F$332:$F$448,'GSTR 1'!$M$332:$M$448,Summaries!$A$84,'GSTR 1'!$A$332:$A$448,Summaries!$A98)</f>
        <v>0</v>
      </c>
      <c r="GD98" s="79">
        <f>SUMIFS('GSTR 1'!$G$332:$G$448,'GSTR 1'!$M$332:$M$448,Summaries!$A$84,'GSTR 1'!$A$332:$A$448,Summaries!$A98)</f>
        <v>0</v>
      </c>
      <c r="GE98" s="79">
        <f>SUMIFS('GSTR 1'!$H$332:$H$448,'GSTR 1'!$M$332:$M$448,Summaries!$A$84,'GSTR 1'!$A$332:$A$448,Summaries!$A98)</f>
        <v>0</v>
      </c>
      <c r="GF98" s="79">
        <f>SUMIFS('GSTR 1'!$I$332:$I$448,'GSTR 1'!$M$332:$M$448,Summaries!$A$84,'GSTR 1'!$A$332:$A$448,Summaries!$A98)</f>
        <v>0</v>
      </c>
      <c r="GG98" s="79">
        <f>SUMIFS('GSTR 1'!$J$332:$J$448,'GSTR 1'!$M$332:$M$448,Summaries!$A$84,'GSTR 1'!$A$332:$A$448,Summaries!$A98)</f>
        <v>0</v>
      </c>
      <c r="GH98" s="79">
        <f>SUMIFS('GSTR 1'!$K$332:$K$448,'GSTR 1'!$M$332:$M$448,Summaries!$A$84,'GSTR 1'!$A$332:$A$448,Summaries!$A98)</f>
        <v>0</v>
      </c>
      <c r="GI98" s="80">
        <f>SUMIFS('GSTR 1'!$E$332:$E$448,'GSTR 1'!$M$332:$M$448,Summaries!$A$85,'GSTR 1'!$A$332:$A$448,Summaries!$A98)</f>
        <v>0</v>
      </c>
      <c r="GJ98" s="80">
        <f>SUMIFS('GSTR 1'!$F$332:$F$448,'GSTR 1'!$M$332:$M$448,Summaries!$A$85,'GSTR 1'!$A$332:$A$448,Summaries!$A98)</f>
        <v>0</v>
      </c>
      <c r="GK98" s="80">
        <f>SUMIFS('GSTR 1'!$G$332:$G$448,'GSTR 1'!$M$332:$M$448,Summaries!$A$85,'GSTR 1'!$A$332:$A$448,Summaries!$A98)</f>
        <v>0</v>
      </c>
      <c r="GL98" s="80">
        <f>SUMIFS('GSTR 1'!$H$332:$H$448,'GSTR 1'!$M$332:$M$448,Summaries!$A$85,'GSTR 1'!$A$332:$A$448,Summaries!$A98)</f>
        <v>0</v>
      </c>
      <c r="GM98" s="80">
        <f>SUMIFS('GSTR 1'!$I$332:$I$448,'GSTR 1'!$M$332:$M$448,Summaries!$A$85,'GSTR 1'!$A$332:$A$448,Summaries!$A98)</f>
        <v>0</v>
      </c>
      <c r="GN98" s="80">
        <f>SUMIFS('GSTR 1'!$J$332:$J$448,'GSTR 1'!$M$332:$M$448,Summaries!$A$85,'GSTR 1'!$A$332:$A$448,Summaries!$A98)</f>
        <v>0</v>
      </c>
      <c r="GO98" s="80">
        <f>SUMIFS('GSTR 1'!$K$332:$K$448,'GSTR 1'!$M$332:$M$448,Summaries!$A$85,'GSTR 1'!$A$332:$A$448,Summaries!$A98)</f>
        <v>0</v>
      </c>
      <c r="GP98" s="79">
        <f>SUMIFS('GSTR 1'!$E$332:$E$448,'GSTR 1'!$M$332:$M$448,Summaries!$A$86,'GSTR 1'!$A$332:$A$448,Summaries!$A98)</f>
        <v>0</v>
      </c>
      <c r="GQ98" s="79">
        <f>SUMIFS('GSTR 1'!$F$332:$F$448,'GSTR 1'!$M$332:$M$448,Summaries!$A$86,'GSTR 1'!$A$332:$A$448,Summaries!$A98)</f>
        <v>0</v>
      </c>
      <c r="GR98" s="79">
        <f>SUMIFS('GSTR 1'!$G$332:$G$448,'GSTR 1'!$M$332:$M$448,Summaries!$A$86,'GSTR 1'!$A$332:$A$448,Summaries!$A98)</f>
        <v>0</v>
      </c>
      <c r="GS98" s="79">
        <f>SUMIFS('GSTR 1'!$H$332:$H$448,'GSTR 1'!$M$332:$M$448,Summaries!$A$86,'GSTR 1'!$A$332:$A$448,Summaries!$A98)</f>
        <v>0</v>
      </c>
      <c r="GT98" s="79">
        <f>SUMIFS('GSTR 1'!$I$332:$I$448,'GSTR 1'!$M$332:$M$448,Summaries!$A$86,'GSTR 1'!$A$332:$A$448,Summaries!$A98)</f>
        <v>0</v>
      </c>
      <c r="GU98" s="79">
        <f>SUMIFS('GSTR 1'!$J$332:$J$448,'GSTR 1'!$M$332:$M$448,Summaries!$A$86,'GSTR 1'!$A$332:$A$448,Summaries!$A98)</f>
        <v>0</v>
      </c>
      <c r="GV98" s="79">
        <f>SUMIFS('GSTR 1'!$K$332:$K$448,'GSTR 1'!$M$332:$M$448,Summaries!$A$86,'GSTR 1'!$A$332:$A$448,Summaries!$A98)</f>
        <v>0</v>
      </c>
      <c r="GW98" s="80">
        <f>SUMIFS('GSTR 1'!$E$332:$E$448,'GSTR 1'!$M$332:$M$448,Summaries!$A$87,'GSTR 1'!$A$332:$A$448,Summaries!$A98)</f>
        <v>0</v>
      </c>
      <c r="GX98" s="80">
        <f>SUMIFS('GSTR 1'!$F$332:$F$448,'GSTR 1'!$M$332:$M$448,Summaries!$A$87,'GSTR 1'!$A$332:$A$448,Summaries!$A98)</f>
        <v>0</v>
      </c>
      <c r="GY98" s="80">
        <f>SUMIFS('GSTR 1'!$G$332:$G$448,'GSTR 1'!$M$332:$M$448,Summaries!$A$87,'GSTR 1'!$A$332:$A$448,Summaries!$A98)</f>
        <v>0</v>
      </c>
      <c r="GZ98" s="80">
        <f>SUMIFS('GSTR 1'!$H$332:$H$448,'GSTR 1'!$M$332:$M$448,Summaries!$A$87,'GSTR 1'!$A$332:$A$448,Summaries!$A98)</f>
        <v>0</v>
      </c>
      <c r="HA98" s="80">
        <f>SUMIFS('GSTR 1'!$I$332:$I$448,'GSTR 1'!$M$332:$M$448,Summaries!$A$87,'GSTR 1'!$A$332:$A$448,Summaries!$A98)</f>
        <v>0</v>
      </c>
      <c r="HB98" s="80">
        <f>SUMIFS('GSTR 1'!$J$332:$J$448,'GSTR 1'!$M$332:$M$448,Summaries!$A$87,'GSTR 1'!$A$332:$A$448,Summaries!$A98)</f>
        <v>0</v>
      </c>
      <c r="HC98" s="80">
        <f>SUMIFS('GSTR 1'!$K$332:$K$448,'GSTR 1'!$M$332:$M$448,Summaries!$A$87,'GSTR 1'!$A$332:$A$448,Summaries!$A98)</f>
        <v>0</v>
      </c>
    </row>
    <row r="99" spans="1:211" x14ac:dyDescent="0.3">
      <c r="A99" s="78">
        <f>DATE(INT(LEFT($B$3,4)),5,1)</f>
        <v>45778</v>
      </c>
      <c r="B99" s="79">
        <f>SUMIFS('GSTR 1'!$E$332:$E$448,'GSTR 1'!$M$332:$M$448,Summaries!$A$58,'GSTR 1'!$A$332:$A$448,Summaries!A99)</f>
        <v>0</v>
      </c>
      <c r="C99" s="79">
        <f>SUMIFS('GSTR 1'!$F$332:$F$448,'GSTR 1'!$M$332:$M$448,Summaries!$A$58,'GSTR 1'!$A$332:$A$448,Summaries!A99)</f>
        <v>0</v>
      </c>
      <c r="D99" s="79">
        <f>SUMIFS('GSTR 1'!$G$332:$G$448,'GSTR 1'!$M$332:$M$448,Summaries!$A$58,'GSTR 1'!$A$332:$A$448,Summaries!A99)</f>
        <v>0</v>
      </c>
      <c r="E99" s="79">
        <f>SUMIFS('GSTR 1'!$H$332:$H$448,'GSTR 1'!$M$332:$M$448,Summaries!$A$58,'GSTR 1'!$A$332:$A$448,Summaries!A99)</f>
        <v>0</v>
      </c>
      <c r="F99" s="79">
        <f>SUMIFS('GSTR 1'!$I$332:$I$448,'GSTR 1'!$M$332:$M$448,Summaries!$A$58,'GSTR 1'!$A$332:$A$448,Summaries!A99)</f>
        <v>0</v>
      </c>
      <c r="G99" s="79">
        <f>SUMIFS('GSTR 1'!$J$332:$J$448,'GSTR 1'!$M$332:$M$448,Summaries!$A$58,'GSTR 1'!$A$332:$A$448,Summaries!A99)</f>
        <v>0</v>
      </c>
      <c r="H99" s="79">
        <f>SUMIFS('GSTR 1'!$K$332:$K$448,'GSTR 1'!$M$332:$M$448,Summaries!$A$58,'GSTR 1'!$A$332:$A$448,Summaries!A99)</f>
        <v>0</v>
      </c>
      <c r="I99" s="80">
        <f>SUMIFS('GSTR 1'!$E$332:$E$448,'GSTR 1'!$M$332:$M$448,Summaries!$A$59,'GSTR 1'!$A$332:$A$448,Summaries!$A99)</f>
        <v>0</v>
      </c>
      <c r="J99" s="80">
        <f>SUMIFS('GSTR 1'!$F$332:$F$448,'GSTR 1'!$M$332:$M$448,Summaries!$A$59,'GSTR 1'!$A$332:$A$448,Summaries!$A99)</f>
        <v>0</v>
      </c>
      <c r="K99" s="80">
        <f>SUMIFS('GSTR 1'!$G$332:$G$448,'GSTR 1'!$M$332:$M$448,Summaries!$A$59,'GSTR 1'!$A$332:$A$448,Summaries!$A99)</f>
        <v>0</v>
      </c>
      <c r="L99" s="80">
        <f>SUMIFS('GSTR 1'!$H$332:$H$448,'GSTR 1'!$M$332:$M$448,Summaries!$A$59,'GSTR 1'!$A$332:$A$448,Summaries!$A99)</f>
        <v>0</v>
      </c>
      <c r="M99" s="80">
        <f>SUMIFS('GSTR 1'!$I$332:$I$448,'GSTR 1'!$M$332:$M$448,Summaries!$A$59,'GSTR 1'!$A$332:$A$448,Summaries!$A99)</f>
        <v>0</v>
      </c>
      <c r="N99" s="80">
        <f>SUMIFS('GSTR 1'!$J$332:$J$448,'GSTR 1'!$M$332:$M$448,Summaries!$A$59,'GSTR 1'!$A$332:$A$448,Summaries!$A99)</f>
        <v>0</v>
      </c>
      <c r="O99" s="80">
        <f>SUMIFS('GSTR 1'!$K$332:$K$448,'GSTR 1'!$M$332:$M$448,Summaries!$A$59,'GSTR 1'!$A$332:$A$448,Summaries!$A99)</f>
        <v>0</v>
      </c>
      <c r="P99" s="79">
        <f>SUMIFS('GSTR 1'!$E$332:$E$448,'GSTR 1'!$M$332:$M$448,Summaries!$A$60,'GSTR 1'!$A$332:$A$448,Summaries!$A99)</f>
        <v>0</v>
      </c>
      <c r="Q99" s="79">
        <f>SUMIFS('GSTR 1'!$F$332:$F$448,'GSTR 1'!$M$332:$M$448,Summaries!$A$60,'GSTR 1'!$A$332:$A$448,Summaries!$A99)</f>
        <v>0</v>
      </c>
      <c r="R99" s="79">
        <f>SUMIFS('GSTR 1'!$G$332:$G$448,'GSTR 1'!$M$332:$M$448,Summaries!$A$60,'GSTR 1'!$A$332:$A$448,Summaries!$A99)</f>
        <v>0</v>
      </c>
      <c r="S99" s="79">
        <f>SUMIFS('GSTR 1'!$H$332:$H$448,'GSTR 1'!$M$332:$M$448,Summaries!$A$60,'GSTR 1'!$A$332:$A$448,Summaries!$A99)</f>
        <v>0</v>
      </c>
      <c r="T99" s="79">
        <f>SUMIFS('GSTR 1'!$I$332:$I$448,'GSTR 1'!$M$332:$M$448,Summaries!$A$60,'GSTR 1'!$A$332:$A$448,Summaries!$A99)</f>
        <v>0</v>
      </c>
      <c r="U99" s="79">
        <f>SUMIFS('GSTR 1'!$J$332:$J$448,'GSTR 1'!$M$332:$M$448,Summaries!$A$60,'GSTR 1'!$A$332:$A$448,Summaries!$A99)</f>
        <v>0</v>
      </c>
      <c r="V99" s="79">
        <f>SUMIFS('GSTR 1'!$K$332:$K$448,'GSTR 1'!$M$332:$M$448,Summaries!$A$60,'GSTR 1'!$A$332:$A$448,Summaries!$A99)</f>
        <v>0</v>
      </c>
      <c r="W99" s="80">
        <f>SUMIFS('GSTR 1'!$E$332:$E$448,'GSTR 1'!$M$332:$M$448,Summaries!$A$61,'GSTR 1'!$A$332:$A$448,Summaries!$A99)</f>
        <v>0</v>
      </c>
      <c r="X99" s="80">
        <f>SUMIFS('GSTR 1'!$F$332:$F$448,'GSTR 1'!$M$332:$M$448,Summaries!$A$61,'GSTR 1'!$A$332:$A$448,Summaries!$A99)</f>
        <v>0</v>
      </c>
      <c r="Y99" s="80">
        <f>SUMIFS('GSTR 1'!$G$332:$G$448,'GSTR 1'!$M$332:$M$448,Summaries!$A$61,'GSTR 1'!$A$332:$A$448,Summaries!$A99)</f>
        <v>0</v>
      </c>
      <c r="Z99" s="80">
        <f>SUMIFS('GSTR 1'!$H$332:$H$448,'GSTR 1'!$M$332:$M$448,Summaries!$A$61,'GSTR 1'!$A$332:$A$448,Summaries!$A99)</f>
        <v>0</v>
      </c>
      <c r="AA99" s="80">
        <f>SUMIFS('GSTR 1'!$I$332:$I$448,'GSTR 1'!$M$332:$M$448,Summaries!$A$61,'GSTR 1'!$A$332:$A$448,Summaries!$A99)</f>
        <v>0</v>
      </c>
      <c r="AB99" s="80">
        <f>SUMIFS('GSTR 1'!$J$332:$J$448,'GSTR 1'!$M$332:$M$448,Summaries!$A$61,'GSTR 1'!$A$332:$A$448,Summaries!$A99)</f>
        <v>0</v>
      </c>
      <c r="AC99" s="80">
        <f>SUMIFS('GSTR 1'!$K$332:$K$448,'GSTR 1'!$M$332:$M$448,Summaries!$A$61,'GSTR 1'!$A$332:$A$448,Summaries!$A99)</f>
        <v>0</v>
      </c>
      <c r="AD99" s="79">
        <f>SUMIFS('GSTR 1'!$E$332:$E$448,'GSTR 1'!$M$332:$M$448,Summaries!$A$62,'GSTR 1'!$A$332:$A$448,Summaries!$A99)</f>
        <v>0</v>
      </c>
      <c r="AE99" s="79">
        <f>SUMIFS('GSTR 1'!$F$332:$F$448,'GSTR 1'!$M$332:$M$448,Summaries!$A$62,'GSTR 1'!$A$332:$A$448,Summaries!$A99)</f>
        <v>0</v>
      </c>
      <c r="AF99" s="79">
        <f>SUMIFS('GSTR 1'!$G$332:$G$448,'GSTR 1'!$M$332:$M$448,Summaries!$A$62,'GSTR 1'!$A$332:$A$448,Summaries!$A99)</f>
        <v>0</v>
      </c>
      <c r="AG99" s="79">
        <f>SUMIFS('GSTR 1'!$H$332:$H$448,'GSTR 1'!$M$332:$M$448,Summaries!$A$62,'GSTR 1'!$A$332:$A$448,Summaries!$A99)</f>
        <v>0</v>
      </c>
      <c r="AH99" s="79">
        <f>SUMIFS('GSTR 1'!$I$332:$I$448,'GSTR 1'!$M$332:$M$448,Summaries!$A$62,'GSTR 1'!$A$332:$A$448,Summaries!$A99)</f>
        <v>0</v>
      </c>
      <c r="AI99" s="79">
        <f>SUMIFS('GSTR 1'!$J$332:$J$448,'GSTR 1'!$M$332:$M$448,Summaries!$A$62,'GSTR 1'!$A$332:$A$448,Summaries!$A99)</f>
        <v>0</v>
      </c>
      <c r="AJ99" s="79">
        <f>SUMIFS('GSTR 1'!$K$332:$K$448,'GSTR 1'!$M$332:$M$448,Summaries!$A$62,'GSTR 1'!$A$332:$A$448,Summaries!$A99)</f>
        <v>0</v>
      </c>
      <c r="AK99" s="80">
        <f>SUMIFS('GSTR 1'!$E$332:$E$448,'GSTR 1'!$M$332:$M$448,Summaries!$A$63,'GSTR 1'!$A$332:$A$448,Summaries!$A99)</f>
        <v>0</v>
      </c>
      <c r="AL99" s="80">
        <f>SUMIFS('GSTR 1'!$F$332:$F$448,'GSTR 1'!$M$332:$M$448,Summaries!$A$63,'GSTR 1'!$A$332:$A$448,Summaries!$A99)</f>
        <v>0</v>
      </c>
      <c r="AM99" s="80">
        <f>SUMIFS('GSTR 1'!$G$332:$G$448,'GSTR 1'!$M$332:$M$448,Summaries!$A$63,'GSTR 1'!$A$332:$A$448,Summaries!$A99)</f>
        <v>0</v>
      </c>
      <c r="AN99" s="80">
        <f>SUMIFS('GSTR 1'!$H$332:$H$448,'GSTR 1'!$M$332:$M$448,Summaries!$A$63,'GSTR 1'!$A$332:$A$448,Summaries!$A99)</f>
        <v>0</v>
      </c>
      <c r="AO99" s="80">
        <f>SUMIFS('GSTR 1'!$I$332:$I$448,'GSTR 1'!$M$332:$M$448,Summaries!$A$63,'GSTR 1'!$A$332:$A$448,Summaries!$A99)</f>
        <v>0</v>
      </c>
      <c r="AP99" s="80">
        <f>SUMIFS('GSTR 1'!$J$332:$J$448,'GSTR 1'!$M$332:$M$448,Summaries!$A$63,'GSTR 1'!$A$332:$A$448,Summaries!$A99)</f>
        <v>0</v>
      </c>
      <c r="AQ99" s="80">
        <f>SUMIFS('GSTR 1'!$K$332:$K$448,'GSTR 1'!$M$332:$M$448,Summaries!$A$63,'GSTR 1'!$A$332:$A$448,Summaries!$A99)</f>
        <v>0</v>
      </c>
      <c r="AR99" s="79">
        <f>SUMIFS('GSTR 1'!$E$332:$E$448,'GSTR 1'!$M$332:$M$448,Summaries!$A$64,'GSTR 1'!$A$332:$A$448,Summaries!$A99)</f>
        <v>0</v>
      </c>
      <c r="AS99" s="79">
        <f>SUMIFS('GSTR 1'!$F$332:$F$448,'GSTR 1'!$M$332:$M$448,Summaries!$A$64,'GSTR 1'!$A$332:$A$448,Summaries!$A99)</f>
        <v>0</v>
      </c>
      <c r="AT99" s="79">
        <f>SUMIFS('GSTR 1'!$G$332:$G$448,'GSTR 1'!$M$332:$M$448,Summaries!$A$64,'GSTR 1'!$A$332:$A$448,Summaries!$A99)</f>
        <v>0</v>
      </c>
      <c r="AU99" s="79">
        <f>SUMIFS('GSTR 1'!$H$332:$H$448,'GSTR 1'!$M$332:$M$448,Summaries!$A$64,'GSTR 1'!$A$332:$A$448,Summaries!$A99)</f>
        <v>0</v>
      </c>
      <c r="AV99" s="79">
        <f>SUMIFS('GSTR 1'!$I$332:$I$448,'GSTR 1'!$M$332:$M$448,Summaries!$A$64,'GSTR 1'!$A$332:$A$448,Summaries!$A99)</f>
        <v>0</v>
      </c>
      <c r="AW99" s="79">
        <f>SUMIFS('GSTR 1'!$J$332:$J$448,'GSTR 1'!$M$332:$M$448,Summaries!$A$64,'GSTR 1'!$A$332:$A$448,Summaries!$A99)</f>
        <v>0</v>
      </c>
      <c r="AX99" s="79">
        <f>SUMIFS('GSTR 1'!$K$332:$K$448,'GSTR 1'!$M$332:$M$448,Summaries!$A$64,'GSTR 1'!$A$332:$A$448,Summaries!$A99)</f>
        <v>0</v>
      </c>
      <c r="AY99" s="80">
        <f>SUMIFS('GSTR 1'!$E$332:$E$448,'GSTR 1'!$M$332:$M$448,Summaries!$A$65,'GSTR 1'!$A$332:$A$448,Summaries!$A99)</f>
        <v>0</v>
      </c>
      <c r="AZ99" s="80">
        <f>SUMIFS('GSTR 1'!$F$332:$F$448,'GSTR 1'!$M$332:$M$448,Summaries!$A$65,'GSTR 1'!$A$332:$A$448,Summaries!$A99)</f>
        <v>0</v>
      </c>
      <c r="BA99" s="80">
        <f>SUMIFS('GSTR 1'!$G$332:$G$448,'GSTR 1'!$M$332:$M$448,Summaries!$A$65,'GSTR 1'!$A$332:$A$448,Summaries!$A99)</f>
        <v>0</v>
      </c>
      <c r="BB99" s="80">
        <f>SUMIFS('GSTR 1'!$H$332:$H$448,'GSTR 1'!$M$332:$M$448,Summaries!$A$65,'GSTR 1'!$A$332:$A$448,Summaries!$A99)</f>
        <v>0</v>
      </c>
      <c r="BC99" s="80">
        <f>SUMIFS('GSTR 1'!$I$332:$I$448,'GSTR 1'!$M$332:$M$448,Summaries!$A$65,'GSTR 1'!$A$332:$A$448,Summaries!$A99)</f>
        <v>0</v>
      </c>
      <c r="BD99" s="80">
        <f>SUMIFS('GSTR 1'!$J$332:$J$448,'GSTR 1'!$M$332:$M$448,Summaries!$A$65,'GSTR 1'!$A$332:$A$448,Summaries!$A99)</f>
        <v>0</v>
      </c>
      <c r="BE99" s="80">
        <f>SUMIFS('GSTR 1'!$K$332:$K$448,'GSTR 1'!$M$332:$M$448,Summaries!$A$65,'GSTR 1'!$A$332:$A$448,Summaries!$A99)</f>
        <v>0</v>
      </c>
      <c r="BF99" s="79">
        <f>SUMIFS('GSTR 1'!$E$332:$E$448,'GSTR 1'!$M$332:$M$448,Summaries!$A$66,'GSTR 1'!$A$332:$A$448,Summaries!$A99)</f>
        <v>0</v>
      </c>
      <c r="BG99" s="79">
        <f>SUMIFS('GSTR 1'!$F$332:$F$448,'GSTR 1'!$M$332:$M$448,Summaries!$A$66,'GSTR 1'!$A$332:$A$448,Summaries!$A99)</f>
        <v>0</v>
      </c>
      <c r="BH99" s="79">
        <f>SUMIFS('GSTR 1'!$G$332:$G$448,'GSTR 1'!$M$332:$M$448,Summaries!$A$66,'GSTR 1'!$A$332:$A$448,Summaries!$A99)</f>
        <v>0</v>
      </c>
      <c r="BI99" s="79">
        <f>SUMIFS('GSTR 1'!$H$332:$H$448,'GSTR 1'!$M$332:$M$448,Summaries!$A$66,'GSTR 1'!$A$332:$A$448,Summaries!$A99)</f>
        <v>0</v>
      </c>
      <c r="BJ99" s="79">
        <f>SUMIFS('GSTR 1'!$I$332:$I$448,'GSTR 1'!$M$332:$M$448,Summaries!$A$66,'GSTR 1'!$A$332:$A$448,Summaries!$A99)</f>
        <v>0</v>
      </c>
      <c r="BK99" s="79">
        <f>SUMIFS('GSTR 1'!$J$332:$J$448,'GSTR 1'!$M$332:$M$448,Summaries!$A$66,'GSTR 1'!$A$332:$A$448,Summaries!$A99)</f>
        <v>0</v>
      </c>
      <c r="BL99" s="79">
        <f>SUMIFS('GSTR 1'!$K$332:$K$448,'GSTR 1'!$M$332:$M$448,Summaries!$A$66,'GSTR 1'!$A$332:$A$448,Summaries!$A99)</f>
        <v>0</v>
      </c>
      <c r="BM99" s="80">
        <f>SUMIFS('GSTR 1'!$E$332:$E$448,'GSTR 1'!$M$332:$M$448,Summaries!$A$67,'GSTR 1'!$A$332:$A$448,Summaries!$A99)</f>
        <v>0</v>
      </c>
      <c r="BN99" s="80">
        <f>SUMIFS('GSTR 1'!$F$332:$F$448,'GSTR 1'!$M$332:$M$448,Summaries!$A$67,'GSTR 1'!$A$332:$A$448,Summaries!$A99)</f>
        <v>0</v>
      </c>
      <c r="BO99" s="80">
        <f>SUMIFS('GSTR 1'!$G$332:$G$448,'GSTR 1'!$M$332:$M$448,Summaries!$A$67,'GSTR 1'!$A$332:$A$448,Summaries!$A99)</f>
        <v>0</v>
      </c>
      <c r="BP99" s="80">
        <f>SUMIFS('GSTR 1'!$H$332:$H$448,'GSTR 1'!$M$332:$M$448,Summaries!$A$67,'GSTR 1'!$A$332:$A$448,Summaries!$A99)</f>
        <v>0</v>
      </c>
      <c r="BQ99" s="80">
        <f>SUMIFS('GSTR 1'!$I$332:$I$448,'GSTR 1'!$M$332:$M$448,Summaries!$A$67,'GSTR 1'!$A$332:$A$448,Summaries!$A99)</f>
        <v>0</v>
      </c>
      <c r="BR99" s="80">
        <f>SUMIFS('GSTR 1'!$J$332:$J$448,'GSTR 1'!$M$332:$M$448,Summaries!$A$67,'GSTR 1'!$A$332:$A$448,Summaries!$A99)</f>
        <v>0</v>
      </c>
      <c r="BS99" s="80">
        <f>SUMIFS('GSTR 1'!$K$332:$K$448,'GSTR 1'!$M$332:$M$448,Summaries!$A$67,'GSTR 1'!$A$332:$A$448,Summaries!$A99)</f>
        <v>0</v>
      </c>
      <c r="BT99" s="79">
        <f>SUMIFS('GSTR 1'!$E$332:$E$448,'GSTR 1'!$M$332:$M$448,Summaries!$A$68,'GSTR 1'!$A$332:$A$448,Summaries!$A99)</f>
        <v>0</v>
      </c>
      <c r="BU99" s="79">
        <f>SUMIFS('GSTR 1'!$F$332:$F$448,'GSTR 1'!$M$332:$M$448,Summaries!$A$68,'GSTR 1'!$A$332:$A$448,Summaries!$A99)</f>
        <v>0</v>
      </c>
      <c r="BV99" s="79">
        <f>SUMIFS('GSTR 1'!$G$332:$G$448,'GSTR 1'!$M$332:$M$448,Summaries!$A$68,'GSTR 1'!$A$332:$A$448,Summaries!$A99)</f>
        <v>0</v>
      </c>
      <c r="BW99" s="79">
        <f>SUMIFS('GSTR 1'!$H$332:$H$448,'GSTR 1'!$M$332:$M$448,Summaries!$A$68,'GSTR 1'!$A$332:$A$448,Summaries!$A99)</f>
        <v>0</v>
      </c>
      <c r="BX99" s="79">
        <f>SUMIFS('GSTR 1'!$I$332:$I$448,'GSTR 1'!$M$332:$M$448,Summaries!$A$68,'GSTR 1'!$A$332:$A$448,Summaries!$A99)</f>
        <v>0</v>
      </c>
      <c r="BY99" s="79">
        <f>SUMIFS('GSTR 1'!$J$332:$J$448,'GSTR 1'!$M$332:$M$448,Summaries!$A$68,'GSTR 1'!$A$332:$A$448,Summaries!$A99)</f>
        <v>0</v>
      </c>
      <c r="BZ99" s="79">
        <f>SUMIFS('GSTR 1'!$K$332:$K$448,'GSTR 1'!$M$332:$M$448,Summaries!$A$68,'GSTR 1'!$A$332:$A$448,Summaries!$A99)</f>
        <v>0</v>
      </c>
      <c r="CA99" s="80">
        <f>SUMIFS('GSTR 1'!$E$332:$E$448,'GSTR 1'!$M$332:$M$448,Summaries!$A$69,'GSTR 1'!$A$332:$A$448,Summaries!$A99)</f>
        <v>0</v>
      </c>
      <c r="CB99" s="80">
        <f>SUMIFS('GSTR 1'!$F$332:$F$448,'GSTR 1'!$M$332:$M$448,Summaries!$A$69,'GSTR 1'!$A$332:$A$448,Summaries!$A99)</f>
        <v>0</v>
      </c>
      <c r="CC99" s="80">
        <f>SUMIFS('GSTR 1'!$G$332:$G$448,'GSTR 1'!$M$332:$M$448,Summaries!$A$69,'GSTR 1'!$A$332:$A$448,Summaries!$A99)</f>
        <v>0</v>
      </c>
      <c r="CD99" s="80">
        <f>SUMIFS('GSTR 1'!$H$332:$H$448,'GSTR 1'!$M$332:$M$448,Summaries!$A$69,'GSTR 1'!$A$332:$A$448,Summaries!$A99)</f>
        <v>0</v>
      </c>
      <c r="CE99" s="80">
        <f>SUMIFS('GSTR 1'!$I$332:$I$448,'GSTR 1'!$M$332:$M$448,Summaries!$A$69,'GSTR 1'!$A$332:$A$448,Summaries!$A99)</f>
        <v>0</v>
      </c>
      <c r="CF99" s="80">
        <f>SUMIFS('GSTR 1'!$J$332:$J$448,'GSTR 1'!$M$332:$M$448,Summaries!$A$69,'GSTR 1'!$A$332:$A$448,Summaries!$A99)</f>
        <v>0</v>
      </c>
      <c r="CG99" s="80">
        <f>SUMIFS('GSTR 1'!$K$332:$K$448,'GSTR 1'!$M$332:$M$448,Summaries!$A$69,'GSTR 1'!$A$332:$A$448,Summaries!$A99)</f>
        <v>0</v>
      </c>
      <c r="CH99" s="79">
        <f>SUMIFS('GSTR 1'!$E$332:$E$448,'GSTR 1'!$M$332:$M$448,Summaries!$A$70,'GSTR 1'!$A$332:$A$448,Summaries!$A99)</f>
        <v>0</v>
      </c>
      <c r="CI99" s="79">
        <f>SUMIFS('GSTR 1'!$F$332:$F$448,'GSTR 1'!$M$332:$M$448,Summaries!$A$70,'GSTR 1'!$A$332:$A$448,Summaries!$A99)</f>
        <v>0</v>
      </c>
      <c r="CJ99" s="79">
        <f>SUMIFS('GSTR 1'!$G$332:$G$448,'GSTR 1'!$M$332:$M$448,Summaries!$A$70,'GSTR 1'!$A$332:$A$448,Summaries!$A99)</f>
        <v>0</v>
      </c>
      <c r="CK99" s="79">
        <f>SUMIFS('GSTR 1'!$H$332:$H$448,'GSTR 1'!$M$332:$M$448,Summaries!$A$70,'GSTR 1'!$A$332:$A$448,Summaries!$A99)</f>
        <v>0</v>
      </c>
      <c r="CL99" s="79">
        <f>SUMIFS('GSTR 1'!$I$332:$I$448,'GSTR 1'!$M$332:$M$448,Summaries!$A$70,'GSTR 1'!$A$332:$A$448,Summaries!$A99)</f>
        <v>0</v>
      </c>
      <c r="CM99" s="79">
        <f>SUMIFS('GSTR 1'!$J$332:$J$448,'GSTR 1'!$M$332:$M$448,Summaries!$A$70,'GSTR 1'!$A$332:$A$448,Summaries!$A99)</f>
        <v>0</v>
      </c>
      <c r="CN99" s="79">
        <f>SUMIFS('GSTR 1'!$K$332:$K$448,'GSTR 1'!$M$332:$M$448,Summaries!$A$70,'GSTR 1'!$A$332:$A$448,Summaries!$A99)</f>
        <v>0</v>
      </c>
      <c r="CO99" s="80">
        <f>SUMIFS('GSTR 1'!$E$332:$E$448,'GSTR 1'!$M$332:$M$448,Summaries!$A$71,'GSTR 1'!$A$332:$A$448,Summaries!$A99)</f>
        <v>0</v>
      </c>
      <c r="CP99" s="80">
        <f>SUMIFS('GSTR 1'!$F$332:$F$448,'GSTR 1'!$M$332:$M$448,Summaries!$A$71,'GSTR 1'!$A$332:$A$448,Summaries!$A99)</f>
        <v>0</v>
      </c>
      <c r="CQ99" s="80">
        <f>SUMIFS('GSTR 1'!$G$332:$G$448,'GSTR 1'!$M$332:$M$448,Summaries!$A$71,'GSTR 1'!$A$332:$A$448,Summaries!$A99)</f>
        <v>0</v>
      </c>
      <c r="CR99" s="80">
        <f>SUMIFS('GSTR 1'!$H$332:$H$448,'GSTR 1'!$M$332:$M$448,Summaries!$A$71,'GSTR 1'!$A$332:$A$448,Summaries!$A99)</f>
        <v>0</v>
      </c>
      <c r="CS99" s="80">
        <f>SUMIFS('GSTR 1'!$I$332:$I$448,'GSTR 1'!$M$332:$M$448,Summaries!$A$71,'GSTR 1'!$A$332:$A$448,Summaries!$A99)</f>
        <v>0</v>
      </c>
      <c r="CT99" s="80">
        <f>SUMIFS('GSTR 1'!$J$332:$J$448,'GSTR 1'!$M$332:$M$448,Summaries!$A$71,'GSTR 1'!$A$332:$A$448,Summaries!$A99)</f>
        <v>0</v>
      </c>
      <c r="CU99" s="80">
        <f>SUMIFS('GSTR 1'!$K$332:$K$448,'GSTR 1'!$M$332:$M$448,Summaries!$A$71,'GSTR 1'!$A$332:$A$448,Summaries!$A99)</f>
        <v>0</v>
      </c>
      <c r="CV99" s="79">
        <f>SUMIFS('GSTR 1'!$E$332:$E$448,'GSTR 1'!$M$332:$M$448,Summaries!$A$72,'GSTR 1'!$A$332:$A$448,Summaries!$A99)</f>
        <v>0</v>
      </c>
      <c r="CW99" s="79">
        <f>SUMIFS('GSTR 1'!$F$332:$F$448,'GSTR 1'!$M$332:$M$448,Summaries!$A$72,'GSTR 1'!$A$332:$A$448,Summaries!$A99)</f>
        <v>0</v>
      </c>
      <c r="CX99" s="79">
        <f>SUMIFS('GSTR 1'!$G$332:$G$448,'GSTR 1'!$M$332:$M$448,Summaries!$A$72,'GSTR 1'!$A$332:$A$448,Summaries!$A99)</f>
        <v>0</v>
      </c>
      <c r="CY99" s="79">
        <f>SUMIFS('GSTR 1'!$H$332:$H$448,'GSTR 1'!$M$332:$M$448,Summaries!$A$72,'GSTR 1'!$A$332:$A$448,Summaries!$A99)</f>
        <v>0</v>
      </c>
      <c r="CZ99" s="79">
        <f>SUMIFS('GSTR 1'!$I$332:$I$448,'GSTR 1'!$M$332:$M$448,Summaries!$A$72,'GSTR 1'!$A$332:$A$448,Summaries!$A99)</f>
        <v>0</v>
      </c>
      <c r="DA99" s="79">
        <f>SUMIFS('GSTR 1'!$J$332:$J$448,'GSTR 1'!$M$332:$M$448,Summaries!$A$72,'GSTR 1'!$A$332:$A$448,Summaries!$A99)</f>
        <v>0</v>
      </c>
      <c r="DB99" s="79">
        <f>SUMIFS('GSTR 1'!$K$332:$K$448,'GSTR 1'!$M$332:$M$448,Summaries!$A$72,'GSTR 1'!$A$332:$A$448,Summaries!$A99)</f>
        <v>0</v>
      </c>
      <c r="DC99" s="80">
        <f>SUMIFS('GSTR 1'!$E$332:$E$448,'GSTR 1'!$M$332:$M$448,Summaries!$A$73,'GSTR 1'!$A$332:$A$448,Summaries!$A99)</f>
        <v>0</v>
      </c>
      <c r="DD99" s="80">
        <f>SUMIFS('GSTR 1'!$F$332:$F$448,'GSTR 1'!$M$332:$M$448,Summaries!$A$73,'GSTR 1'!$A$332:$A$448,Summaries!$A99)</f>
        <v>0</v>
      </c>
      <c r="DE99" s="80">
        <f>SUMIFS('GSTR 1'!$G$332:$G$448,'GSTR 1'!$M$332:$M$448,Summaries!$A$73,'GSTR 1'!$A$332:$A$448,Summaries!$A99)</f>
        <v>0</v>
      </c>
      <c r="DF99" s="80">
        <f>SUMIFS('GSTR 1'!$H$332:$H$448,'GSTR 1'!$M$332:$M$448,Summaries!$A$73,'GSTR 1'!$A$332:$A$448,Summaries!$A99)</f>
        <v>0</v>
      </c>
      <c r="DG99" s="80">
        <f>SUMIFS('GSTR 1'!$I$332:$I$448,'GSTR 1'!$M$332:$M$448,Summaries!$A$73,'GSTR 1'!$A$332:$A$448,Summaries!$A99)</f>
        <v>0</v>
      </c>
      <c r="DH99" s="80">
        <f>SUMIFS('GSTR 1'!$J$332:$J$448,'GSTR 1'!$M$332:$M$448,Summaries!$A$73,'GSTR 1'!$A$332:$A$448,Summaries!$A99)</f>
        <v>0</v>
      </c>
      <c r="DI99" s="80">
        <f>SUMIFS('GSTR 1'!$K$332:$K$448,'GSTR 1'!$M$332:$M$448,Summaries!$A$73,'GSTR 1'!$A$332:$A$448,Summaries!$A99)</f>
        <v>0</v>
      </c>
      <c r="DJ99" s="79">
        <f>SUMIFS('GSTR 1'!$E$332:$E$448,'GSTR 1'!$M$332:$M$448,Summaries!$A$74,'GSTR 1'!$A$332:$A$448,Summaries!$A99)</f>
        <v>0</v>
      </c>
      <c r="DK99" s="79">
        <f>SUMIFS('GSTR 1'!$F$332:$F$448,'GSTR 1'!$M$332:$M$448,Summaries!$A$74,'GSTR 1'!$A$332:$A$448,Summaries!$A99)</f>
        <v>0</v>
      </c>
      <c r="DL99" s="79">
        <f>SUMIFS('GSTR 1'!$G$332:$G$448,'GSTR 1'!$M$332:$M$448,Summaries!$A$74,'GSTR 1'!$A$332:$A$448,Summaries!$A99)</f>
        <v>0</v>
      </c>
      <c r="DM99" s="79">
        <f>SUMIFS('GSTR 1'!$H$332:$H$448,'GSTR 1'!$M$332:$M$448,Summaries!$A$74,'GSTR 1'!$A$332:$A$448,Summaries!$A99)</f>
        <v>0</v>
      </c>
      <c r="DN99" s="79">
        <f>SUMIFS('GSTR 1'!$I$332:$I$448,'GSTR 1'!$M$332:$M$448,Summaries!$A$74,'GSTR 1'!$A$332:$A$448,Summaries!$A99)</f>
        <v>0</v>
      </c>
      <c r="DO99" s="79">
        <f>SUMIFS('GSTR 1'!$J$332:$J$448,'GSTR 1'!$M$332:$M$448,Summaries!$A$74,'GSTR 1'!$A$332:$A$448,Summaries!$A99)</f>
        <v>0</v>
      </c>
      <c r="DP99" s="79">
        <f>SUMIFS('GSTR 1'!$K$332:$K$448,'GSTR 1'!$M$332:$M$448,Summaries!$A$74,'GSTR 1'!$A$332:$A$448,Summaries!$A99)</f>
        <v>0</v>
      </c>
      <c r="DQ99" s="80">
        <f>SUMIFS('GSTR 1'!$E$332:$E$448,'GSTR 1'!$M$332:$M$448,Summaries!$A$75,'GSTR 1'!$A$332:$A$448,Summaries!$A99)</f>
        <v>0</v>
      </c>
      <c r="DR99" s="80">
        <f>SUMIFS('GSTR 1'!$F$332:$F$448,'GSTR 1'!$M$332:$M$448,Summaries!$A$75,'GSTR 1'!$A$332:$A$448,Summaries!$A99)</f>
        <v>0</v>
      </c>
      <c r="DS99" s="80">
        <f>SUMIFS('GSTR 1'!$G$332:$G$448,'GSTR 1'!$M$332:$M$448,Summaries!$A$75,'GSTR 1'!$A$332:$A$448,Summaries!$A99)</f>
        <v>0</v>
      </c>
      <c r="DT99" s="80">
        <f>SUMIFS('GSTR 1'!$H$332:$H$448,'GSTR 1'!$M$332:$M$448,Summaries!$A$75,'GSTR 1'!$A$332:$A$448,Summaries!$A99)</f>
        <v>0</v>
      </c>
      <c r="DU99" s="80">
        <f>SUMIFS('GSTR 1'!$I$332:$I$448,'GSTR 1'!$M$332:$M$448,Summaries!$A$75,'GSTR 1'!$A$332:$A$448,Summaries!$A99)</f>
        <v>0</v>
      </c>
      <c r="DV99" s="80">
        <f>SUMIFS('GSTR 1'!$J$332:$J$448,'GSTR 1'!$M$332:$M$448,Summaries!$A$75,'GSTR 1'!$A$332:$A$448,Summaries!$A99)</f>
        <v>0</v>
      </c>
      <c r="DW99" s="80">
        <f>SUMIFS('GSTR 1'!$K$332:$K$448,'GSTR 1'!$M$332:$M$448,Summaries!$A$75,'GSTR 1'!$A$332:$A$448,Summaries!$A99)</f>
        <v>0</v>
      </c>
      <c r="DX99" s="79">
        <f>SUMIFS('GSTR 1'!$E$332:$E$448,'GSTR 1'!$M$332:$M$448,Summaries!$A$76,'GSTR 1'!$A$332:$A$448,Summaries!$A99)</f>
        <v>0</v>
      </c>
      <c r="DY99" s="79">
        <f>SUMIFS('GSTR 1'!$F$332:$F$448,'GSTR 1'!$M$332:$M$448,Summaries!$A$76,'GSTR 1'!$A$332:$A$448,Summaries!$A99)</f>
        <v>0</v>
      </c>
      <c r="DZ99" s="79">
        <f>SUMIFS('GSTR 1'!$G$332:$G$448,'GSTR 1'!$M$332:$M$448,Summaries!$A$76,'GSTR 1'!$A$332:$A$448,Summaries!$A99)</f>
        <v>0</v>
      </c>
      <c r="EA99" s="79">
        <f>SUMIFS('GSTR 1'!$H$332:$H$448,'GSTR 1'!$M$332:$M$448,Summaries!$A$76,'GSTR 1'!$A$332:$A$448,Summaries!$A99)</f>
        <v>0</v>
      </c>
      <c r="EB99" s="79">
        <f>SUMIFS('GSTR 1'!$I$332:$I$448,'GSTR 1'!$M$332:$M$448,Summaries!$A$76,'GSTR 1'!$A$332:$A$448,Summaries!$A99)</f>
        <v>0</v>
      </c>
      <c r="EC99" s="79">
        <f>SUMIFS('GSTR 1'!$J$332:$J$448,'GSTR 1'!$M$332:$M$448,Summaries!$A$76,'GSTR 1'!$A$332:$A$448,Summaries!$A99)</f>
        <v>0</v>
      </c>
      <c r="ED99" s="79">
        <f>SUMIFS('GSTR 1'!$K$332:$K$448,'GSTR 1'!$M$332:$M$448,Summaries!$A$76,'GSTR 1'!$A$332:$A$448,Summaries!$A99)</f>
        <v>0</v>
      </c>
      <c r="EE99" s="80">
        <f>SUMIFS('GSTR 1'!$E$332:$E$448,'GSTR 1'!$M$332:$M$448,Summaries!$A$77,'GSTR 1'!$A$332:$A$448,Summaries!$A99)</f>
        <v>0</v>
      </c>
      <c r="EF99" s="80">
        <f>SUMIFS('GSTR 1'!$F$332:$F$448,'GSTR 1'!$M$332:$M$448,Summaries!$A$77,'GSTR 1'!$A$332:$A$448,Summaries!$A99)</f>
        <v>0</v>
      </c>
      <c r="EG99" s="80">
        <f>SUMIFS('GSTR 1'!$G$332:$G$448,'GSTR 1'!$M$332:$M$448,Summaries!$A$77,'GSTR 1'!$A$332:$A$448,Summaries!$A99)</f>
        <v>0</v>
      </c>
      <c r="EH99" s="80">
        <f>SUMIFS('GSTR 1'!$H$332:$H$448,'GSTR 1'!$M$332:$M$448,Summaries!$A$77,'GSTR 1'!$A$332:$A$448,Summaries!$A99)</f>
        <v>0</v>
      </c>
      <c r="EI99" s="80">
        <f>SUMIFS('GSTR 1'!$I$332:$I$448,'GSTR 1'!$M$332:$M$448,Summaries!$A$77,'GSTR 1'!$A$332:$A$448,Summaries!$A99)</f>
        <v>0</v>
      </c>
      <c r="EJ99" s="80">
        <f>SUMIFS('GSTR 1'!$J$332:$J$448,'GSTR 1'!$M$332:$M$448,Summaries!$A$77,'GSTR 1'!$A$332:$A$448,Summaries!$A99)</f>
        <v>0</v>
      </c>
      <c r="EK99" s="80">
        <f>SUMIFS('GSTR 1'!$K$332:$K$448,'GSTR 1'!$M$332:$M$448,Summaries!$A$77,'GSTR 1'!$A$332:$A$448,Summaries!$A99)</f>
        <v>0</v>
      </c>
      <c r="EL99" s="79">
        <f>SUMIFS('GSTR 1'!$E$332:$E$448,'GSTR 1'!$M$332:$M$448,Summaries!$A$78,'GSTR 1'!$A$332:$A$448,Summaries!$A99)</f>
        <v>0</v>
      </c>
      <c r="EM99" s="79">
        <f>SUMIFS('GSTR 1'!$F$332:$F$448,'GSTR 1'!$M$332:$M$448,Summaries!$A$78,'GSTR 1'!$A$332:$A$448,Summaries!$A99)</f>
        <v>0</v>
      </c>
      <c r="EN99" s="79">
        <f>SUMIFS('GSTR 1'!$G$332:$G$448,'GSTR 1'!$M$332:$M$448,Summaries!$A$78,'GSTR 1'!$A$332:$A$448,Summaries!$A99)</f>
        <v>0</v>
      </c>
      <c r="EO99" s="79">
        <f>SUMIFS('GSTR 1'!$H$332:$H$448,'GSTR 1'!$M$332:$M$448,Summaries!$A$78,'GSTR 1'!$A$332:$A$448,Summaries!$A99)</f>
        <v>0</v>
      </c>
      <c r="EP99" s="79">
        <f>SUMIFS('GSTR 1'!$I$332:$I$448,'GSTR 1'!$M$332:$M$448,Summaries!$A$78,'GSTR 1'!$A$332:$A$448,Summaries!$A99)</f>
        <v>0</v>
      </c>
      <c r="EQ99" s="79">
        <f>SUMIFS('GSTR 1'!$J$332:$J$448,'GSTR 1'!$M$332:$M$448,Summaries!$A$78,'GSTR 1'!$A$332:$A$448,Summaries!$A99)</f>
        <v>0</v>
      </c>
      <c r="ER99" s="79">
        <f>SUMIFS('GSTR 1'!$K$332:$K$448,'GSTR 1'!$M$332:$M$448,Summaries!$A$78,'GSTR 1'!$A$332:$A$448,Summaries!$A99)</f>
        <v>0</v>
      </c>
      <c r="ES99" s="80">
        <f>SUMIFS('GSTR 1'!$E$332:$E$448,'GSTR 1'!$M$332:$M$448,Summaries!$A$79,'GSTR 1'!$A$332:$A$448,Summaries!$A99)</f>
        <v>0</v>
      </c>
      <c r="ET99" s="80">
        <f>SUMIFS('GSTR 1'!$F$332:$F$448,'GSTR 1'!$M$332:$M$448,Summaries!$A$79,'GSTR 1'!$A$332:$A$448,Summaries!$A99)</f>
        <v>0</v>
      </c>
      <c r="EU99" s="80">
        <f>SUMIFS('GSTR 1'!$G$332:$G$448,'GSTR 1'!$M$332:$M$448,Summaries!$A$79,'GSTR 1'!$A$332:$A$448,Summaries!$A99)</f>
        <v>0</v>
      </c>
      <c r="EV99" s="80">
        <f>SUMIFS('GSTR 1'!$H$332:$H$448,'GSTR 1'!$M$332:$M$448,Summaries!$A$79,'GSTR 1'!$A$332:$A$448,Summaries!$A99)</f>
        <v>0</v>
      </c>
      <c r="EW99" s="80">
        <f>SUMIFS('GSTR 1'!$I$332:$I$448,'GSTR 1'!$M$332:$M$448,Summaries!$A$79,'GSTR 1'!$A$332:$A$448,Summaries!$A99)</f>
        <v>0</v>
      </c>
      <c r="EX99" s="80">
        <f>SUMIFS('GSTR 1'!$J$332:$J$448,'GSTR 1'!$M$332:$M$448,Summaries!$A$79,'GSTR 1'!$A$332:$A$448,Summaries!$A99)</f>
        <v>0</v>
      </c>
      <c r="EY99" s="80">
        <f>SUMIFS('GSTR 1'!$K$332:$K$448,'GSTR 1'!$M$332:$M$448,Summaries!$A$79,'GSTR 1'!$A$332:$A$448,Summaries!$A99)</f>
        <v>0</v>
      </c>
      <c r="EZ99" s="79">
        <f>SUMIFS('GSTR 1'!$E$332:$E$448,'GSTR 1'!$M$332:$M$448,Summaries!$A$80,'GSTR 1'!$A$332:$A$448,Summaries!$A99)</f>
        <v>0</v>
      </c>
      <c r="FA99" s="79">
        <f>SUMIFS('GSTR 1'!$F$332:$F$448,'GSTR 1'!$M$332:$M$448,Summaries!$A$80,'GSTR 1'!$A$332:$A$448,Summaries!$A99)</f>
        <v>0</v>
      </c>
      <c r="FB99" s="79">
        <f>SUMIFS('GSTR 1'!$G$332:$G$448,'GSTR 1'!$M$332:$M$448,Summaries!$A$80,'GSTR 1'!$A$332:$A$448,Summaries!$A99)</f>
        <v>0</v>
      </c>
      <c r="FC99" s="79">
        <f>SUMIFS('GSTR 1'!$H$332:$H$448,'GSTR 1'!$M$332:$M$448,Summaries!$A$80,'GSTR 1'!$A$332:$A$448,Summaries!$A99)</f>
        <v>0</v>
      </c>
      <c r="FD99" s="79">
        <f>SUMIFS('GSTR 1'!$I$332:$I$448,'GSTR 1'!$M$332:$M$448,Summaries!$A$80,'GSTR 1'!$A$332:$A$448,Summaries!$A99)</f>
        <v>0</v>
      </c>
      <c r="FE99" s="79">
        <f>SUMIFS('GSTR 1'!$J$332:$J$448,'GSTR 1'!$M$332:$M$448,Summaries!$A$80,'GSTR 1'!$A$332:$A$448,Summaries!$A99)</f>
        <v>0</v>
      </c>
      <c r="FF99" s="79">
        <f>SUMIFS('GSTR 1'!$K$332:$K$448,'GSTR 1'!$M$332:$M$448,Summaries!$A$80,'GSTR 1'!$A$332:$A$448,Summaries!$A99)</f>
        <v>0</v>
      </c>
      <c r="FG99" s="80">
        <f>SUMIFS('GSTR 1'!$E$332:$E$448,'GSTR 1'!$M$332:$M$448,Summaries!$A$81,'GSTR 1'!$A$332:$A$448,Summaries!$A99)</f>
        <v>0</v>
      </c>
      <c r="FH99" s="80">
        <f>SUMIFS('GSTR 1'!$F$332:$F$448,'GSTR 1'!$M$332:$M$448,Summaries!$A$81,'GSTR 1'!$A$332:$A$448,Summaries!$A99)</f>
        <v>0</v>
      </c>
      <c r="FI99" s="80">
        <f>SUMIFS('GSTR 1'!$G$332:$G$448,'GSTR 1'!$M$332:$M$448,Summaries!$A$81,'GSTR 1'!$A$332:$A$448,Summaries!$A99)</f>
        <v>0</v>
      </c>
      <c r="FJ99" s="80">
        <f>SUMIFS('GSTR 1'!$H$332:$H$448,'GSTR 1'!$M$332:$M$448,Summaries!$A$81,'GSTR 1'!$A$332:$A$448,Summaries!$A99)</f>
        <v>0</v>
      </c>
      <c r="FK99" s="80">
        <f>SUMIFS('GSTR 1'!$I$332:$I$448,'GSTR 1'!$M$332:$M$448,Summaries!$A$81,'GSTR 1'!$A$332:$A$448,Summaries!$A99)</f>
        <v>0</v>
      </c>
      <c r="FL99" s="80">
        <f>SUMIFS('GSTR 1'!$J$332:$J$448,'GSTR 1'!$M$332:$M$448,Summaries!$A$81,'GSTR 1'!$A$332:$A$448,Summaries!$A99)</f>
        <v>0</v>
      </c>
      <c r="FM99" s="80">
        <f>SUMIFS('GSTR 1'!$K$332:$K$448,'GSTR 1'!$M$332:$M$448,Summaries!$A$81,'GSTR 1'!$A$332:$A$448,Summaries!$A99)</f>
        <v>0</v>
      </c>
      <c r="FN99" s="79">
        <f>SUMIFS('GSTR 1'!$E$332:$E$448,'GSTR 1'!$M$332:$M$448,Summaries!$A$82,'GSTR 1'!$A$332:$A$448,Summaries!$A99)</f>
        <v>0</v>
      </c>
      <c r="FO99" s="79">
        <f>SUMIFS('GSTR 1'!$F$332:$F$448,'GSTR 1'!$M$332:$M$448,Summaries!$A$82,'GSTR 1'!$A$332:$A$448,Summaries!$A99)</f>
        <v>0</v>
      </c>
      <c r="FP99" s="79">
        <f>SUMIFS('GSTR 1'!$G$332:$G$448,'GSTR 1'!$M$332:$M$448,Summaries!$A$82,'GSTR 1'!$A$332:$A$448,Summaries!$A99)</f>
        <v>0</v>
      </c>
      <c r="FQ99" s="79">
        <f>SUMIFS('GSTR 1'!$H$332:$H$448,'GSTR 1'!$M$332:$M$448,Summaries!$A$82,'GSTR 1'!$A$332:$A$448,Summaries!$A99)</f>
        <v>0</v>
      </c>
      <c r="FR99" s="79">
        <f>SUMIFS('GSTR 1'!$I$332:$I$448,'GSTR 1'!$M$332:$M$448,Summaries!$A$82,'GSTR 1'!$A$332:$A$448,Summaries!$A99)</f>
        <v>0</v>
      </c>
      <c r="FS99" s="79">
        <f>SUMIFS('GSTR 1'!$J$332:$J$448,'GSTR 1'!$M$332:$M$448,Summaries!$A$82,'GSTR 1'!$A$332:$A$448,Summaries!$A99)</f>
        <v>0</v>
      </c>
      <c r="FT99" s="79">
        <f>SUMIFS('GSTR 1'!$K$332:$K$448,'GSTR 1'!$M$332:$M$448,Summaries!$A$82,'GSTR 1'!$A$332:$A$448,Summaries!$A99)</f>
        <v>0</v>
      </c>
      <c r="FU99" s="80">
        <f>SUMIFS('GSTR 1'!$E$332:$E$448,'GSTR 1'!$M$332:$M$448,Summaries!$A$83,'GSTR 1'!$A$332:$A$448,Summaries!$A99)</f>
        <v>0</v>
      </c>
      <c r="FV99" s="80">
        <f>SUMIFS('GSTR 1'!$F$332:$F$448,'GSTR 1'!$M$332:$M$448,Summaries!$A$83,'GSTR 1'!$A$332:$A$448,Summaries!$A99)</f>
        <v>0</v>
      </c>
      <c r="FW99" s="80">
        <f>SUMIFS('GSTR 1'!$G$332:$G$448,'GSTR 1'!$M$332:$M$448,Summaries!$A$83,'GSTR 1'!$A$332:$A$448,Summaries!$A99)</f>
        <v>0</v>
      </c>
      <c r="FX99" s="80">
        <f>SUMIFS('GSTR 1'!$H$332:$H$448,'GSTR 1'!$M$332:$M$448,Summaries!$A$83,'GSTR 1'!$A$332:$A$448,Summaries!$A99)</f>
        <v>0</v>
      </c>
      <c r="FY99" s="80">
        <f>SUMIFS('GSTR 1'!$I$332:$I$448,'GSTR 1'!$M$332:$M$448,Summaries!$A$83,'GSTR 1'!$A$332:$A$448,Summaries!$A99)</f>
        <v>0</v>
      </c>
      <c r="FZ99" s="80">
        <f>SUMIFS('GSTR 1'!$J$332:$J$448,'GSTR 1'!$M$332:$M$448,Summaries!$A$83,'GSTR 1'!$A$332:$A$448,Summaries!$A99)</f>
        <v>0</v>
      </c>
      <c r="GA99" s="80">
        <f>SUMIFS('GSTR 1'!$K$332:$K$448,'GSTR 1'!$M$332:$M$448,Summaries!$A$83,'GSTR 1'!$A$332:$A$448,Summaries!$A99)</f>
        <v>0</v>
      </c>
      <c r="GB99" s="79">
        <f>SUMIFS('GSTR 1'!$E$332:$E$448,'GSTR 1'!$M$332:$M$448,Summaries!$A$84,'GSTR 1'!$A$332:$A$448,Summaries!$A99)</f>
        <v>0</v>
      </c>
      <c r="GC99" s="79">
        <f>SUMIFS('GSTR 1'!$F$332:$F$448,'GSTR 1'!$M$332:$M$448,Summaries!$A$84,'GSTR 1'!$A$332:$A$448,Summaries!$A99)</f>
        <v>0</v>
      </c>
      <c r="GD99" s="79">
        <f>SUMIFS('GSTR 1'!$G$332:$G$448,'GSTR 1'!$M$332:$M$448,Summaries!$A$84,'GSTR 1'!$A$332:$A$448,Summaries!$A99)</f>
        <v>0</v>
      </c>
      <c r="GE99" s="79">
        <f>SUMIFS('GSTR 1'!$H$332:$H$448,'GSTR 1'!$M$332:$M$448,Summaries!$A$84,'GSTR 1'!$A$332:$A$448,Summaries!$A99)</f>
        <v>0</v>
      </c>
      <c r="GF99" s="79">
        <f>SUMIFS('GSTR 1'!$I$332:$I$448,'GSTR 1'!$M$332:$M$448,Summaries!$A$84,'GSTR 1'!$A$332:$A$448,Summaries!$A99)</f>
        <v>0</v>
      </c>
      <c r="GG99" s="79">
        <f>SUMIFS('GSTR 1'!$J$332:$J$448,'GSTR 1'!$M$332:$M$448,Summaries!$A$84,'GSTR 1'!$A$332:$A$448,Summaries!$A99)</f>
        <v>0</v>
      </c>
      <c r="GH99" s="79">
        <f>SUMIFS('GSTR 1'!$K$332:$K$448,'GSTR 1'!$M$332:$M$448,Summaries!$A$84,'GSTR 1'!$A$332:$A$448,Summaries!$A99)</f>
        <v>0</v>
      </c>
      <c r="GI99" s="80">
        <f>SUMIFS('GSTR 1'!$E$332:$E$448,'GSTR 1'!$M$332:$M$448,Summaries!$A$85,'GSTR 1'!$A$332:$A$448,Summaries!$A99)</f>
        <v>0</v>
      </c>
      <c r="GJ99" s="80">
        <f>SUMIFS('GSTR 1'!$F$332:$F$448,'GSTR 1'!$M$332:$M$448,Summaries!$A$85,'GSTR 1'!$A$332:$A$448,Summaries!$A99)</f>
        <v>0</v>
      </c>
      <c r="GK99" s="80">
        <f>SUMIFS('GSTR 1'!$G$332:$G$448,'GSTR 1'!$M$332:$M$448,Summaries!$A$85,'GSTR 1'!$A$332:$A$448,Summaries!$A99)</f>
        <v>0</v>
      </c>
      <c r="GL99" s="80">
        <f>SUMIFS('GSTR 1'!$H$332:$H$448,'GSTR 1'!$M$332:$M$448,Summaries!$A$85,'GSTR 1'!$A$332:$A$448,Summaries!$A99)</f>
        <v>0</v>
      </c>
      <c r="GM99" s="80">
        <f>SUMIFS('GSTR 1'!$I$332:$I$448,'GSTR 1'!$M$332:$M$448,Summaries!$A$85,'GSTR 1'!$A$332:$A$448,Summaries!$A99)</f>
        <v>0</v>
      </c>
      <c r="GN99" s="80">
        <f>SUMIFS('GSTR 1'!$J$332:$J$448,'GSTR 1'!$M$332:$M$448,Summaries!$A$85,'GSTR 1'!$A$332:$A$448,Summaries!$A99)</f>
        <v>0</v>
      </c>
      <c r="GO99" s="80">
        <f>SUMIFS('GSTR 1'!$K$332:$K$448,'GSTR 1'!$M$332:$M$448,Summaries!$A$85,'GSTR 1'!$A$332:$A$448,Summaries!$A99)</f>
        <v>0</v>
      </c>
      <c r="GP99" s="79">
        <f>SUMIFS('GSTR 1'!$E$332:$E$448,'GSTR 1'!$M$332:$M$448,Summaries!$A$86,'GSTR 1'!$A$332:$A$448,Summaries!$A99)</f>
        <v>0</v>
      </c>
      <c r="GQ99" s="79">
        <f>SUMIFS('GSTR 1'!$F$332:$F$448,'GSTR 1'!$M$332:$M$448,Summaries!$A$86,'GSTR 1'!$A$332:$A$448,Summaries!$A99)</f>
        <v>0</v>
      </c>
      <c r="GR99" s="79">
        <f>SUMIFS('GSTR 1'!$G$332:$G$448,'GSTR 1'!$M$332:$M$448,Summaries!$A$86,'GSTR 1'!$A$332:$A$448,Summaries!$A99)</f>
        <v>0</v>
      </c>
      <c r="GS99" s="79">
        <f>SUMIFS('GSTR 1'!$H$332:$H$448,'GSTR 1'!$M$332:$M$448,Summaries!$A$86,'GSTR 1'!$A$332:$A$448,Summaries!$A99)</f>
        <v>0</v>
      </c>
      <c r="GT99" s="79">
        <f>SUMIFS('GSTR 1'!$I$332:$I$448,'GSTR 1'!$M$332:$M$448,Summaries!$A$86,'GSTR 1'!$A$332:$A$448,Summaries!$A99)</f>
        <v>0</v>
      </c>
      <c r="GU99" s="79">
        <f>SUMIFS('GSTR 1'!$J$332:$J$448,'GSTR 1'!$M$332:$M$448,Summaries!$A$86,'GSTR 1'!$A$332:$A$448,Summaries!$A99)</f>
        <v>0</v>
      </c>
      <c r="GV99" s="79">
        <f>SUMIFS('GSTR 1'!$K$332:$K$448,'GSTR 1'!$M$332:$M$448,Summaries!$A$86,'GSTR 1'!$A$332:$A$448,Summaries!$A99)</f>
        <v>0</v>
      </c>
      <c r="GW99" s="80">
        <f>SUMIFS('GSTR 1'!$E$332:$E$448,'GSTR 1'!$M$332:$M$448,Summaries!$A$87,'GSTR 1'!$A$332:$A$448,Summaries!$A99)</f>
        <v>0</v>
      </c>
      <c r="GX99" s="80">
        <f>SUMIFS('GSTR 1'!$F$332:$F$448,'GSTR 1'!$M$332:$M$448,Summaries!$A$87,'GSTR 1'!$A$332:$A$448,Summaries!$A99)</f>
        <v>0</v>
      </c>
      <c r="GY99" s="80">
        <f>SUMIFS('GSTR 1'!$G$332:$G$448,'GSTR 1'!$M$332:$M$448,Summaries!$A$87,'GSTR 1'!$A$332:$A$448,Summaries!$A99)</f>
        <v>0</v>
      </c>
      <c r="GZ99" s="80">
        <f>SUMIFS('GSTR 1'!$H$332:$H$448,'GSTR 1'!$M$332:$M$448,Summaries!$A$87,'GSTR 1'!$A$332:$A$448,Summaries!$A99)</f>
        <v>0</v>
      </c>
      <c r="HA99" s="80">
        <f>SUMIFS('GSTR 1'!$I$332:$I$448,'GSTR 1'!$M$332:$M$448,Summaries!$A$87,'GSTR 1'!$A$332:$A$448,Summaries!$A99)</f>
        <v>0</v>
      </c>
      <c r="HB99" s="80">
        <f>SUMIFS('GSTR 1'!$J$332:$J$448,'GSTR 1'!$M$332:$M$448,Summaries!$A$87,'GSTR 1'!$A$332:$A$448,Summaries!$A99)</f>
        <v>0</v>
      </c>
      <c r="HC99" s="80">
        <f>SUMIFS('GSTR 1'!$K$332:$K$448,'GSTR 1'!$M$332:$M$448,Summaries!$A$87,'GSTR 1'!$A$332:$A$448,Summaries!$A99)</f>
        <v>0</v>
      </c>
    </row>
    <row r="100" spans="1:211" x14ac:dyDescent="0.3">
      <c r="A100" s="78">
        <f>DATE(INT(LEFT($B$3,4)),6,1)</f>
        <v>45809</v>
      </c>
      <c r="B100" s="79">
        <f>SUMIFS('GSTR 1'!$E$332:$E$448,'GSTR 1'!$M$332:$M$448,Summaries!$A$58,'GSTR 1'!$A$332:$A$448,Summaries!A100)</f>
        <v>0</v>
      </c>
      <c r="C100" s="79">
        <f>SUMIFS('GSTR 1'!$F$332:$F$448,'GSTR 1'!$M$332:$M$448,Summaries!$A$58,'GSTR 1'!$A$332:$A$448,Summaries!A100)</f>
        <v>0</v>
      </c>
      <c r="D100" s="79">
        <f>SUMIFS('GSTR 1'!$G$332:$G$448,'GSTR 1'!$M$332:$M$448,Summaries!$A$58,'GSTR 1'!$A$332:$A$448,Summaries!A100)</f>
        <v>0</v>
      </c>
      <c r="E100" s="79">
        <f>SUMIFS('GSTR 1'!$H$332:$H$448,'GSTR 1'!$M$332:$M$448,Summaries!$A$58,'GSTR 1'!$A$332:$A$448,Summaries!A100)</f>
        <v>0</v>
      </c>
      <c r="F100" s="79">
        <f>SUMIFS('GSTR 1'!$I$332:$I$448,'GSTR 1'!$M$332:$M$448,Summaries!$A$58,'GSTR 1'!$A$332:$A$448,Summaries!A100)</f>
        <v>0</v>
      </c>
      <c r="G100" s="79">
        <f>SUMIFS('GSTR 1'!$J$332:$J$448,'GSTR 1'!$M$332:$M$448,Summaries!$A$58,'GSTR 1'!$A$332:$A$448,Summaries!A100)</f>
        <v>0</v>
      </c>
      <c r="H100" s="79">
        <f>SUMIFS('GSTR 1'!$K$332:$K$448,'GSTR 1'!$M$332:$M$448,Summaries!$A$58,'GSTR 1'!$A$332:$A$448,Summaries!A100)</f>
        <v>0</v>
      </c>
      <c r="I100" s="80">
        <f>SUMIFS('GSTR 1'!$E$332:$E$448,'GSTR 1'!$M$332:$M$448,Summaries!$A$59,'GSTR 1'!$A$332:$A$448,Summaries!$A100)</f>
        <v>0</v>
      </c>
      <c r="J100" s="80">
        <f>SUMIFS('GSTR 1'!$F$332:$F$448,'GSTR 1'!$M$332:$M$448,Summaries!$A$59,'GSTR 1'!$A$332:$A$448,Summaries!$A100)</f>
        <v>0</v>
      </c>
      <c r="K100" s="80">
        <f>SUMIFS('GSTR 1'!$G$332:$G$448,'GSTR 1'!$M$332:$M$448,Summaries!$A$59,'GSTR 1'!$A$332:$A$448,Summaries!$A100)</f>
        <v>0</v>
      </c>
      <c r="L100" s="80">
        <f>SUMIFS('GSTR 1'!$H$332:$H$448,'GSTR 1'!$M$332:$M$448,Summaries!$A$59,'GSTR 1'!$A$332:$A$448,Summaries!$A100)</f>
        <v>0</v>
      </c>
      <c r="M100" s="80">
        <f>SUMIFS('GSTR 1'!$I$332:$I$448,'GSTR 1'!$M$332:$M$448,Summaries!$A$59,'GSTR 1'!$A$332:$A$448,Summaries!$A100)</f>
        <v>0</v>
      </c>
      <c r="N100" s="80">
        <f>SUMIFS('GSTR 1'!$J$332:$J$448,'GSTR 1'!$M$332:$M$448,Summaries!$A$59,'GSTR 1'!$A$332:$A$448,Summaries!$A100)</f>
        <v>0</v>
      </c>
      <c r="O100" s="80">
        <f>SUMIFS('GSTR 1'!$K$332:$K$448,'GSTR 1'!$M$332:$M$448,Summaries!$A$59,'GSTR 1'!$A$332:$A$448,Summaries!$A100)</f>
        <v>0</v>
      </c>
      <c r="P100" s="79">
        <f>SUMIFS('GSTR 1'!$E$332:$E$448,'GSTR 1'!$M$332:$M$448,Summaries!$A$60,'GSTR 1'!$A$332:$A$448,Summaries!$A100)</f>
        <v>0</v>
      </c>
      <c r="Q100" s="79">
        <f>SUMIFS('GSTR 1'!$F$332:$F$448,'GSTR 1'!$M$332:$M$448,Summaries!$A$60,'GSTR 1'!$A$332:$A$448,Summaries!$A100)</f>
        <v>0</v>
      </c>
      <c r="R100" s="79">
        <f>SUMIFS('GSTR 1'!$G$332:$G$448,'GSTR 1'!$M$332:$M$448,Summaries!$A$60,'GSTR 1'!$A$332:$A$448,Summaries!$A100)</f>
        <v>0</v>
      </c>
      <c r="S100" s="79">
        <f>SUMIFS('GSTR 1'!$H$332:$H$448,'GSTR 1'!$M$332:$M$448,Summaries!$A$60,'GSTR 1'!$A$332:$A$448,Summaries!$A100)</f>
        <v>0</v>
      </c>
      <c r="T100" s="79">
        <f>SUMIFS('GSTR 1'!$I$332:$I$448,'GSTR 1'!$M$332:$M$448,Summaries!$A$60,'GSTR 1'!$A$332:$A$448,Summaries!$A100)</f>
        <v>0</v>
      </c>
      <c r="U100" s="79">
        <f>SUMIFS('GSTR 1'!$J$332:$J$448,'GSTR 1'!$M$332:$M$448,Summaries!$A$60,'GSTR 1'!$A$332:$A$448,Summaries!$A100)</f>
        <v>0</v>
      </c>
      <c r="V100" s="79">
        <f>SUMIFS('GSTR 1'!$K$332:$K$448,'GSTR 1'!$M$332:$M$448,Summaries!$A$60,'GSTR 1'!$A$332:$A$448,Summaries!$A100)</f>
        <v>0</v>
      </c>
      <c r="W100" s="80">
        <f>SUMIFS('GSTR 1'!$E$332:$E$448,'GSTR 1'!$M$332:$M$448,Summaries!$A$61,'GSTR 1'!$A$332:$A$448,Summaries!$A100)</f>
        <v>0</v>
      </c>
      <c r="X100" s="80">
        <f>SUMIFS('GSTR 1'!$F$332:$F$448,'GSTR 1'!$M$332:$M$448,Summaries!$A$61,'GSTR 1'!$A$332:$A$448,Summaries!$A100)</f>
        <v>0</v>
      </c>
      <c r="Y100" s="80">
        <f>SUMIFS('GSTR 1'!$G$332:$G$448,'GSTR 1'!$M$332:$M$448,Summaries!$A$61,'GSTR 1'!$A$332:$A$448,Summaries!$A100)</f>
        <v>0</v>
      </c>
      <c r="Z100" s="80">
        <f>SUMIFS('GSTR 1'!$H$332:$H$448,'GSTR 1'!$M$332:$M$448,Summaries!$A$61,'GSTR 1'!$A$332:$A$448,Summaries!$A100)</f>
        <v>0</v>
      </c>
      <c r="AA100" s="80">
        <f>SUMIFS('GSTR 1'!$I$332:$I$448,'GSTR 1'!$M$332:$M$448,Summaries!$A$61,'GSTR 1'!$A$332:$A$448,Summaries!$A100)</f>
        <v>0</v>
      </c>
      <c r="AB100" s="80">
        <f>SUMIFS('GSTR 1'!$J$332:$J$448,'GSTR 1'!$M$332:$M$448,Summaries!$A$61,'GSTR 1'!$A$332:$A$448,Summaries!$A100)</f>
        <v>0</v>
      </c>
      <c r="AC100" s="80">
        <f>SUMIFS('GSTR 1'!$K$332:$K$448,'GSTR 1'!$M$332:$M$448,Summaries!$A$61,'GSTR 1'!$A$332:$A$448,Summaries!$A100)</f>
        <v>0</v>
      </c>
      <c r="AD100" s="79">
        <f>SUMIFS('GSTR 1'!$E$332:$E$448,'GSTR 1'!$M$332:$M$448,Summaries!$A$62,'GSTR 1'!$A$332:$A$448,Summaries!$A100)</f>
        <v>0</v>
      </c>
      <c r="AE100" s="79">
        <f>SUMIFS('GSTR 1'!$F$332:$F$448,'GSTR 1'!$M$332:$M$448,Summaries!$A$62,'GSTR 1'!$A$332:$A$448,Summaries!$A100)</f>
        <v>0</v>
      </c>
      <c r="AF100" s="79">
        <f>SUMIFS('GSTR 1'!$G$332:$G$448,'GSTR 1'!$M$332:$M$448,Summaries!$A$62,'GSTR 1'!$A$332:$A$448,Summaries!$A100)</f>
        <v>0</v>
      </c>
      <c r="AG100" s="79">
        <f>SUMIFS('GSTR 1'!$H$332:$H$448,'GSTR 1'!$M$332:$M$448,Summaries!$A$62,'GSTR 1'!$A$332:$A$448,Summaries!$A100)</f>
        <v>0</v>
      </c>
      <c r="AH100" s="79">
        <f>SUMIFS('GSTR 1'!$I$332:$I$448,'GSTR 1'!$M$332:$M$448,Summaries!$A$62,'GSTR 1'!$A$332:$A$448,Summaries!$A100)</f>
        <v>0</v>
      </c>
      <c r="AI100" s="79">
        <f>SUMIFS('GSTR 1'!$J$332:$J$448,'GSTR 1'!$M$332:$M$448,Summaries!$A$62,'GSTR 1'!$A$332:$A$448,Summaries!$A100)</f>
        <v>0</v>
      </c>
      <c r="AJ100" s="79">
        <f>SUMIFS('GSTR 1'!$K$332:$K$448,'GSTR 1'!$M$332:$M$448,Summaries!$A$62,'GSTR 1'!$A$332:$A$448,Summaries!$A100)</f>
        <v>0</v>
      </c>
      <c r="AK100" s="80">
        <f>SUMIFS('GSTR 1'!$E$332:$E$448,'GSTR 1'!$M$332:$M$448,Summaries!$A$63,'GSTR 1'!$A$332:$A$448,Summaries!$A100)</f>
        <v>0</v>
      </c>
      <c r="AL100" s="80">
        <f>SUMIFS('GSTR 1'!$F$332:$F$448,'GSTR 1'!$M$332:$M$448,Summaries!$A$63,'GSTR 1'!$A$332:$A$448,Summaries!$A100)</f>
        <v>0</v>
      </c>
      <c r="AM100" s="80">
        <f>SUMIFS('GSTR 1'!$G$332:$G$448,'GSTR 1'!$M$332:$M$448,Summaries!$A$63,'GSTR 1'!$A$332:$A$448,Summaries!$A100)</f>
        <v>0</v>
      </c>
      <c r="AN100" s="80">
        <f>SUMIFS('GSTR 1'!$H$332:$H$448,'GSTR 1'!$M$332:$M$448,Summaries!$A$63,'GSTR 1'!$A$332:$A$448,Summaries!$A100)</f>
        <v>0</v>
      </c>
      <c r="AO100" s="80">
        <f>SUMIFS('GSTR 1'!$I$332:$I$448,'GSTR 1'!$M$332:$M$448,Summaries!$A$63,'GSTR 1'!$A$332:$A$448,Summaries!$A100)</f>
        <v>0</v>
      </c>
      <c r="AP100" s="80">
        <f>SUMIFS('GSTR 1'!$J$332:$J$448,'GSTR 1'!$M$332:$M$448,Summaries!$A$63,'GSTR 1'!$A$332:$A$448,Summaries!$A100)</f>
        <v>0</v>
      </c>
      <c r="AQ100" s="80">
        <f>SUMIFS('GSTR 1'!$K$332:$K$448,'GSTR 1'!$M$332:$M$448,Summaries!$A$63,'GSTR 1'!$A$332:$A$448,Summaries!$A100)</f>
        <v>0</v>
      </c>
      <c r="AR100" s="79">
        <f>SUMIFS('GSTR 1'!$E$332:$E$448,'GSTR 1'!$M$332:$M$448,Summaries!$A$64,'GSTR 1'!$A$332:$A$448,Summaries!$A100)</f>
        <v>0</v>
      </c>
      <c r="AS100" s="79">
        <f>SUMIFS('GSTR 1'!$F$332:$F$448,'GSTR 1'!$M$332:$M$448,Summaries!$A$64,'GSTR 1'!$A$332:$A$448,Summaries!$A100)</f>
        <v>0</v>
      </c>
      <c r="AT100" s="79">
        <f>SUMIFS('GSTR 1'!$G$332:$G$448,'GSTR 1'!$M$332:$M$448,Summaries!$A$64,'GSTR 1'!$A$332:$A$448,Summaries!$A100)</f>
        <v>0</v>
      </c>
      <c r="AU100" s="79">
        <f>SUMIFS('GSTR 1'!$H$332:$H$448,'GSTR 1'!$M$332:$M$448,Summaries!$A$64,'GSTR 1'!$A$332:$A$448,Summaries!$A100)</f>
        <v>0</v>
      </c>
      <c r="AV100" s="79">
        <f>SUMIFS('GSTR 1'!$I$332:$I$448,'GSTR 1'!$M$332:$M$448,Summaries!$A$64,'GSTR 1'!$A$332:$A$448,Summaries!$A100)</f>
        <v>0</v>
      </c>
      <c r="AW100" s="79">
        <f>SUMIFS('GSTR 1'!$J$332:$J$448,'GSTR 1'!$M$332:$M$448,Summaries!$A$64,'GSTR 1'!$A$332:$A$448,Summaries!$A100)</f>
        <v>0</v>
      </c>
      <c r="AX100" s="79">
        <f>SUMIFS('GSTR 1'!$K$332:$K$448,'GSTR 1'!$M$332:$M$448,Summaries!$A$64,'GSTR 1'!$A$332:$A$448,Summaries!$A100)</f>
        <v>0</v>
      </c>
      <c r="AY100" s="80">
        <f>SUMIFS('GSTR 1'!$E$332:$E$448,'GSTR 1'!$M$332:$M$448,Summaries!$A$65,'GSTR 1'!$A$332:$A$448,Summaries!$A100)</f>
        <v>0</v>
      </c>
      <c r="AZ100" s="80">
        <f>SUMIFS('GSTR 1'!$F$332:$F$448,'GSTR 1'!$M$332:$M$448,Summaries!$A$65,'GSTR 1'!$A$332:$A$448,Summaries!$A100)</f>
        <v>0</v>
      </c>
      <c r="BA100" s="80">
        <f>SUMIFS('GSTR 1'!$G$332:$G$448,'GSTR 1'!$M$332:$M$448,Summaries!$A$65,'GSTR 1'!$A$332:$A$448,Summaries!$A100)</f>
        <v>0</v>
      </c>
      <c r="BB100" s="80">
        <f>SUMIFS('GSTR 1'!$H$332:$H$448,'GSTR 1'!$M$332:$M$448,Summaries!$A$65,'GSTR 1'!$A$332:$A$448,Summaries!$A100)</f>
        <v>0</v>
      </c>
      <c r="BC100" s="80">
        <f>SUMIFS('GSTR 1'!$I$332:$I$448,'GSTR 1'!$M$332:$M$448,Summaries!$A$65,'GSTR 1'!$A$332:$A$448,Summaries!$A100)</f>
        <v>0</v>
      </c>
      <c r="BD100" s="80">
        <f>SUMIFS('GSTR 1'!$J$332:$J$448,'GSTR 1'!$M$332:$M$448,Summaries!$A$65,'GSTR 1'!$A$332:$A$448,Summaries!$A100)</f>
        <v>0</v>
      </c>
      <c r="BE100" s="80">
        <f>SUMIFS('GSTR 1'!$K$332:$K$448,'GSTR 1'!$M$332:$M$448,Summaries!$A$65,'GSTR 1'!$A$332:$A$448,Summaries!$A100)</f>
        <v>0</v>
      </c>
      <c r="BF100" s="79">
        <f>SUMIFS('GSTR 1'!$E$332:$E$448,'GSTR 1'!$M$332:$M$448,Summaries!$A$66,'GSTR 1'!$A$332:$A$448,Summaries!$A100)</f>
        <v>0</v>
      </c>
      <c r="BG100" s="79">
        <f>SUMIFS('GSTR 1'!$F$332:$F$448,'GSTR 1'!$M$332:$M$448,Summaries!$A$66,'GSTR 1'!$A$332:$A$448,Summaries!$A100)</f>
        <v>0</v>
      </c>
      <c r="BH100" s="79">
        <f>SUMIFS('GSTR 1'!$G$332:$G$448,'GSTR 1'!$M$332:$M$448,Summaries!$A$66,'GSTR 1'!$A$332:$A$448,Summaries!$A100)</f>
        <v>0</v>
      </c>
      <c r="BI100" s="79">
        <f>SUMIFS('GSTR 1'!$H$332:$H$448,'GSTR 1'!$M$332:$M$448,Summaries!$A$66,'GSTR 1'!$A$332:$A$448,Summaries!$A100)</f>
        <v>0</v>
      </c>
      <c r="BJ100" s="79">
        <f>SUMIFS('GSTR 1'!$I$332:$I$448,'GSTR 1'!$M$332:$M$448,Summaries!$A$66,'GSTR 1'!$A$332:$A$448,Summaries!$A100)</f>
        <v>0</v>
      </c>
      <c r="BK100" s="79">
        <f>SUMIFS('GSTR 1'!$J$332:$J$448,'GSTR 1'!$M$332:$M$448,Summaries!$A$66,'GSTR 1'!$A$332:$A$448,Summaries!$A100)</f>
        <v>0</v>
      </c>
      <c r="BL100" s="79">
        <f>SUMIFS('GSTR 1'!$K$332:$K$448,'GSTR 1'!$M$332:$M$448,Summaries!$A$66,'GSTR 1'!$A$332:$A$448,Summaries!$A100)</f>
        <v>0</v>
      </c>
      <c r="BM100" s="80">
        <f>SUMIFS('GSTR 1'!$E$332:$E$448,'GSTR 1'!$M$332:$M$448,Summaries!$A$67,'GSTR 1'!$A$332:$A$448,Summaries!$A100)</f>
        <v>0</v>
      </c>
      <c r="BN100" s="80">
        <f>SUMIFS('GSTR 1'!$F$332:$F$448,'GSTR 1'!$M$332:$M$448,Summaries!$A$67,'GSTR 1'!$A$332:$A$448,Summaries!$A100)</f>
        <v>0</v>
      </c>
      <c r="BO100" s="80">
        <f>SUMIFS('GSTR 1'!$G$332:$G$448,'GSTR 1'!$M$332:$M$448,Summaries!$A$67,'GSTR 1'!$A$332:$A$448,Summaries!$A100)</f>
        <v>0</v>
      </c>
      <c r="BP100" s="80">
        <f>SUMIFS('GSTR 1'!$H$332:$H$448,'GSTR 1'!$M$332:$M$448,Summaries!$A$67,'GSTR 1'!$A$332:$A$448,Summaries!$A100)</f>
        <v>0</v>
      </c>
      <c r="BQ100" s="80">
        <f>SUMIFS('GSTR 1'!$I$332:$I$448,'GSTR 1'!$M$332:$M$448,Summaries!$A$67,'GSTR 1'!$A$332:$A$448,Summaries!$A100)</f>
        <v>0</v>
      </c>
      <c r="BR100" s="80">
        <f>SUMIFS('GSTR 1'!$J$332:$J$448,'GSTR 1'!$M$332:$M$448,Summaries!$A$67,'GSTR 1'!$A$332:$A$448,Summaries!$A100)</f>
        <v>0</v>
      </c>
      <c r="BS100" s="80">
        <f>SUMIFS('GSTR 1'!$K$332:$K$448,'GSTR 1'!$M$332:$M$448,Summaries!$A$67,'GSTR 1'!$A$332:$A$448,Summaries!$A100)</f>
        <v>0</v>
      </c>
      <c r="BT100" s="79">
        <f>SUMIFS('GSTR 1'!$E$332:$E$448,'GSTR 1'!$M$332:$M$448,Summaries!$A$68,'GSTR 1'!$A$332:$A$448,Summaries!$A100)</f>
        <v>0</v>
      </c>
      <c r="BU100" s="79">
        <f>SUMIFS('GSTR 1'!$F$332:$F$448,'GSTR 1'!$M$332:$M$448,Summaries!$A$68,'GSTR 1'!$A$332:$A$448,Summaries!$A100)</f>
        <v>0</v>
      </c>
      <c r="BV100" s="79">
        <f>SUMIFS('GSTR 1'!$G$332:$G$448,'GSTR 1'!$M$332:$M$448,Summaries!$A$68,'GSTR 1'!$A$332:$A$448,Summaries!$A100)</f>
        <v>0</v>
      </c>
      <c r="BW100" s="79">
        <f>SUMIFS('GSTR 1'!$H$332:$H$448,'GSTR 1'!$M$332:$M$448,Summaries!$A$68,'GSTR 1'!$A$332:$A$448,Summaries!$A100)</f>
        <v>0</v>
      </c>
      <c r="BX100" s="79">
        <f>SUMIFS('GSTR 1'!$I$332:$I$448,'GSTR 1'!$M$332:$M$448,Summaries!$A$68,'GSTR 1'!$A$332:$A$448,Summaries!$A100)</f>
        <v>0</v>
      </c>
      <c r="BY100" s="79">
        <f>SUMIFS('GSTR 1'!$J$332:$J$448,'GSTR 1'!$M$332:$M$448,Summaries!$A$68,'GSTR 1'!$A$332:$A$448,Summaries!$A100)</f>
        <v>0</v>
      </c>
      <c r="BZ100" s="79">
        <f>SUMIFS('GSTR 1'!$K$332:$K$448,'GSTR 1'!$M$332:$M$448,Summaries!$A$68,'GSTR 1'!$A$332:$A$448,Summaries!$A100)</f>
        <v>0</v>
      </c>
      <c r="CA100" s="80">
        <f>SUMIFS('GSTR 1'!$E$332:$E$448,'GSTR 1'!$M$332:$M$448,Summaries!$A$69,'GSTR 1'!$A$332:$A$448,Summaries!$A100)</f>
        <v>0</v>
      </c>
      <c r="CB100" s="80">
        <f>SUMIFS('GSTR 1'!$F$332:$F$448,'GSTR 1'!$M$332:$M$448,Summaries!$A$69,'GSTR 1'!$A$332:$A$448,Summaries!$A100)</f>
        <v>0</v>
      </c>
      <c r="CC100" s="80">
        <f>SUMIFS('GSTR 1'!$G$332:$G$448,'GSTR 1'!$M$332:$M$448,Summaries!$A$69,'GSTR 1'!$A$332:$A$448,Summaries!$A100)</f>
        <v>0</v>
      </c>
      <c r="CD100" s="80">
        <f>SUMIFS('GSTR 1'!$H$332:$H$448,'GSTR 1'!$M$332:$M$448,Summaries!$A$69,'GSTR 1'!$A$332:$A$448,Summaries!$A100)</f>
        <v>0</v>
      </c>
      <c r="CE100" s="80">
        <f>SUMIFS('GSTR 1'!$I$332:$I$448,'GSTR 1'!$M$332:$M$448,Summaries!$A$69,'GSTR 1'!$A$332:$A$448,Summaries!$A100)</f>
        <v>0</v>
      </c>
      <c r="CF100" s="80">
        <f>SUMIFS('GSTR 1'!$J$332:$J$448,'GSTR 1'!$M$332:$M$448,Summaries!$A$69,'GSTR 1'!$A$332:$A$448,Summaries!$A100)</f>
        <v>0</v>
      </c>
      <c r="CG100" s="80">
        <f>SUMIFS('GSTR 1'!$K$332:$K$448,'GSTR 1'!$M$332:$M$448,Summaries!$A$69,'GSTR 1'!$A$332:$A$448,Summaries!$A100)</f>
        <v>0</v>
      </c>
      <c r="CH100" s="79">
        <f>SUMIFS('GSTR 1'!$E$332:$E$448,'GSTR 1'!$M$332:$M$448,Summaries!$A$70,'GSTR 1'!$A$332:$A$448,Summaries!$A100)</f>
        <v>0</v>
      </c>
      <c r="CI100" s="79">
        <f>SUMIFS('GSTR 1'!$F$332:$F$448,'GSTR 1'!$M$332:$M$448,Summaries!$A$70,'GSTR 1'!$A$332:$A$448,Summaries!$A100)</f>
        <v>0</v>
      </c>
      <c r="CJ100" s="79">
        <f>SUMIFS('GSTR 1'!$G$332:$G$448,'GSTR 1'!$M$332:$M$448,Summaries!$A$70,'GSTR 1'!$A$332:$A$448,Summaries!$A100)</f>
        <v>0</v>
      </c>
      <c r="CK100" s="79">
        <f>SUMIFS('GSTR 1'!$H$332:$H$448,'GSTR 1'!$M$332:$M$448,Summaries!$A$70,'GSTR 1'!$A$332:$A$448,Summaries!$A100)</f>
        <v>0</v>
      </c>
      <c r="CL100" s="79">
        <f>SUMIFS('GSTR 1'!$I$332:$I$448,'GSTR 1'!$M$332:$M$448,Summaries!$A$70,'GSTR 1'!$A$332:$A$448,Summaries!$A100)</f>
        <v>0</v>
      </c>
      <c r="CM100" s="79">
        <f>SUMIFS('GSTR 1'!$J$332:$J$448,'GSTR 1'!$M$332:$M$448,Summaries!$A$70,'GSTR 1'!$A$332:$A$448,Summaries!$A100)</f>
        <v>0</v>
      </c>
      <c r="CN100" s="79">
        <f>SUMIFS('GSTR 1'!$K$332:$K$448,'GSTR 1'!$M$332:$M$448,Summaries!$A$70,'GSTR 1'!$A$332:$A$448,Summaries!$A100)</f>
        <v>0</v>
      </c>
      <c r="CO100" s="80">
        <f>SUMIFS('GSTR 1'!$E$332:$E$448,'GSTR 1'!$M$332:$M$448,Summaries!$A$71,'GSTR 1'!$A$332:$A$448,Summaries!$A100)</f>
        <v>0</v>
      </c>
      <c r="CP100" s="80">
        <f>SUMIFS('GSTR 1'!$F$332:$F$448,'GSTR 1'!$M$332:$M$448,Summaries!$A$71,'GSTR 1'!$A$332:$A$448,Summaries!$A100)</f>
        <v>0</v>
      </c>
      <c r="CQ100" s="80">
        <f>SUMIFS('GSTR 1'!$G$332:$G$448,'GSTR 1'!$M$332:$M$448,Summaries!$A$71,'GSTR 1'!$A$332:$A$448,Summaries!$A100)</f>
        <v>0</v>
      </c>
      <c r="CR100" s="80">
        <f>SUMIFS('GSTR 1'!$H$332:$H$448,'GSTR 1'!$M$332:$M$448,Summaries!$A$71,'GSTR 1'!$A$332:$A$448,Summaries!$A100)</f>
        <v>0</v>
      </c>
      <c r="CS100" s="80">
        <f>SUMIFS('GSTR 1'!$I$332:$I$448,'GSTR 1'!$M$332:$M$448,Summaries!$A$71,'GSTR 1'!$A$332:$A$448,Summaries!$A100)</f>
        <v>0</v>
      </c>
      <c r="CT100" s="80">
        <f>SUMIFS('GSTR 1'!$J$332:$J$448,'GSTR 1'!$M$332:$M$448,Summaries!$A$71,'GSTR 1'!$A$332:$A$448,Summaries!$A100)</f>
        <v>0</v>
      </c>
      <c r="CU100" s="80">
        <f>SUMIFS('GSTR 1'!$K$332:$K$448,'GSTR 1'!$M$332:$M$448,Summaries!$A$71,'GSTR 1'!$A$332:$A$448,Summaries!$A100)</f>
        <v>0</v>
      </c>
      <c r="CV100" s="79">
        <f>SUMIFS('GSTR 1'!$E$332:$E$448,'GSTR 1'!$M$332:$M$448,Summaries!$A$72,'GSTR 1'!$A$332:$A$448,Summaries!$A100)</f>
        <v>0</v>
      </c>
      <c r="CW100" s="79">
        <f>SUMIFS('GSTR 1'!$F$332:$F$448,'GSTR 1'!$M$332:$M$448,Summaries!$A$72,'GSTR 1'!$A$332:$A$448,Summaries!$A100)</f>
        <v>0</v>
      </c>
      <c r="CX100" s="79">
        <f>SUMIFS('GSTR 1'!$G$332:$G$448,'GSTR 1'!$M$332:$M$448,Summaries!$A$72,'GSTR 1'!$A$332:$A$448,Summaries!$A100)</f>
        <v>0</v>
      </c>
      <c r="CY100" s="79">
        <f>SUMIFS('GSTR 1'!$H$332:$H$448,'GSTR 1'!$M$332:$M$448,Summaries!$A$72,'GSTR 1'!$A$332:$A$448,Summaries!$A100)</f>
        <v>0</v>
      </c>
      <c r="CZ100" s="79">
        <f>SUMIFS('GSTR 1'!$I$332:$I$448,'GSTR 1'!$M$332:$M$448,Summaries!$A$72,'GSTR 1'!$A$332:$A$448,Summaries!$A100)</f>
        <v>0</v>
      </c>
      <c r="DA100" s="79">
        <f>SUMIFS('GSTR 1'!$J$332:$J$448,'GSTR 1'!$M$332:$M$448,Summaries!$A$72,'GSTR 1'!$A$332:$A$448,Summaries!$A100)</f>
        <v>0</v>
      </c>
      <c r="DB100" s="79">
        <f>SUMIFS('GSTR 1'!$K$332:$K$448,'GSTR 1'!$M$332:$M$448,Summaries!$A$72,'GSTR 1'!$A$332:$A$448,Summaries!$A100)</f>
        <v>0</v>
      </c>
      <c r="DC100" s="80">
        <f>SUMIFS('GSTR 1'!$E$332:$E$448,'GSTR 1'!$M$332:$M$448,Summaries!$A$73,'GSTR 1'!$A$332:$A$448,Summaries!$A100)</f>
        <v>0</v>
      </c>
      <c r="DD100" s="80">
        <f>SUMIFS('GSTR 1'!$F$332:$F$448,'GSTR 1'!$M$332:$M$448,Summaries!$A$73,'GSTR 1'!$A$332:$A$448,Summaries!$A100)</f>
        <v>0</v>
      </c>
      <c r="DE100" s="80">
        <f>SUMIFS('GSTR 1'!$G$332:$G$448,'GSTR 1'!$M$332:$M$448,Summaries!$A$73,'GSTR 1'!$A$332:$A$448,Summaries!$A100)</f>
        <v>0</v>
      </c>
      <c r="DF100" s="80">
        <f>SUMIFS('GSTR 1'!$H$332:$H$448,'GSTR 1'!$M$332:$M$448,Summaries!$A$73,'GSTR 1'!$A$332:$A$448,Summaries!$A100)</f>
        <v>0</v>
      </c>
      <c r="DG100" s="80">
        <f>SUMIFS('GSTR 1'!$I$332:$I$448,'GSTR 1'!$M$332:$M$448,Summaries!$A$73,'GSTR 1'!$A$332:$A$448,Summaries!$A100)</f>
        <v>0</v>
      </c>
      <c r="DH100" s="80">
        <f>SUMIFS('GSTR 1'!$J$332:$J$448,'GSTR 1'!$M$332:$M$448,Summaries!$A$73,'GSTR 1'!$A$332:$A$448,Summaries!$A100)</f>
        <v>0</v>
      </c>
      <c r="DI100" s="80">
        <f>SUMIFS('GSTR 1'!$K$332:$K$448,'GSTR 1'!$M$332:$M$448,Summaries!$A$73,'GSTR 1'!$A$332:$A$448,Summaries!$A100)</f>
        <v>0</v>
      </c>
      <c r="DJ100" s="79">
        <f>SUMIFS('GSTR 1'!$E$332:$E$448,'GSTR 1'!$M$332:$M$448,Summaries!$A$74,'GSTR 1'!$A$332:$A$448,Summaries!$A100)</f>
        <v>0</v>
      </c>
      <c r="DK100" s="79">
        <f>SUMIFS('GSTR 1'!$F$332:$F$448,'GSTR 1'!$M$332:$M$448,Summaries!$A$74,'GSTR 1'!$A$332:$A$448,Summaries!$A100)</f>
        <v>0</v>
      </c>
      <c r="DL100" s="79">
        <f>SUMIFS('GSTR 1'!$G$332:$G$448,'GSTR 1'!$M$332:$M$448,Summaries!$A$74,'GSTR 1'!$A$332:$A$448,Summaries!$A100)</f>
        <v>0</v>
      </c>
      <c r="DM100" s="79">
        <f>SUMIFS('GSTR 1'!$H$332:$H$448,'GSTR 1'!$M$332:$M$448,Summaries!$A$74,'GSTR 1'!$A$332:$A$448,Summaries!$A100)</f>
        <v>0</v>
      </c>
      <c r="DN100" s="79">
        <f>SUMIFS('GSTR 1'!$I$332:$I$448,'GSTR 1'!$M$332:$M$448,Summaries!$A$74,'GSTR 1'!$A$332:$A$448,Summaries!$A100)</f>
        <v>0</v>
      </c>
      <c r="DO100" s="79">
        <f>SUMIFS('GSTR 1'!$J$332:$J$448,'GSTR 1'!$M$332:$M$448,Summaries!$A$74,'GSTR 1'!$A$332:$A$448,Summaries!$A100)</f>
        <v>0</v>
      </c>
      <c r="DP100" s="79">
        <f>SUMIFS('GSTR 1'!$K$332:$K$448,'GSTR 1'!$M$332:$M$448,Summaries!$A$74,'GSTR 1'!$A$332:$A$448,Summaries!$A100)</f>
        <v>0</v>
      </c>
      <c r="DQ100" s="80">
        <f>SUMIFS('GSTR 1'!$E$332:$E$448,'GSTR 1'!$M$332:$M$448,Summaries!$A$75,'GSTR 1'!$A$332:$A$448,Summaries!$A100)</f>
        <v>0</v>
      </c>
      <c r="DR100" s="80">
        <f>SUMIFS('GSTR 1'!$F$332:$F$448,'GSTR 1'!$M$332:$M$448,Summaries!$A$75,'GSTR 1'!$A$332:$A$448,Summaries!$A100)</f>
        <v>0</v>
      </c>
      <c r="DS100" s="80">
        <f>SUMIFS('GSTR 1'!$G$332:$G$448,'GSTR 1'!$M$332:$M$448,Summaries!$A$75,'GSTR 1'!$A$332:$A$448,Summaries!$A100)</f>
        <v>0</v>
      </c>
      <c r="DT100" s="80">
        <f>SUMIFS('GSTR 1'!$H$332:$H$448,'GSTR 1'!$M$332:$M$448,Summaries!$A$75,'GSTR 1'!$A$332:$A$448,Summaries!$A100)</f>
        <v>0</v>
      </c>
      <c r="DU100" s="80">
        <f>SUMIFS('GSTR 1'!$I$332:$I$448,'GSTR 1'!$M$332:$M$448,Summaries!$A$75,'GSTR 1'!$A$332:$A$448,Summaries!$A100)</f>
        <v>0</v>
      </c>
      <c r="DV100" s="80">
        <f>SUMIFS('GSTR 1'!$J$332:$J$448,'GSTR 1'!$M$332:$M$448,Summaries!$A$75,'GSTR 1'!$A$332:$A$448,Summaries!$A100)</f>
        <v>0</v>
      </c>
      <c r="DW100" s="80">
        <f>SUMIFS('GSTR 1'!$K$332:$K$448,'GSTR 1'!$M$332:$M$448,Summaries!$A$75,'GSTR 1'!$A$332:$A$448,Summaries!$A100)</f>
        <v>0</v>
      </c>
      <c r="DX100" s="79">
        <f>SUMIFS('GSTR 1'!$E$332:$E$448,'GSTR 1'!$M$332:$M$448,Summaries!$A$76,'GSTR 1'!$A$332:$A$448,Summaries!$A100)</f>
        <v>0</v>
      </c>
      <c r="DY100" s="79">
        <f>SUMIFS('GSTR 1'!$F$332:$F$448,'GSTR 1'!$M$332:$M$448,Summaries!$A$76,'GSTR 1'!$A$332:$A$448,Summaries!$A100)</f>
        <v>0</v>
      </c>
      <c r="DZ100" s="79">
        <f>SUMIFS('GSTR 1'!$G$332:$G$448,'GSTR 1'!$M$332:$M$448,Summaries!$A$76,'GSTR 1'!$A$332:$A$448,Summaries!$A100)</f>
        <v>0</v>
      </c>
      <c r="EA100" s="79">
        <f>SUMIFS('GSTR 1'!$H$332:$H$448,'GSTR 1'!$M$332:$M$448,Summaries!$A$76,'GSTR 1'!$A$332:$A$448,Summaries!$A100)</f>
        <v>0</v>
      </c>
      <c r="EB100" s="79">
        <f>SUMIFS('GSTR 1'!$I$332:$I$448,'GSTR 1'!$M$332:$M$448,Summaries!$A$76,'GSTR 1'!$A$332:$A$448,Summaries!$A100)</f>
        <v>0</v>
      </c>
      <c r="EC100" s="79">
        <f>SUMIFS('GSTR 1'!$J$332:$J$448,'GSTR 1'!$M$332:$M$448,Summaries!$A$76,'GSTR 1'!$A$332:$A$448,Summaries!$A100)</f>
        <v>0</v>
      </c>
      <c r="ED100" s="79">
        <f>SUMIFS('GSTR 1'!$K$332:$K$448,'GSTR 1'!$M$332:$M$448,Summaries!$A$76,'GSTR 1'!$A$332:$A$448,Summaries!$A100)</f>
        <v>0</v>
      </c>
      <c r="EE100" s="80">
        <f>SUMIFS('GSTR 1'!$E$332:$E$448,'GSTR 1'!$M$332:$M$448,Summaries!$A$77,'GSTR 1'!$A$332:$A$448,Summaries!$A100)</f>
        <v>0</v>
      </c>
      <c r="EF100" s="80">
        <f>SUMIFS('GSTR 1'!$F$332:$F$448,'GSTR 1'!$M$332:$M$448,Summaries!$A$77,'GSTR 1'!$A$332:$A$448,Summaries!$A100)</f>
        <v>0</v>
      </c>
      <c r="EG100" s="80">
        <f>SUMIFS('GSTR 1'!$G$332:$G$448,'GSTR 1'!$M$332:$M$448,Summaries!$A$77,'GSTR 1'!$A$332:$A$448,Summaries!$A100)</f>
        <v>0</v>
      </c>
      <c r="EH100" s="80">
        <f>SUMIFS('GSTR 1'!$H$332:$H$448,'GSTR 1'!$M$332:$M$448,Summaries!$A$77,'GSTR 1'!$A$332:$A$448,Summaries!$A100)</f>
        <v>0</v>
      </c>
      <c r="EI100" s="80">
        <f>SUMIFS('GSTR 1'!$I$332:$I$448,'GSTR 1'!$M$332:$M$448,Summaries!$A$77,'GSTR 1'!$A$332:$A$448,Summaries!$A100)</f>
        <v>0</v>
      </c>
      <c r="EJ100" s="80">
        <f>SUMIFS('GSTR 1'!$J$332:$J$448,'GSTR 1'!$M$332:$M$448,Summaries!$A$77,'GSTR 1'!$A$332:$A$448,Summaries!$A100)</f>
        <v>0</v>
      </c>
      <c r="EK100" s="80">
        <f>SUMIFS('GSTR 1'!$K$332:$K$448,'GSTR 1'!$M$332:$M$448,Summaries!$A$77,'GSTR 1'!$A$332:$A$448,Summaries!$A100)</f>
        <v>0</v>
      </c>
      <c r="EL100" s="79">
        <f>SUMIFS('GSTR 1'!$E$332:$E$448,'GSTR 1'!$M$332:$M$448,Summaries!$A$78,'GSTR 1'!$A$332:$A$448,Summaries!$A100)</f>
        <v>0</v>
      </c>
      <c r="EM100" s="79">
        <f>SUMIFS('GSTR 1'!$F$332:$F$448,'GSTR 1'!$M$332:$M$448,Summaries!$A$78,'GSTR 1'!$A$332:$A$448,Summaries!$A100)</f>
        <v>0</v>
      </c>
      <c r="EN100" s="79">
        <f>SUMIFS('GSTR 1'!$G$332:$G$448,'GSTR 1'!$M$332:$M$448,Summaries!$A$78,'GSTR 1'!$A$332:$A$448,Summaries!$A100)</f>
        <v>0</v>
      </c>
      <c r="EO100" s="79">
        <f>SUMIFS('GSTR 1'!$H$332:$H$448,'GSTR 1'!$M$332:$M$448,Summaries!$A$78,'GSTR 1'!$A$332:$A$448,Summaries!$A100)</f>
        <v>0</v>
      </c>
      <c r="EP100" s="79">
        <f>SUMIFS('GSTR 1'!$I$332:$I$448,'GSTR 1'!$M$332:$M$448,Summaries!$A$78,'GSTR 1'!$A$332:$A$448,Summaries!$A100)</f>
        <v>0</v>
      </c>
      <c r="EQ100" s="79">
        <f>SUMIFS('GSTR 1'!$J$332:$J$448,'GSTR 1'!$M$332:$M$448,Summaries!$A$78,'GSTR 1'!$A$332:$A$448,Summaries!$A100)</f>
        <v>0</v>
      </c>
      <c r="ER100" s="79">
        <f>SUMIFS('GSTR 1'!$K$332:$K$448,'GSTR 1'!$M$332:$M$448,Summaries!$A$78,'GSTR 1'!$A$332:$A$448,Summaries!$A100)</f>
        <v>0</v>
      </c>
      <c r="ES100" s="80">
        <f>SUMIFS('GSTR 1'!$E$332:$E$448,'GSTR 1'!$M$332:$M$448,Summaries!$A$79,'GSTR 1'!$A$332:$A$448,Summaries!$A100)</f>
        <v>0</v>
      </c>
      <c r="ET100" s="80">
        <f>SUMIFS('GSTR 1'!$F$332:$F$448,'GSTR 1'!$M$332:$M$448,Summaries!$A$79,'GSTR 1'!$A$332:$A$448,Summaries!$A100)</f>
        <v>0</v>
      </c>
      <c r="EU100" s="80">
        <f>SUMIFS('GSTR 1'!$G$332:$G$448,'GSTR 1'!$M$332:$M$448,Summaries!$A$79,'GSTR 1'!$A$332:$A$448,Summaries!$A100)</f>
        <v>0</v>
      </c>
      <c r="EV100" s="80">
        <f>SUMIFS('GSTR 1'!$H$332:$H$448,'GSTR 1'!$M$332:$M$448,Summaries!$A$79,'GSTR 1'!$A$332:$A$448,Summaries!$A100)</f>
        <v>0</v>
      </c>
      <c r="EW100" s="80">
        <f>SUMIFS('GSTR 1'!$I$332:$I$448,'GSTR 1'!$M$332:$M$448,Summaries!$A$79,'GSTR 1'!$A$332:$A$448,Summaries!$A100)</f>
        <v>0</v>
      </c>
      <c r="EX100" s="80">
        <f>SUMIFS('GSTR 1'!$J$332:$J$448,'GSTR 1'!$M$332:$M$448,Summaries!$A$79,'GSTR 1'!$A$332:$A$448,Summaries!$A100)</f>
        <v>0</v>
      </c>
      <c r="EY100" s="80">
        <f>SUMIFS('GSTR 1'!$K$332:$K$448,'GSTR 1'!$M$332:$M$448,Summaries!$A$79,'GSTR 1'!$A$332:$A$448,Summaries!$A100)</f>
        <v>0</v>
      </c>
      <c r="EZ100" s="79">
        <f>SUMIFS('GSTR 1'!$E$332:$E$448,'GSTR 1'!$M$332:$M$448,Summaries!$A$80,'GSTR 1'!$A$332:$A$448,Summaries!$A100)</f>
        <v>0</v>
      </c>
      <c r="FA100" s="79">
        <f>SUMIFS('GSTR 1'!$F$332:$F$448,'GSTR 1'!$M$332:$M$448,Summaries!$A$80,'GSTR 1'!$A$332:$A$448,Summaries!$A100)</f>
        <v>0</v>
      </c>
      <c r="FB100" s="79">
        <f>SUMIFS('GSTR 1'!$G$332:$G$448,'GSTR 1'!$M$332:$M$448,Summaries!$A$80,'GSTR 1'!$A$332:$A$448,Summaries!$A100)</f>
        <v>0</v>
      </c>
      <c r="FC100" s="79">
        <f>SUMIFS('GSTR 1'!$H$332:$H$448,'GSTR 1'!$M$332:$M$448,Summaries!$A$80,'GSTR 1'!$A$332:$A$448,Summaries!$A100)</f>
        <v>0</v>
      </c>
      <c r="FD100" s="79">
        <f>SUMIFS('GSTR 1'!$I$332:$I$448,'GSTR 1'!$M$332:$M$448,Summaries!$A$80,'GSTR 1'!$A$332:$A$448,Summaries!$A100)</f>
        <v>0</v>
      </c>
      <c r="FE100" s="79">
        <f>SUMIFS('GSTR 1'!$J$332:$J$448,'GSTR 1'!$M$332:$M$448,Summaries!$A$80,'GSTR 1'!$A$332:$A$448,Summaries!$A100)</f>
        <v>0</v>
      </c>
      <c r="FF100" s="79">
        <f>SUMIFS('GSTR 1'!$K$332:$K$448,'GSTR 1'!$M$332:$M$448,Summaries!$A$80,'GSTR 1'!$A$332:$A$448,Summaries!$A100)</f>
        <v>0</v>
      </c>
      <c r="FG100" s="80">
        <f>SUMIFS('GSTR 1'!$E$332:$E$448,'GSTR 1'!$M$332:$M$448,Summaries!$A$81,'GSTR 1'!$A$332:$A$448,Summaries!$A100)</f>
        <v>0</v>
      </c>
      <c r="FH100" s="80">
        <f>SUMIFS('GSTR 1'!$F$332:$F$448,'GSTR 1'!$M$332:$M$448,Summaries!$A$81,'GSTR 1'!$A$332:$A$448,Summaries!$A100)</f>
        <v>0</v>
      </c>
      <c r="FI100" s="80">
        <f>SUMIFS('GSTR 1'!$G$332:$G$448,'GSTR 1'!$M$332:$M$448,Summaries!$A$81,'GSTR 1'!$A$332:$A$448,Summaries!$A100)</f>
        <v>0</v>
      </c>
      <c r="FJ100" s="80">
        <f>SUMIFS('GSTR 1'!$H$332:$H$448,'GSTR 1'!$M$332:$M$448,Summaries!$A$81,'GSTR 1'!$A$332:$A$448,Summaries!$A100)</f>
        <v>0</v>
      </c>
      <c r="FK100" s="80">
        <f>SUMIFS('GSTR 1'!$I$332:$I$448,'GSTR 1'!$M$332:$M$448,Summaries!$A$81,'GSTR 1'!$A$332:$A$448,Summaries!$A100)</f>
        <v>0</v>
      </c>
      <c r="FL100" s="80">
        <f>SUMIFS('GSTR 1'!$J$332:$J$448,'GSTR 1'!$M$332:$M$448,Summaries!$A$81,'GSTR 1'!$A$332:$A$448,Summaries!$A100)</f>
        <v>0</v>
      </c>
      <c r="FM100" s="80">
        <f>SUMIFS('GSTR 1'!$K$332:$K$448,'GSTR 1'!$M$332:$M$448,Summaries!$A$81,'GSTR 1'!$A$332:$A$448,Summaries!$A100)</f>
        <v>0</v>
      </c>
      <c r="FN100" s="79">
        <f>SUMIFS('GSTR 1'!$E$332:$E$448,'GSTR 1'!$M$332:$M$448,Summaries!$A$82,'GSTR 1'!$A$332:$A$448,Summaries!$A100)</f>
        <v>0</v>
      </c>
      <c r="FO100" s="79">
        <f>SUMIFS('GSTR 1'!$F$332:$F$448,'GSTR 1'!$M$332:$M$448,Summaries!$A$82,'GSTR 1'!$A$332:$A$448,Summaries!$A100)</f>
        <v>0</v>
      </c>
      <c r="FP100" s="79">
        <f>SUMIFS('GSTR 1'!$G$332:$G$448,'GSTR 1'!$M$332:$M$448,Summaries!$A$82,'GSTR 1'!$A$332:$A$448,Summaries!$A100)</f>
        <v>0</v>
      </c>
      <c r="FQ100" s="79">
        <f>SUMIFS('GSTR 1'!$H$332:$H$448,'GSTR 1'!$M$332:$M$448,Summaries!$A$82,'GSTR 1'!$A$332:$A$448,Summaries!$A100)</f>
        <v>0</v>
      </c>
      <c r="FR100" s="79">
        <f>SUMIFS('GSTR 1'!$I$332:$I$448,'GSTR 1'!$M$332:$M$448,Summaries!$A$82,'GSTR 1'!$A$332:$A$448,Summaries!$A100)</f>
        <v>0</v>
      </c>
      <c r="FS100" s="79">
        <f>SUMIFS('GSTR 1'!$J$332:$J$448,'GSTR 1'!$M$332:$M$448,Summaries!$A$82,'GSTR 1'!$A$332:$A$448,Summaries!$A100)</f>
        <v>0</v>
      </c>
      <c r="FT100" s="79">
        <f>SUMIFS('GSTR 1'!$K$332:$K$448,'GSTR 1'!$M$332:$M$448,Summaries!$A$82,'GSTR 1'!$A$332:$A$448,Summaries!$A100)</f>
        <v>0</v>
      </c>
      <c r="FU100" s="80">
        <f>SUMIFS('GSTR 1'!$E$332:$E$448,'GSTR 1'!$M$332:$M$448,Summaries!$A$83,'GSTR 1'!$A$332:$A$448,Summaries!$A100)</f>
        <v>0</v>
      </c>
      <c r="FV100" s="80">
        <f>SUMIFS('GSTR 1'!$F$332:$F$448,'GSTR 1'!$M$332:$M$448,Summaries!$A$83,'GSTR 1'!$A$332:$A$448,Summaries!$A100)</f>
        <v>0</v>
      </c>
      <c r="FW100" s="80">
        <f>SUMIFS('GSTR 1'!$G$332:$G$448,'GSTR 1'!$M$332:$M$448,Summaries!$A$83,'GSTR 1'!$A$332:$A$448,Summaries!$A100)</f>
        <v>0</v>
      </c>
      <c r="FX100" s="80">
        <f>SUMIFS('GSTR 1'!$H$332:$H$448,'GSTR 1'!$M$332:$M$448,Summaries!$A$83,'GSTR 1'!$A$332:$A$448,Summaries!$A100)</f>
        <v>0</v>
      </c>
      <c r="FY100" s="80">
        <f>SUMIFS('GSTR 1'!$I$332:$I$448,'GSTR 1'!$M$332:$M$448,Summaries!$A$83,'GSTR 1'!$A$332:$A$448,Summaries!$A100)</f>
        <v>0</v>
      </c>
      <c r="FZ100" s="80">
        <f>SUMIFS('GSTR 1'!$J$332:$J$448,'GSTR 1'!$M$332:$M$448,Summaries!$A$83,'GSTR 1'!$A$332:$A$448,Summaries!$A100)</f>
        <v>0</v>
      </c>
      <c r="GA100" s="80">
        <f>SUMIFS('GSTR 1'!$K$332:$K$448,'GSTR 1'!$M$332:$M$448,Summaries!$A$83,'GSTR 1'!$A$332:$A$448,Summaries!$A100)</f>
        <v>0</v>
      </c>
      <c r="GB100" s="79">
        <f>SUMIFS('GSTR 1'!$E$332:$E$448,'GSTR 1'!$M$332:$M$448,Summaries!$A$84,'GSTR 1'!$A$332:$A$448,Summaries!$A100)</f>
        <v>0</v>
      </c>
      <c r="GC100" s="79">
        <f>SUMIFS('GSTR 1'!$F$332:$F$448,'GSTR 1'!$M$332:$M$448,Summaries!$A$84,'GSTR 1'!$A$332:$A$448,Summaries!$A100)</f>
        <v>0</v>
      </c>
      <c r="GD100" s="79">
        <f>SUMIFS('GSTR 1'!$G$332:$G$448,'GSTR 1'!$M$332:$M$448,Summaries!$A$84,'GSTR 1'!$A$332:$A$448,Summaries!$A100)</f>
        <v>0</v>
      </c>
      <c r="GE100" s="79">
        <f>SUMIFS('GSTR 1'!$H$332:$H$448,'GSTR 1'!$M$332:$M$448,Summaries!$A$84,'GSTR 1'!$A$332:$A$448,Summaries!$A100)</f>
        <v>0</v>
      </c>
      <c r="GF100" s="79">
        <f>SUMIFS('GSTR 1'!$I$332:$I$448,'GSTR 1'!$M$332:$M$448,Summaries!$A$84,'GSTR 1'!$A$332:$A$448,Summaries!$A100)</f>
        <v>0</v>
      </c>
      <c r="GG100" s="79">
        <f>SUMIFS('GSTR 1'!$J$332:$J$448,'GSTR 1'!$M$332:$M$448,Summaries!$A$84,'GSTR 1'!$A$332:$A$448,Summaries!$A100)</f>
        <v>0</v>
      </c>
      <c r="GH100" s="79">
        <f>SUMIFS('GSTR 1'!$K$332:$K$448,'GSTR 1'!$M$332:$M$448,Summaries!$A$84,'GSTR 1'!$A$332:$A$448,Summaries!$A100)</f>
        <v>0</v>
      </c>
      <c r="GI100" s="80">
        <f>SUMIFS('GSTR 1'!$E$332:$E$448,'GSTR 1'!$M$332:$M$448,Summaries!$A$85,'GSTR 1'!$A$332:$A$448,Summaries!$A100)</f>
        <v>0</v>
      </c>
      <c r="GJ100" s="80">
        <f>SUMIFS('GSTR 1'!$F$332:$F$448,'GSTR 1'!$M$332:$M$448,Summaries!$A$85,'GSTR 1'!$A$332:$A$448,Summaries!$A100)</f>
        <v>0</v>
      </c>
      <c r="GK100" s="80">
        <f>SUMIFS('GSTR 1'!$G$332:$G$448,'GSTR 1'!$M$332:$M$448,Summaries!$A$85,'GSTR 1'!$A$332:$A$448,Summaries!$A100)</f>
        <v>0</v>
      </c>
      <c r="GL100" s="80">
        <f>SUMIFS('GSTR 1'!$H$332:$H$448,'GSTR 1'!$M$332:$M$448,Summaries!$A$85,'GSTR 1'!$A$332:$A$448,Summaries!$A100)</f>
        <v>0</v>
      </c>
      <c r="GM100" s="80">
        <f>SUMIFS('GSTR 1'!$I$332:$I$448,'GSTR 1'!$M$332:$M$448,Summaries!$A$85,'GSTR 1'!$A$332:$A$448,Summaries!$A100)</f>
        <v>0</v>
      </c>
      <c r="GN100" s="80">
        <f>SUMIFS('GSTR 1'!$J$332:$J$448,'GSTR 1'!$M$332:$M$448,Summaries!$A$85,'GSTR 1'!$A$332:$A$448,Summaries!$A100)</f>
        <v>0</v>
      </c>
      <c r="GO100" s="80">
        <f>SUMIFS('GSTR 1'!$K$332:$K$448,'GSTR 1'!$M$332:$M$448,Summaries!$A$85,'GSTR 1'!$A$332:$A$448,Summaries!$A100)</f>
        <v>0</v>
      </c>
      <c r="GP100" s="79">
        <f>SUMIFS('GSTR 1'!$E$332:$E$448,'GSTR 1'!$M$332:$M$448,Summaries!$A$86,'GSTR 1'!$A$332:$A$448,Summaries!$A100)</f>
        <v>0</v>
      </c>
      <c r="GQ100" s="79">
        <f>SUMIFS('GSTR 1'!$F$332:$F$448,'GSTR 1'!$M$332:$M$448,Summaries!$A$86,'GSTR 1'!$A$332:$A$448,Summaries!$A100)</f>
        <v>0</v>
      </c>
      <c r="GR100" s="79">
        <f>SUMIFS('GSTR 1'!$G$332:$G$448,'GSTR 1'!$M$332:$M$448,Summaries!$A$86,'GSTR 1'!$A$332:$A$448,Summaries!$A100)</f>
        <v>0</v>
      </c>
      <c r="GS100" s="79">
        <f>SUMIFS('GSTR 1'!$H$332:$H$448,'GSTR 1'!$M$332:$M$448,Summaries!$A$86,'GSTR 1'!$A$332:$A$448,Summaries!$A100)</f>
        <v>0</v>
      </c>
      <c r="GT100" s="79">
        <f>SUMIFS('GSTR 1'!$I$332:$I$448,'GSTR 1'!$M$332:$M$448,Summaries!$A$86,'GSTR 1'!$A$332:$A$448,Summaries!$A100)</f>
        <v>0</v>
      </c>
      <c r="GU100" s="79">
        <f>SUMIFS('GSTR 1'!$J$332:$J$448,'GSTR 1'!$M$332:$M$448,Summaries!$A$86,'GSTR 1'!$A$332:$A$448,Summaries!$A100)</f>
        <v>0</v>
      </c>
      <c r="GV100" s="79">
        <f>SUMIFS('GSTR 1'!$K$332:$K$448,'GSTR 1'!$M$332:$M$448,Summaries!$A$86,'GSTR 1'!$A$332:$A$448,Summaries!$A100)</f>
        <v>0</v>
      </c>
      <c r="GW100" s="80">
        <f>SUMIFS('GSTR 1'!$E$332:$E$448,'GSTR 1'!$M$332:$M$448,Summaries!$A$87,'GSTR 1'!$A$332:$A$448,Summaries!$A100)</f>
        <v>0</v>
      </c>
      <c r="GX100" s="80">
        <f>SUMIFS('GSTR 1'!$F$332:$F$448,'GSTR 1'!$M$332:$M$448,Summaries!$A$87,'GSTR 1'!$A$332:$A$448,Summaries!$A100)</f>
        <v>0</v>
      </c>
      <c r="GY100" s="80">
        <f>SUMIFS('GSTR 1'!$G$332:$G$448,'GSTR 1'!$M$332:$M$448,Summaries!$A$87,'GSTR 1'!$A$332:$A$448,Summaries!$A100)</f>
        <v>0</v>
      </c>
      <c r="GZ100" s="80">
        <f>SUMIFS('GSTR 1'!$H$332:$H$448,'GSTR 1'!$M$332:$M$448,Summaries!$A$87,'GSTR 1'!$A$332:$A$448,Summaries!$A100)</f>
        <v>0</v>
      </c>
      <c r="HA100" s="80">
        <f>SUMIFS('GSTR 1'!$I$332:$I$448,'GSTR 1'!$M$332:$M$448,Summaries!$A$87,'GSTR 1'!$A$332:$A$448,Summaries!$A100)</f>
        <v>0</v>
      </c>
      <c r="HB100" s="80">
        <f>SUMIFS('GSTR 1'!$J$332:$J$448,'GSTR 1'!$M$332:$M$448,Summaries!$A$87,'GSTR 1'!$A$332:$A$448,Summaries!$A100)</f>
        <v>0</v>
      </c>
      <c r="HC100" s="80">
        <f>SUMIFS('GSTR 1'!$K$332:$K$448,'GSTR 1'!$M$332:$M$448,Summaries!$A$87,'GSTR 1'!$A$332:$A$448,Summaries!$A100)</f>
        <v>0</v>
      </c>
    </row>
    <row r="101" spans="1:211" x14ac:dyDescent="0.3">
      <c r="A101" s="78">
        <f>DATE(INT(LEFT($B$3,4)),7,1)</f>
        <v>45839</v>
      </c>
      <c r="B101" s="79">
        <f>SUMIFS('GSTR 1'!$E$332:$E$448,'GSTR 1'!$M$332:$M$448,Summaries!$A$58,'GSTR 1'!$A$332:$A$448,Summaries!A101)</f>
        <v>0</v>
      </c>
      <c r="C101" s="79">
        <f>SUMIFS('GSTR 1'!$F$332:$F$448,'GSTR 1'!$M$332:$M$448,Summaries!$A$58,'GSTR 1'!$A$332:$A$448,Summaries!A101)</f>
        <v>0</v>
      </c>
      <c r="D101" s="79">
        <f>SUMIFS('GSTR 1'!$G$332:$G$448,'GSTR 1'!$M$332:$M$448,Summaries!$A$58,'GSTR 1'!$A$332:$A$448,Summaries!A101)</f>
        <v>0</v>
      </c>
      <c r="E101" s="79">
        <f>SUMIFS('GSTR 1'!$H$332:$H$448,'GSTR 1'!$M$332:$M$448,Summaries!$A$58,'GSTR 1'!$A$332:$A$448,Summaries!A101)</f>
        <v>0</v>
      </c>
      <c r="F101" s="79">
        <f>SUMIFS('GSTR 1'!$I$332:$I$448,'GSTR 1'!$M$332:$M$448,Summaries!$A$58,'GSTR 1'!$A$332:$A$448,Summaries!A101)</f>
        <v>0</v>
      </c>
      <c r="G101" s="79">
        <f>SUMIFS('GSTR 1'!$J$332:$J$448,'GSTR 1'!$M$332:$M$448,Summaries!$A$58,'GSTR 1'!$A$332:$A$448,Summaries!A101)</f>
        <v>0</v>
      </c>
      <c r="H101" s="79">
        <f>SUMIFS('GSTR 1'!$K$332:$K$448,'GSTR 1'!$M$332:$M$448,Summaries!$A$58,'GSTR 1'!$A$332:$A$448,Summaries!A101)</f>
        <v>0</v>
      </c>
      <c r="I101" s="80">
        <f>SUMIFS('GSTR 1'!$E$332:$E$448,'GSTR 1'!$M$332:$M$448,Summaries!$A$59,'GSTR 1'!$A$332:$A$448,Summaries!$A101)</f>
        <v>0</v>
      </c>
      <c r="J101" s="80">
        <f>SUMIFS('GSTR 1'!$F$332:$F$448,'GSTR 1'!$M$332:$M$448,Summaries!$A$59,'GSTR 1'!$A$332:$A$448,Summaries!$A101)</f>
        <v>0</v>
      </c>
      <c r="K101" s="80">
        <f>SUMIFS('GSTR 1'!$G$332:$G$448,'GSTR 1'!$M$332:$M$448,Summaries!$A$59,'GSTR 1'!$A$332:$A$448,Summaries!$A101)</f>
        <v>0</v>
      </c>
      <c r="L101" s="80">
        <f>SUMIFS('GSTR 1'!$H$332:$H$448,'GSTR 1'!$M$332:$M$448,Summaries!$A$59,'GSTR 1'!$A$332:$A$448,Summaries!$A101)</f>
        <v>0</v>
      </c>
      <c r="M101" s="80">
        <f>SUMIFS('GSTR 1'!$I$332:$I$448,'GSTR 1'!$M$332:$M$448,Summaries!$A$59,'GSTR 1'!$A$332:$A$448,Summaries!$A101)</f>
        <v>0</v>
      </c>
      <c r="N101" s="80">
        <f>SUMIFS('GSTR 1'!$J$332:$J$448,'GSTR 1'!$M$332:$M$448,Summaries!$A$59,'GSTR 1'!$A$332:$A$448,Summaries!$A101)</f>
        <v>0</v>
      </c>
      <c r="O101" s="80">
        <f>SUMIFS('GSTR 1'!$K$332:$K$448,'GSTR 1'!$M$332:$M$448,Summaries!$A$59,'GSTR 1'!$A$332:$A$448,Summaries!$A101)</f>
        <v>0</v>
      </c>
      <c r="P101" s="79">
        <f>SUMIFS('GSTR 1'!$E$332:$E$448,'GSTR 1'!$M$332:$M$448,Summaries!$A$60,'GSTR 1'!$A$332:$A$448,Summaries!$A101)</f>
        <v>0</v>
      </c>
      <c r="Q101" s="79">
        <f>SUMIFS('GSTR 1'!$F$332:$F$448,'GSTR 1'!$M$332:$M$448,Summaries!$A$60,'GSTR 1'!$A$332:$A$448,Summaries!$A101)</f>
        <v>0</v>
      </c>
      <c r="R101" s="79">
        <f>SUMIFS('GSTR 1'!$G$332:$G$448,'GSTR 1'!$M$332:$M$448,Summaries!$A$60,'GSTR 1'!$A$332:$A$448,Summaries!$A101)</f>
        <v>0</v>
      </c>
      <c r="S101" s="79">
        <f>SUMIFS('GSTR 1'!$H$332:$H$448,'GSTR 1'!$M$332:$M$448,Summaries!$A$60,'GSTR 1'!$A$332:$A$448,Summaries!$A101)</f>
        <v>0</v>
      </c>
      <c r="T101" s="79">
        <f>SUMIFS('GSTR 1'!$I$332:$I$448,'GSTR 1'!$M$332:$M$448,Summaries!$A$60,'GSTR 1'!$A$332:$A$448,Summaries!$A101)</f>
        <v>0</v>
      </c>
      <c r="U101" s="79">
        <f>SUMIFS('GSTR 1'!$J$332:$J$448,'GSTR 1'!$M$332:$M$448,Summaries!$A$60,'GSTR 1'!$A$332:$A$448,Summaries!$A101)</f>
        <v>0</v>
      </c>
      <c r="V101" s="79">
        <f>SUMIFS('GSTR 1'!$K$332:$K$448,'GSTR 1'!$M$332:$M$448,Summaries!$A$60,'GSTR 1'!$A$332:$A$448,Summaries!$A101)</f>
        <v>0</v>
      </c>
      <c r="W101" s="80">
        <f>SUMIFS('GSTR 1'!$E$332:$E$448,'GSTR 1'!$M$332:$M$448,Summaries!$A$61,'GSTR 1'!$A$332:$A$448,Summaries!$A101)</f>
        <v>0</v>
      </c>
      <c r="X101" s="80">
        <f>SUMIFS('GSTR 1'!$F$332:$F$448,'GSTR 1'!$M$332:$M$448,Summaries!$A$61,'GSTR 1'!$A$332:$A$448,Summaries!$A101)</f>
        <v>0</v>
      </c>
      <c r="Y101" s="80">
        <f>SUMIFS('GSTR 1'!$G$332:$G$448,'GSTR 1'!$M$332:$M$448,Summaries!$A$61,'GSTR 1'!$A$332:$A$448,Summaries!$A101)</f>
        <v>0</v>
      </c>
      <c r="Z101" s="80">
        <f>SUMIFS('GSTR 1'!$H$332:$H$448,'GSTR 1'!$M$332:$M$448,Summaries!$A$61,'GSTR 1'!$A$332:$A$448,Summaries!$A101)</f>
        <v>0</v>
      </c>
      <c r="AA101" s="80">
        <f>SUMIFS('GSTR 1'!$I$332:$I$448,'GSTR 1'!$M$332:$M$448,Summaries!$A$61,'GSTR 1'!$A$332:$A$448,Summaries!$A101)</f>
        <v>0</v>
      </c>
      <c r="AB101" s="80">
        <f>SUMIFS('GSTR 1'!$J$332:$J$448,'GSTR 1'!$M$332:$M$448,Summaries!$A$61,'GSTR 1'!$A$332:$A$448,Summaries!$A101)</f>
        <v>0</v>
      </c>
      <c r="AC101" s="80">
        <f>SUMIFS('GSTR 1'!$K$332:$K$448,'GSTR 1'!$M$332:$M$448,Summaries!$A$61,'GSTR 1'!$A$332:$A$448,Summaries!$A101)</f>
        <v>0</v>
      </c>
      <c r="AD101" s="79">
        <f>SUMIFS('GSTR 1'!$E$332:$E$448,'GSTR 1'!$M$332:$M$448,Summaries!$A$62,'GSTR 1'!$A$332:$A$448,Summaries!$A101)</f>
        <v>0</v>
      </c>
      <c r="AE101" s="79">
        <f>SUMIFS('GSTR 1'!$F$332:$F$448,'GSTR 1'!$M$332:$M$448,Summaries!$A$62,'GSTR 1'!$A$332:$A$448,Summaries!$A101)</f>
        <v>0</v>
      </c>
      <c r="AF101" s="79">
        <f>SUMIFS('GSTR 1'!$G$332:$G$448,'GSTR 1'!$M$332:$M$448,Summaries!$A$62,'GSTR 1'!$A$332:$A$448,Summaries!$A101)</f>
        <v>0</v>
      </c>
      <c r="AG101" s="79">
        <f>SUMIFS('GSTR 1'!$H$332:$H$448,'GSTR 1'!$M$332:$M$448,Summaries!$A$62,'GSTR 1'!$A$332:$A$448,Summaries!$A101)</f>
        <v>0</v>
      </c>
      <c r="AH101" s="79">
        <f>SUMIFS('GSTR 1'!$I$332:$I$448,'GSTR 1'!$M$332:$M$448,Summaries!$A$62,'GSTR 1'!$A$332:$A$448,Summaries!$A101)</f>
        <v>0</v>
      </c>
      <c r="AI101" s="79">
        <f>SUMIFS('GSTR 1'!$J$332:$J$448,'GSTR 1'!$M$332:$M$448,Summaries!$A$62,'GSTR 1'!$A$332:$A$448,Summaries!$A101)</f>
        <v>0</v>
      </c>
      <c r="AJ101" s="79">
        <f>SUMIFS('GSTR 1'!$K$332:$K$448,'GSTR 1'!$M$332:$M$448,Summaries!$A$62,'GSTR 1'!$A$332:$A$448,Summaries!$A101)</f>
        <v>0</v>
      </c>
      <c r="AK101" s="80">
        <f>SUMIFS('GSTR 1'!$E$332:$E$448,'GSTR 1'!$M$332:$M$448,Summaries!$A$63,'GSTR 1'!$A$332:$A$448,Summaries!$A101)</f>
        <v>0</v>
      </c>
      <c r="AL101" s="80">
        <f>SUMIFS('GSTR 1'!$F$332:$F$448,'GSTR 1'!$M$332:$M$448,Summaries!$A$63,'GSTR 1'!$A$332:$A$448,Summaries!$A101)</f>
        <v>0</v>
      </c>
      <c r="AM101" s="80">
        <f>SUMIFS('GSTR 1'!$G$332:$G$448,'GSTR 1'!$M$332:$M$448,Summaries!$A$63,'GSTR 1'!$A$332:$A$448,Summaries!$A101)</f>
        <v>0</v>
      </c>
      <c r="AN101" s="80">
        <f>SUMIFS('GSTR 1'!$H$332:$H$448,'GSTR 1'!$M$332:$M$448,Summaries!$A$63,'GSTR 1'!$A$332:$A$448,Summaries!$A101)</f>
        <v>0</v>
      </c>
      <c r="AO101" s="80">
        <f>SUMIFS('GSTR 1'!$I$332:$I$448,'GSTR 1'!$M$332:$M$448,Summaries!$A$63,'GSTR 1'!$A$332:$A$448,Summaries!$A101)</f>
        <v>0</v>
      </c>
      <c r="AP101" s="80">
        <f>SUMIFS('GSTR 1'!$J$332:$J$448,'GSTR 1'!$M$332:$M$448,Summaries!$A$63,'GSTR 1'!$A$332:$A$448,Summaries!$A101)</f>
        <v>0</v>
      </c>
      <c r="AQ101" s="80">
        <f>SUMIFS('GSTR 1'!$K$332:$K$448,'GSTR 1'!$M$332:$M$448,Summaries!$A$63,'GSTR 1'!$A$332:$A$448,Summaries!$A101)</f>
        <v>0</v>
      </c>
      <c r="AR101" s="79">
        <f>SUMIFS('GSTR 1'!$E$332:$E$448,'GSTR 1'!$M$332:$M$448,Summaries!$A$64,'GSTR 1'!$A$332:$A$448,Summaries!$A101)</f>
        <v>0</v>
      </c>
      <c r="AS101" s="79">
        <f>SUMIFS('GSTR 1'!$F$332:$F$448,'GSTR 1'!$M$332:$M$448,Summaries!$A$64,'GSTR 1'!$A$332:$A$448,Summaries!$A101)</f>
        <v>0</v>
      </c>
      <c r="AT101" s="79">
        <f>SUMIFS('GSTR 1'!$G$332:$G$448,'GSTR 1'!$M$332:$M$448,Summaries!$A$64,'GSTR 1'!$A$332:$A$448,Summaries!$A101)</f>
        <v>0</v>
      </c>
      <c r="AU101" s="79">
        <f>SUMIFS('GSTR 1'!$H$332:$H$448,'GSTR 1'!$M$332:$M$448,Summaries!$A$64,'GSTR 1'!$A$332:$A$448,Summaries!$A101)</f>
        <v>0</v>
      </c>
      <c r="AV101" s="79">
        <f>SUMIFS('GSTR 1'!$I$332:$I$448,'GSTR 1'!$M$332:$M$448,Summaries!$A$64,'GSTR 1'!$A$332:$A$448,Summaries!$A101)</f>
        <v>0</v>
      </c>
      <c r="AW101" s="79">
        <f>SUMIFS('GSTR 1'!$J$332:$J$448,'GSTR 1'!$M$332:$M$448,Summaries!$A$64,'GSTR 1'!$A$332:$A$448,Summaries!$A101)</f>
        <v>0</v>
      </c>
      <c r="AX101" s="79">
        <f>SUMIFS('GSTR 1'!$K$332:$K$448,'GSTR 1'!$M$332:$M$448,Summaries!$A$64,'GSTR 1'!$A$332:$A$448,Summaries!$A101)</f>
        <v>0</v>
      </c>
      <c r="AY101" s="80">
        <f>SUMIFS('GSTR 1'!$E$332:$E$448,'GSTR 1'!$M$332:$M$448,Summaries!$A$65,'GSTR 1'!$A$332:$A$448,Summaries!$A101)</f>
        <v>0</v>
      </c>
      <c r="AZ101" s="80">
        <f>SUMIFS('GSTR 1'!$F$332:$F$448,'GSTR 1'!$M$332:$M$448,Summaries!$A$65,'GSTR 1'!$A$332:$A$448,Summaries!$A101)</f>
        <v>0</v>
      </c>
      <c r="BA101" s="80">
        <f>SUMIFS('GSTR 1'!$G$332:$G$448,'GSTR 1'!$M$332:$M$448,Summaries!$A$65,'GSTR 1'!$A$332:$A$448,Summaries!$A101)</f>
        <v>0</v>
      </c>
      <c r="BB101" s="80">
        <f>SUMIFS('GSTR 1'!$H$332:$H$448,'GSTR 1'!$M$332:$M$448,Summaries!$A$65,'GSTR 1'!$A$332:$A$448,Summaries!$A101)</f>
        <v>0</v>
      </c>
      <c r="BC101" s="80">
        <f>SUMIFS('GSTR 1'!$I$332:$I$448,'GSTR 1'!$M$332:$M$448,Summaries!$A$65,'GSTR 1'!$A$332:$A$448,Summaries!$A101)</f>
        <v>0</v>
      </c>
      <c r="BD101" s="80">
        <f>SUMIFS('GSTR 1'!$J$332:$J$448,'GSTR 1'!$M$332:$M$448,Summaries!$A$65,'GSTR 1'!$A$332:$A$448,Summaries!$A101)</f>
        <v>0</v>
      </c>
      <c r="BE101" s="80">
        <f>SUMIFS('GSTR 1'!$K$332:$K$448,'GSTR 1'!$M$332:$M$448,Summaries!$A$65,'GSTR 1'!$A$332:$A$448,Summaries!$A101)</f>
        <v>0</v>
      </c>
      <c r="BF101" s="79">
        <f>SUMIFS('GSTR 1'!$E$332:$E$448,'GSTR 1'!$M$332:$M$448,Summaries!$A$66,'GSTR 1'!$A$332:$A$448,Summaries!$A101)</f>
        <v>0</v>
      </c>
      <c r="BG101" s="79">
        <f>SUMIFS('GSTR 1'!$F$332:$F$448,'GSTR 1'!$M$332:$M$448,Summaries!$A$66,'GSTR 1'!$A$332:$A$448,Summaries!$A101)</f>
        <v>0</v>
      </c>
      <c r="BH101" s="79">
        <f>SUMIFS('GSTR 1'!$G$332:$G$448,'GSTR 1'!$M$332:$M$448,Summaries!$A$66,'GSTR 1'!$A$332:$A$448,Summaries!$A101)</f>
        <v>0</v>
      </c>
      <c r="BI101" s="79">
        <f>SUMIFS('GSTR 1'!$H$332:$H$448,'GSTR 1'!$M$332:$M$448,Summaries!$A$66,'GSTR 1'!$A$332:$A$448,Summaries!$A101)</f>
        <v>0</v>
      </c>
      <c r="BJ101" s="79">
        <f>SUMIFS('GSTR 1'!$I$332:$I$448,'GSTR 1'!$M$332:$M$448,Summaries!$A$66,'GSTR 1'!$A$332:$A$448,Summaries!$A101)</f>
        <v>0</v>
      </c>
      <c r="BK101" s="79">
        <f>SUMIFS('GSTR 1'!$J$332:$J$448,'GSTR 1'!$M$332:$M$448,Summaries!$A$66,'GSTR 1'!$A$332:$A$448,Summaries!$A101)</f>
        <v>0</v>
      </c>
      <c r="BL101" s="79">
        <f>SUMIFS('GSTR 1'!$K$332:$K$448,'GSTR 1'!$M$332:$M$448,Summaries!$A$66,'GSTR 1'!$A$332:$A$448,Summaries!$A101)</f>
        <v>0</v>
      </c>
      <c r="BM101" s="80">
        <f>SUMIFS('GSTR 1'!$E$332:$E$448,'GSTR 1'!$M$332:$M$448,Summaries!$A$67,'GSTR 1'!$A$332:$A$448,Summaries!$A101)</f>
        <v>0</v>
      </c>
      <c r="BN101" s="80">
        <f>SUMIFS('GSTR 1'!$F$332:$F$448,'GSTR 1'!$M$332:$M$448,Summaries!$A$67,'GSTR 1'!$A$332:$A$448,Summaries!$A101)</f>
        <v>0</v>
      </c>
      <c r="BO101" s="80">
        <f>SUMIFS('GSTR 1'!$G$332:$G$448,'GSTR 1'!$M$332:$M$448,Summaries!$A$67,'GSTR 1'!$A$332:$A$448,Summaries!$A101)</f>
        <v>0</v>
      </c>
      <c r="BP101" s="80">
        <f>SUMIFS('GSTR 1'!$H$332:$H$448,'GSTR 1'!$M$332:$M$448,Summaries!$A$67,'GSTR 1'!$A$332:$A$448,Summaries!$A101)</f>
        <v>0</v>
      </c>
      <c r="BQ101" s="80">
        <f>SUMIFS('GSTR 1'!$I$332:$I$448,'GSTR 1'!$M$332:$M$448,Summaries!$A$67,'GSTR 1'!$A$332:$A$448,Summaries!$A101)</f>
        <v>0</v>
      </c>
      <c r="BR101" s="80">
        <f>SUMIFS('GSTR 1'!$J$332:$J$448,'GSTR 1'!$M$332:$M$448,Summaries!$A$67,'GSTR 1'!$A$332:$A$448,Summaries!$A101)</f>
        <v>0</v>
      </c>
      <c r="BS101" s="80">
        <f>SUMIFS('GSTR 1'!$K$332:$K$448,'GSTR 1'!$M$332:$M$448,Summaries!$A$67,'GSTR 1'!$A$332:$A$448,Summaries!$A101)</f>
        <v>0</v>
      </c>
      <c r="BT101" s="79">
        <f>SUMIFS('GSTR 1'!$E$332:$E$448,'GSTR 1'!$M$332:$M$448,Summaries!$A$68,'GSTR 1'!$A$332:$A$448,Summaries!$A101)</f>
        <v>0</v>
      </c>
      <c r="BU101" s="79">
        <f>SUMIFS('GSTR 1'!$F$332:$F$448,'GSTR 1'!$M$332:$M$448,Summaries!$A$68,'GSTR 1'!$A$332:$A$448,Summaries!$A101)</f>
        <v>0</v>
      </c>
      <c r="BV101" s="79">
        <f>SUMIFS('GSTR 1'!$G$332:$G$448,'GSTR 1'!$M$332:$M$448,Summaries!$A$68,'GSTR 1'!$A$332:$A$448,Summaries!$A101)</f>
        <v>0</v>
      </c>
      <c r="BW101" s="79">
        <f>SUMIFS('GSTR 1'!$H$332:$H$448,'GSTR 1'!$M$332:$M$448,Summaries!$A$68,'GSTR 1'!$A$332:$A$448,Summaries!$A101)</f>
        <v>0</v>
      </c>
      <c r="BX101" s="79">
        <f>SUMIFS('GSTR 1'!$I$332:$I$448,'GSTR 1'!$M$332:$M$448,Summaries!$A$68,'GSTR 1'!$A$332:$A$448,Summaries!$A101)</f>
        <v>0</v>
      </c>
      <c r="BY101" s="79">
        <f>SUMIFS('GSTR 1'!$J$332:$J$448,'GSTR 1'!$M$332:$M$448,Summaries!$A$68,'GSTR 1'!$A$332:$A$448,Summaries!$A101)</f>
        <v>0</v>
      </c>
      <c r="BZ101" s="79">
        <f>SUMIFS('GSTR 1'!$K$332:$K$448,'GSTR 1'!$M$332:$M$448,Summaries!$A$68,'GSTR 1'!$A$332:$A$448,Summaries!$A101)</f>
        <v>0</v>
      </c>
      <c r="CA101" s="80">
        <f>SUMIFS('GSTR 1'!$E$332:$E$448,'GSTR 1'!$M$332:$M$448,Summaries!$A$69,'GSTR 1'!$A$332:$A$448,Summaries!$A101)</f>
        <v>0</v>
      </c>
      <c r="CB101" s="80">
        <f>SUMIFS('GSTR 1'!$F$332:$F$448,'GSTR 1'!$M$332:$M$448,Summaries!$A$69,'GSTR 1'!$A$332:$A$448,Summaries!$A101)</f>
        <v>0</v>
      </c>
      <c r="CC101" s="80">
        <f>SUMIFS('GSTR 1'!$G$332:$G$448,'GSTR 1'!$M$332:$M$448,Summaries!$A$69,'GSTR 1'!$A$332:$A$448,Summaries!$A101)</f>
        <v>0</v>
      </c>
      <c r="CD101" s="80">
        <f>SUMIFS('GSTR 1'!$H$332:$H$448,'GSTR 1'!$M$332:$M$448,Summaries!$A$69,'GSTR 1'!$A$332:$A$448,Summaries!$A101)</f>
        <v>0</v>
      </c>
      <c r="CE101" s="80">
        <f>SUMIFS('GSTR 1'!$I$332:$I$448,'GSTR 1'!$M$332:$M$448,Summaries!$A$69,'GSTR 1'!$A$332:$A$448,Summaries!$A101)</f>
        <v>0</v>
      </c>
      <c r="CF101" s="80">
        <f>SUMIFS('GSTR 1'!$J$332:$J$448,'GSTR 1'!$M$332:$M$448,Summaries!$A$69,'GSTR 1'!$A$332:$A$448,Summaries!$A101)</f>
        <v>0</v>
      </c>
      <c r="CG101" s="80">
        <f>SUMIFS('GSTR 1'!$K$332:$K$448,'GSTR 1'!$M$332:$M$448,Summaries!$A$69,'GSTR 1'!$A$332:$A$448,Summaries!$A101)</f>
        <v>0</v>
      </c>
      <c r="CH101" s="79">
        <f>SUMIFS('GSTR 1'!$E$332:$E$448,'GSTR 1'!$M$332:$M$448,Summaries!$A$70,'GSTR 1'!$A$332:$A$448,Summaries!$A101)</f>
        <v>0</v>
      </c>
      <c r="CI101" s="79">
        <f>SUMIFS('GSTR 1'!$F$332:$F$448,'GSTR 1'!$M$332:$M$448,Summaries!$A$70,'GSTR 1'!$A$332:$A$448,Summaries!$A101)</f>
        <v>0</v>
      </c>
      <c r="CJ101" s="79">
        <f>SUMIFS('GSTR 1'!$G$332:$G$448,'GSTR 1'!$M$332:$M$448,Summaries!$A$70,'GSTR 1'!$A$332:$A$448,Summaries!$A101)</f>
        <v>0</v>
      </c>
      <c r="CK101" s="79">
        <f>SUMIFS('GSTR 1'!$H$332:$H$448,'GSTR 1'!$M$332:$M$448,Summaries!$A$70,'GSTR 1'!$A$332:$A$448,Summaries!$A101)</f>
        <v>0</v>
      </c>
      <c r="CL101" s="79">
        <f>SUMIFS('GSTR 1'!$I$332:$I$448,'GSTR 1'!$M$332:$M$448,Summaries!$A$70,'GSTR 1'!$A$332:$A$448,Summaries!$A101)</f>
        <v>0</v>
      </c>
      <c r="CM101" s="79">
        <f>SUMIFS('GSTR 1'!$J$332:$J$448,'GSTR 1'!$M$332:$M$448,Summaries!$A$70,'GSTR 1'!$A$332:$A$448,Summaries!$A101)</f>
        <v>0</v>
      </c>
      <c r="CN101" s="79">
        <f>SUMIFS('GSTR 1'!$K$332:$K$448,'GSTR 1'!$M$332:$M$448,Summaries!$A$70,'GSTR 1'!$A$332:$A$448,Summaries!$A101)</f>
        <v>0</v>
      </c>
      <c r="CO101" s="80">
        <f>SUMIFS('GSTR 1'!$E$332:$E$448,'GSTR 1'!$M$332:$M$448,Summaries!$A$71,'GSTR 1'!$A$332:$A$448,Summaries!$A101)</f>
        <v>0</v>
      </c>
      <c r="CP101" s="80">
        <f>SUMIFS('GSTR 1'!$F$332:$F$448,'GSTR 1'!$M$332:$M$448,Summaries!$A$71,'GSTR 1'!$A$332:$A$448,Summaries!$A101)</f>
        <v>0</v>
      </c>
      <c r="CQ101" s="80">
        <f>SUMIFS('GSTR 1'!$G$332:$G$448,'GSTR 1'!$M$332:$M$448,Summaries!$A$71,'GSTR 1'!$A$332:$A$448,Summaries!$A101)</f>
        <v>0</v>
      </c>
      <c r="CR101" s="80">
        <f>SUMIFS('GSTR 1'!$H$332:$H$448,'GSTR 1'!$M$332:$M$448,Summaries!$A$71,'GSTR 1'!$A$332:$A$448,Summaries!$A101)</f>
        <v>0</v>
      </c>
      <c r="CS101" s="80">
        <f>SUMIFS('GSTR 1'!$I$332:$I$448,'GSTR 1'!$M$332:$M$448,Summaries!$A$71,'GSTR 1'!$A$332:$A$448,Summaries!$A101)</f>
        <v>0</v>
      </c>
      <c r="CT101" s="80">
        <f>SUMIFS('GSTR 1'!$J$332:$J$448,'GSTR 1'!$M$332:$M$448,Summaries!$A$71,'GSTR 1'!$A$332:$A$448,Summaries!$A101)</f>
        <v>0</v>
      </c>
      <c r="CU101" s="80">
        <f>SUMIFS('GSTR 1'!$K$332:$K$448,'GSTR 1'!$M$332:$M$448,Summaries!$A$71,'GSTR 1'!$A$332:$A$448,Summaries!$A101)</f>
        <v>0</v>
      </c>
      <c r="CV101" s="79">
        <f>SUMIFS('GSTR 1'!$E$332:$E$448,'GSTR 1'!$M$332:$M$448,Summaries!$A$72,'GSTR 1'!$A$332:$A$448,Summaries!$A101)</f>
        <v>0</v>
      </c>
      <c r="CW101" s="79">
        <f>SUMIFS('GSTR 1'!$F$332:$F$448,'GSTR 1'!$M$332:$M$448,Summaries!$A$72,'GSTR 1'!$A$332:$A$448,Summaries!$A101)</f>
        <v>0</v>
      </c>
      <c r="CX101" s="79">
        <f>SUMIFS('GSTR 1'!$G$332:$G$448,'GSTR 1'!$M$332:$M$448,Summaries!$A$72,'GSTR 1'!$A$332:$A$448,Summaries!$A101)</f>
        <v>0</v>
      </c>
      <c r="CY101" s="79">
        <f>SUMIFS('GSTR 1'!$H$332:$H$448,'GSTR 1'!$M$332:$M$448,Summaries!$A$72,'GSTR 1'!$A$332:$A$448,Summaries!$A101)</f>
        <v>0</v>
      </c>
      <c r="CZ101" s="79">
        <f>SUMIFS('GSTR 1'!$I$332:$I$448,'GSTR 1'!$M$332:$M$448,Summaries!$A$72,'GSTR 1'!$A$332:$A$448,Summaries!$A101)</f>
        <v>0</v>
      </c>
      <c r="DA101" s="79">
        <f>SUMIFS('GSTR 1'!$J$332:$J$448,'GSTR 1'!$M$332:$M$448,Summaries!$A$72,'GSTR 1'!$A$332:$A$448,Summaries!$A101)</f>
        <v>0</v>
      </c>
      <c r="DB101" s="79">
        <f>SUMIFS('GSTR 1'!$K$332:$K$448,'GSTR 1'!$M$332:$M$448,Summaries!$A$72,'GSTR 1'!$A$332:$A$448,Summaries!$A101)</f>
        <v>0</v>
      </c>
      <c r="DC101" s="80">
        <f>SUMIFS('GSTR 1'!$E$332:$E$448,'GSTR 1'!$M$332:$M$448,Summaries!$A$73,'GSTR 1'!$A$332:$A$448,Summaries!$A101)</f>
        <v>0</v>
      </c>
      <c r="DD101" s="80">
        <f>SUMIFS('GSTR 1'!$F$332:$F$448,'GSTR 1'!$M$332:$M$448,Summaries!$A$73,'GSTR 1'!$A$332:$A$448,Summaries!$A101)</f>
        <v>0</v>
      </c>
      <c r="DE101" s="80">
        <f>SUMIFS('GSTR 1'!$G$332:$G$448,'GSTR 1'!$M$332:$M$448,Summaries!$A$73,'GSTR 1'!$A$332:$A$448,Summaries!$A101)</f>
        <v>0</v>
      </c>
      <c r="DF101" s="80">
        <f>SUMIFS('GSTR 1'!$H$332:$H$448,'GSTR 1'!$M$332:$M$448,Summaries!$A$73,'GSTR 1'!$A$332:$A$448,Summaries!$A101)</f>
        <v>0</v>
      </c>
      <c r="DG101" s="80">
        <f>SUMIFS('GSTR 1'!$I$332:$I$448,'GSTR 1'!$M$332:$M$448,Summaries!$A$73,'GSTR 1'!$A$332:$A$448,Summaries!$A101)</f>
        <v>0</v>
      </c>
      <c r="DH101" s="80">
        <f>SUMIFS('GSTR 1'!$J$332:$J$448,'GSTR 1'!$M$332:$M$448,Summaries!$A$73,'GSTR 1'!$A$332:$A$448,Summaries!$A101)</f>
        <v>0</v>
      </c>
      <c r="DI101" s="80">
        <f>SUMIFS('GSTR 1'!$K$332:$K$448,'GSTR 1'!$M$332:$M$448,Summaries!$A$73,'GSTR 1'!$A$332:$A$448,Summaries!$A101)</f>
        <v>0</v>
      </c>
      <c r="DJ101" s="79">
        <f>SUMIFS('GSTR 1'!$E$332:$E$448,'GSTR 1'!$M$332:$M$448,Summaries!$A$74,'GSTR 1'!$A$332:$A$448,Summaries!$A101)</f>
        <v>0</v>
      </c>
      <c r="DK101" s="79">
        <f>SUMIFS('GSTR 1'!$F$332:$F$448,'GSTR 1'!$M$332:$M$448,Summaries!$A$74,'GSTR 1'!$A$332:$A$448,Summaries!$A101)</f>
        <v>0</v>
      </c>
      <c r="DL101" s="79">
        <f>SUMIFS('GSTR 1'!$G$332:$G$448,'GSTR 1'!$M$332:$M$448,Summaries!$A$74,'GSTR 1'!$A$332:$A$448,Summaries!$A101)</f>
        <v>0</v>
      </c>
      <c r="DM101" s="79">
        <f>SUMIFS('GSTR 1'!$H$332:$H$448,'GSTR 1'!$M$332:$M$448,Summaries!$A$74,'GSTR 1'!$A$332:$A$448,Summaries!$A101)</f>
        <v>0</v>
      </c>
      <c r="DN101" s="79">
        <f>SUMIFS('GSTR 1'!$I$332:$I$448,'GSTR 1'!$M$332:$M$448,Summaries!$A$74,'GSTR 1'!$A$332:$A$448,Summaries!$A101)</f>
        <v>0</v>
      </c>
      <c r="DO101" s="79">
        <f>SUMIFS('GSTR 1'!$J$332:$J$448,'GSTR 1'!$M$332:$M$448,Summaries!$A$74,'GSTR 1'!$A$332:$A$448,Summaries!$A101)</f>
        <v>0</v>
      </c>
      <c r="DP101" s="79">
        <f>SUMIFS('GSTR 1'!$K$332:$K$448,'GSTR 1'!$M$332:$M$448,Summaries!$A$74,'GSTR 1'!$A$332:$A$448,Summaries!$A101)</f>
        <v>0</v>
      </c>
      <c r="DQ101" s="80">
        <f>SUMIFS('GSTR 1'!$E$332:$E$448,'GSTR 1'!$M$332:$M$448,Summaries!$A$75,'GSTR 1'!$A$332:$A$448,Summaries!$A101)</f>
        <v>0</v>
      </c>
      <c r="DR101" s="80">
        <f>SUMIFS('GSTR 1'!$F$332:$F$448,'GSTR 1'!$M$332:$M$448,Summaries!$A$75,'GSTR 1'!$A$332:$A$448,Summaries!$A101)</f>
        <v>0</v>
      </c>
      <c r="DS101" s="80">
        <f>SUMIFS('GSTR 1'!$G$332:$G$448,'GSTR 1'!$M$332:$M$448,Summaries!$A$75,'GSTR 1'!$A$332:$A$448,Summaries!$A101)</f>
        <v>0</v>
      </c>
      <c r="DT101" s="80">
        <f>SUMIFS('GSTR 1'!$H$332:$H$448,'GSTR 1'!$M$332:$M$448,Summaries!$A$75,'GSTR 1'!$A$332:$A$448,Summaries!$A101)</f>
        <v>0</v>
      </c>
      <c r="DU101" s="80">
        <f>SUMIFS('GSTR 1'!$I$332:$I$448,'GSTR 1'!$M$332:$M$448,Summaries!$A$75,'GSTR 1'!$A$332:$A$448,Summaries!$A101)</f>
        <v>0</v>
      </c>
      <c r="DV101" s="80">
        <f>SUMIFS('GSTR 1'!$J$332:$J$448,'GSTR 1'!$M$332:$M$448,Summaries!$A$75,'GSTR 1'!$A$332:$A$448,Summaries!$A101)</f>
        <v>0</v>
      </c>
      <c r="DW101" s="80">
        <f>SUMIFS('GSTR 1'!$K$332:$K$448,'GSTR 1'!$M$332:$M$448,Summaries!$A$75,'GSTR 1'!$A$332:$A$448,Summaries!$A101)</f>
        <v>0</v>
      </c>
      <c r="DX101" s="79">
        <f>SUMIFS('GSTR 1'!$E$332:$E$448,'GSTR 1'!$M$332:$M$448,Summaries!$A$76,'GSTR 1'!$A$332:$A$448,Summaries!$A101)</f>
        <v>0</v>
      </c>
      <c r="DY101" s="79">
        <f>SUMIFS('GSTR 1'!$F$332:$F$448,'GSTR 1'!$M$332:$M$448,Summaries!$A$76,'GSTR 1'!$A$332:$A$448,Summaries!$A101)</f>
        <v>0</v>
      </c>
      <c r="DZ101" s="79">
        <f>SUMIFS('GSTR 1'!$G$332:$G$448,'GSTR 1'!$M$332:$M$448,Summaries!$A$76,'GSTR 1'!$A$332:$A$448,Summaries!$A101)</f>
        <v>0</v>
      </c>
      <c r="EA101" s="79">
        <f>SUMIFS('GSTR 1'!$H$332:$H$448,'GSTR 1'!$M$332:$M$448,Summaries!$A$76,'GSTR 1'!$A$332:$A$448,Summaries!$A101)</f>
        <v>0</v>
      </c>
      <c r="EB101" s="79">
        <f>SUMIFS('GSTR 1'!$I$332:$I$448,'GSTR 1'!$M$332:$M$448,Summaries!$A$76,'GSTR 1'!$A$332:$A$448,Summaries!$A101)</f>
        <v>0</v>
      </c>
      <c r="EC101" s="79">
        <f>SUMIFS('GSTR 1'!$J$332:$J$448,'GSTR 1'!$M$332:$M$448,Summaries!$A$76,'GSTR 1'!$A$332:$A$448,Summaries!$A101)</f>
        <v>0</v>
      </c>
      <c r="ED101" s="79">
        <f>SUMIFS('GSTR 1'!$K$332:$K$448,'GSTR 1'!$M$332:$M$448,Summaries!$A$76,'GSTR 1'!$A$332:$A$448,Summaries!$A101)</f>
        <v>0</v>
      </c>
      <c r="EE101" s="80">
        <f>SUMIFS('GSTR 1'!$E$332:$E$448,'GSTR 1'!$M$332:$M$448,Summaries!$A$77,'GSTR 1'!$A$332:$A$448,Summaries!$A101)</f>
        <v>0</v>
      </c>
      <c r="EF101" s="80">
        <f>SUMIFS('GSTR 1'!$F$332:$F$448,'GSTR 1'!$M$332:$M$448,Summaries!$A$77,'GSTR 1'!$A$332:$A$448,Summaries!$A101)</f>
        <v>0</v>
      </c>
      <c r="EG101" s="80">
        <f>SUMIFS('GSTR 1'!$G$332:$G$448,'GSTR 1'!$M$332:$M$448,Summaries!$A$77,'GSTR 1'!$A$332:$A$448,Summaries!$A101)</f>
        <v>0</v>
      </c>
      <c r="EH101" s="80">
        <f>SUMIFS('GSTR 1'!$H$332:$H$448,'GSTR 1'!$M$332:$M$448,Summaries!$A$77,'GSTR 1'!$A$332:$A$448,Summaries!$A101)</f>
        <v>0</v>
      </c>
      <c r="EI101" s="80">
        <f>SUMIFS('GSTR 1'!$I$332:$I$448,'GSTR 1'!$M$332:$M$448,Summaries!$A$77,'GSTR 1'!$A$332:$A$448,Summaries!$A101)</f>
        <v>0</v>
      </c>
      <c r="EJ101" s="80">
        <f>SUMIFS('GSTR 1'!$J$332:$J$448,'GSTR 1'!$M$332:$M$448,Summaries!$A$77,'GSTR 1'!$A$332:$A$448,Summaries!$A101)</f>
        <v>0</v>
      </c>
      <c r="EK101" s="80">
        <f>SUMIFS('GSTR 1'!$K$332:$K$448,'GSTR 1'!$M$332:$M$448,Summaries!$A$77,'GSTR 1'!$A$332:$A$448,Summaries!$A101)</f>
        <v>0</v>
      </c>
      <c r="EL101" s="79">
        <f>SUMIFS('GSTR 1'!$E$332:$E$448,'GSTR 1'!$M$332:$M$448,Summaries!$A$78,'GSTR 1'!$A$332:$A$448,Summaries!$A101)</f>
        <v>0</v>
      </c>
      <c r="EM101" s="79">
        <f>SUMIFS('GSTR 1'!$F$332:$F$448,'GSTR 1'!$M$332:$M$448,Summaries!$A$78,'GSTR 1'!$A$332:$A$448,Summaries!$A101)</f>
        <v>0</v>
      </c>
      <c r="EN101" s="79">
        <f>SUMIFS('GSTR 1'!$G$332:$G$448,'GSTR 1'!$M$332:$M$448,Summaries!$A$78,'GSTR 1'!$A$332:$A$448,Summaries!$A101)</f>
        <v>0</v>
      </c>
      <c r="EO101" s="79">
        <f>SUMIFS('GSTR 1'!$H$332:$H$448,'GSTR 1'!$M$332:$M$448,Summaries!$A$78,'GSTR 1'!$A$332:$A$448,Summaries!$A101)</f>
        <v>0</v>
      </c>
      <c r="EP101" s="79">
        <f>SUMIFS('GSTR 1'!$I$332:$I$448,'GSTR 1'!$M$332:$M$448,Summaries!$A$78,'GSTR 1'!$A$332:$A$448,Summaries!$A101)</f>
        <v>0</v>
      </c>
      <c r="EQ101" s="79">
        <f>SUMIFS('GSTR 1'!$J$332:$J$448,'GSTR 1'!$M$332:$M$448,Summaries!$A$78,'GSTR 1'!$A$332:$A$448,Summaries!$A101)</f>
        <v>0</v>
      </c>
      <c r="ER101" s="79">
        <f>SUMIFS('GSTR 1'!$K$332:$K$448,'GSTR 1'!$M$332:$M$448,Summaries!$A$78,'GSTR 1'!$A$332:$A$448,Summaries!$A101)</f>
        <v>0</v>
      </c>
      <c r="ES101" s="80">
        <f>SUMIFS('GSTR 1'!$E$332:$E$448,'GSTR 1'!$M$332:$M$448,Summaries!$A$79,'GSTR 1'!$A$332:$A$448,Summaries!$A101)</f>
        <v>0</v>
      </c>
      <c r="ET101" s="80">
        <f>SUMIFS('GSTR 1'!$F$332:$F$448,'GSTR 1'!$M$332:$M$448,Summaries!$A$79,'GSTR 1'!$A$332:$A$448,Summaries!$A101)</f>
        <v>0</v>
      </c>
      <c r="EU101" s="80">
        <f>SUMIFS('GSTR 1'!$G$332:$G$448,'GSTR 1'!$M$332:$M$448,Summaries!$A$79,'GSTR 1'!$A$332:$A$448,Summaries!$A101)</f>
        <v>0</v>
      </c>
      <c r="EV101" s="80">
        <f>SUMIFS('GSTR 1'!$H$332:$H$448,'GSTR 1'!$M$332:$M$448,Summaries!$A$79,'GSTR 1'!$A$332:$A$448,Summaries!$A101)</f>
        <v>0</v>
      </c>
      <c r="EW101" s="80">
        <f>SUMIFS('GSTR 1'!$I$332:$I$448,'GSTR 1'!$M$332:$M$448,Summaries!$A$79,'GSTR 1'!$A$332:$A$448,Summaries!$A101)</f>
        <v>0</v>
      </c>
      <c r="EX101" s="80">
        <f>SUMIFS('GSTR 1'!$J$332:$J$448,'GSTR 1'!$M$332:$M$448,Summaries!$A$79,'GSTR 1'!$A$332:$A$448,Summaries!$A101)</f>
        <v>0</v>
      </c>
      <c r="EY101" s="80">
        <f>SUMIFS('GSTR 1'!$K$332:$K$448,'GSTR 1'!$M$332:$M$448,Summaries!$A$79,'GSTR 1'!$A$332:$A$448,Summaries!$A101)</f>
        <v>0</v>
      </c>
      <c r="EZ101" s="79">
        <f>SUMIFS('GSTR 1'!$E$332:$E$448,'GSTR 1'!$M$332:$M$448,Summaries!$A$80,'GSTR 1'!$A$332:$A$448,Summaries!$A101)</f>
        <v>0</v>
      </c>
      <c r="FA101" s="79">
        <f>SUMIFS('GSTR 1'!$F$332:$F$448,'GSTR 1'!$M$332:$M$448,Summaries!$A$80,'GSTR 1'!$A$332:$A$448,Summaries!$A101)</f>
        <v>0</v>
      </c>
      <c r="FB101" s="79">
        <f>SUMIFS('GSTR 1'!$G$332:$G$448,'GSTR 1'!$M$332:$M$448,Summaries!$A$80,'GSTR 1'!$A$332:$A$448,Summaries!$A101)</f>
        <v>0</v>
      </c>
      <c r="FC101" s="79">
        <f>SUMIFS('GSTR 1'!$H$332:$H$448,'GSTR 1'!$M$332:$M$448,Summaries!$A$80,'GSTR 1'!$A$332:$A$448,Summaries!$A101)</f>
        <v>0</v>
      </c>
      <c r="FD101" s="79">
        <f>SUMIFS('GSTR 1'!$I$332:$I$448,'GSTR 1'!$M$332:$M$448,Summaries!$A$80,'GSTR 1'!$A$332:$A$448,Summaries!$A101)</f>
        <v>0</v>
      </c>
      <c r="FE101" s="79">
        <f>SUMIFS('GSTR 1'!$J$332:$J$448,'GSTR 1'!$M$332:$M$448,Summaries!$A$80,'GSTR 1'!$A$332:$A$448,Summaries!$A101)</f>
        <v>0</v>
      </c>
      <c r="FF101" s="79">
        <f>SUMIFS('GSTR 1'!$K$332:$K$448,'GSTR 1'!$M$332:$M$448,Summaries!$A$80,'GSTR 1'!$A$332:$A$448,Summaries!$A101)</f>
        <v>0</v>
      </c>
      <c r="FG101" s="80">
        <f>SUMIFS('GSTR 1'!$E$332:$E$448,'GSTR 1'!$M$332:$M$448,Summaries!$A$81,'GSTR 1'!$A$332:$A$448,Summaries!$A101)</f>
        <v>0</v>
      </c>
      <c r="FH101" s="80">
        <f>SUMIFS('GSTR 1'!$F$332:$F$448,'GSTR 1'!$M$332:$M$448,Summaries!$A$81,'GSTR 1'!$A$332:$A$448,Summaries!$A101)</f>
        <v>0</v>
      </c>
      <c r="FI101" s="80">
        <f>SUMIFS('GSTR 1'!$G$332:$G$448,'GSTR 1'!$M$332:$M$448,Summaries!$A$81,'GSTR 1'!$A$332:$A$448,Summaries!$A101)</f>
        <v>0</v>
      </c>
      <c r="FJ101" s="80">
        <f>SUMIFS('GSTR 1'!$H$332:$H$448,'GSTR 1'!$M$332:$M$448,Summaries!$A$81,'GSTR 1'!$A$332:$A$448,Summaries!$A101)</f>
        <v>0</v>
      </c>
      <c r="FK101" s="80">
        <f>SUMIFS('GSTR 1'!$I$332:$I$448,'GSTR 1'!$M$332:$M$448,Summaries!$A$81,'GSTR 1'!$A$332:$A$448,Summaries!$A101)</f>
        <v>0</v>
      </c>
      <c r="FL101" s="80">
        <f>SUMIFS('GSTR 1'!$J$332:$J$448,'GSTR 1'!$M$332:$M$448,Summaries!$A$81,'GSTR 1'!$A$332:$A$448,Summaries!$A101)</f>
        <v>0</v>
      </c>
      <c r="FM101" s="80">
        <f>SUMIFS('GSTR 1'!$K$332:$K$448,'GSTR 1'!$M$332:$M$448,Summaries!$A$81,'GSTR 1'!$A$332:$A$448,Summaries!$A101)</f>
        <v>0</v>
      </c>
      <c r="FN101" s="79">
        <f>SUMIFS('GSTR 1'!$E$332:$E$448,'GSTR 1'!$M$332:$M$448,Summaries!$A$82,'GSTR 1'!$A$332:$A$448,Summaries!$A101)</f>
        <v>0</v>
      </c>
      <c r="FO101" s="79">
        <f>SUMIFS('GSTR 1'!$F$332:$F$448,'GSTR 1'!$M$332:$M$448,Summaries!$A$82,'GSTR 1'!$A$332:$A$448,Summaries!$A101)</f>
        <v>0</v>
      </c>
      <c r="FP101" s="79">
        <f>SUMIFS('GSTR 1'!$G$332:$G$448,'GSTR 1'!$M$332:$M$448,Summaries!$A$82,'GSTR 1'!$A$332:$A$448,Summaries!$A101)</f>
        <v>0</v>
      </c>
      <c r="FQ101" s="79">
        <f>SUMIFS('GSTR 1'!$H$332:$H$448,'GSTR 1'!$M$332:$M$448,Summaries!$A$82,'GSTR 1'!$A$332:$A$448,Summaries!$A101)</f>
        <v>0</v>
      </c>
      <c r="FR101" s="79">
        <f>SUMIFS('GSTR 1'!$I$332:$I$448,'GSTR 1'!$M$332:$M$448,Summaries!$A$82,'GSTR 1'!$A$332:$A$448,Summaries!$A101)</f>
        <v>0</v>
      </c>
      <c r="FS101" s="79">
        <f>SUMIFS('GSTR 1'!$J$332:$J$448,'GSTR 1'!$M$332:$M$448,Summaries!$A$82,'GSTR 1'!$A$332:$A$448,Summaries!$A101)</f>
        <v>0</v>
      </c>
      <c r="FT101" s="79">
        <f>SUMIFS('GSTR 1'!$K$332:$K$448,'GSTR 1'!$M$332:$M$448,Summaries!$A$82,'GSTR 1'!$A$332:$A$448,Summaries!$A101)</f>
        <v>0</v>
      </c>
      <c r="FU101" s="80">
        <f>SUMIFS('GSTR 1'!$E$332:$E$448,'GSTR 1'!$M$332:$M$448,Summaries!$A$83,'GSTR 1'!$A$332:$A$448,Summaries!$A101)</f>
        <v>0</v>
      </c>
      <c r="FV101" s="80">
        <f>SUMIFS('GSTR 1'!$F$332:$F$448,'GSTR 1'!$M$332:$M$448,Summaries!$A$83,'GSTR 1'!$A$332:$A$448,Summaries!$A101)</f>
        <v>0</v>
      </c>
      <c r="FW101" s="80">
        <f>SUMIFS('GSTR 1'!$G$332:$G$448,'GSTR 1'!$M$332:$M$448,Summaries!$A$83,'GSTR 1'!$A$332:$A$448,Summaries!$A101)</f>
        <v>0</v>
      </c>
      <c r="FX101" s="80">
        <f>SUMIFS('GSTR 1'!$H$332:$H$448,'GSTR 1'!$M$332:$M$448,Summaries!$A$83,'GSTR 1'!$A$332:$A$448,Summaries!$A101)</f>
        <v>0</v>
      </c>
      <c r="FY101" s="80">
        <f>SUMIFS('GSTR 1'!$I$332:$I$448,'GSTR 1'!$M$332:$M$448,Summaries!$A$83,'GSTR 1'!$A$332:$A$448,Summaries!$A101)</f>
        <v>0</v>
      </c>
      <c r="FZ101" s="80">
        <f>SUMIFS('GSTR 1'!$J$332:$J$448,'GSTR 1'!$M$332:$M$448,Summaries!$A$83,'GSTR 1'!$A$332:$A$448,Summaries!$A101)</f>
        <v>0</v>
      </c>
      <c r="GA101" s="80">
        <f>SUMIFS('GSTR 1'!$K$332:$K$448,'GSTR 1'!$M$332:$M$448,Summaries!$A$83,'GSTR 1'!$A$332:$A$448,Summaries!$A101)</f>
        <v>0</v>
      </c>
      <c r="GB101" s="79">
        <f>SUMIFS('GSTR 1'!$E$332:$E$448,'GSTR 1'!$M$332:$M$448,Summaries!$A$84,'GSTR 1'!$A$332:$A$448,Summaries!$A101)</f>
        <v>0</v>
      </c>
      <c r="GC101" s="79">
        <f>SUMIFS('GSTR 1'!$F$332:$F$448,'GSTR 1'!$M$332:$M$448,Summaries!$A$84,'GSTR 1'!$A$332:$A$448,Summaries!$A101)</f>
        <v>0</v>
      </c>
      <c r="GD101" s="79">
        <f>SUMIFS('GSTR 1'!$G$332:$G$448,'GSTR 1'!$M$332:$M$448,Summaries!$A$84,'GSTR 1'!$A$332:$A$448,Summaries!$A101)</f>
        <v>0</v>
      </c>
      <c r="GE101" s="79">
        <f>SUMIFS('GSTR 1'!$H$332:$H$448,'GSTR 1'!$M$332:$M$448,Summaries!$A$84,'GSTR 1'!$A$332:$A$448,Summaries!$A101)</f>
        <v>0</v>
      </c>
      <c r="GF101" s="79">
        <f>SUMIFS('GSTR 1'!$I$332:$I$448,'GSTR 1'!$M$332:$M$448,Summaries!$A$84,'GSTR 1'!$A$332:$A$448,Summaries!$A101)</f>
        <v>0</v>
      </c>
      <c r="GG101" s="79">
        <f>SUMIFS('GSTR 1'!$J$332:$J$448,'GSTR 1'!$M$332:$M$448,Summaries!$A$84,'GSTR 1'!$A$332:$A$448,Summaries!$A101)</f>
        <v>0</v>
      </c>
      <c r="GH101" s="79">
        <f>SUMIFS('GSTR 1'!$K$332:$K$448,'GSTR 1'!$M$332:$M$448,Summaries!$A$84,'GSTR 1'!$A$332:$A$448,Summaries!$A101)</f>
        <v>0</v>
      </c>
      <c r="GI101" s="80">
        <f>SUMIFS('GSTR 1'!$E$332:$E$448,'GSTR 1'!$M$332:$M$448,Summaries!$A$85,'GSTR 1'!$A$332:$A$448,Summaries!$A101)</f>
        <v>0</v>
      </c>
      <c r="GJ101" s="80">
        <f>SUMIFS('GSTR 1'!$F$332:$F$448,'GSTR 1'!$M$332:$M$448,Summaries!$A$85,'GSTR 1'!$A$332:$A$448,Summaries!$A101)</f>
        <v>0</v>
      </c>
      <c r="GK101" s="80">
        <f>SUMIFS('GSTR 1'!$G$332:$G$448,'GSTR 1'!$M$332:$M$448,Summaries!$A$85,'GSTR 1'!$A$332:$A$448,Summaries!$A101)</f>
        <v>0</v>
      </c>
      <c r="GL101" s="80">
        <f>SUMIFS('GSTR 1'!$H$332:$H$448,'GSTR 1'!$M$332:$M$448,Summaries!$A$85,'GSTR 1'!$A$332:$A$448,Summaries!$A101)</f>
        <v>0</v>
      </c>
      <c r="GM101" s="80">
        <f>SUMIFS('GSTR 1'!$I$332:$I$448,'GSTR 1'!$M$332:$M$448,Summaries!$A$85,'GSTR 1'!$A$332:$A$448,Summaries!$A101)</f>
        <v>0</v>
      </c>
      <c r="GN101" s="80">
        <f>SUMIFS('GSTR 1'!$J$332:$J$448,'GSTR 1'!$M$332:$M$448,Summaries!$A$85,'GSTR 1'!$A$332:$A$448,Summaries!$A101)</f>
        <v>0</v>
      </c>
      <c r="GO101" s="80">
        <f>SUMIFS('GSTR 1'!$K$332:$K$448,'GSTR 1'!$M$332:$M$448,Summaries!$A$85,'GSTR 1'!$A$332:$A$448,Summaries!$A101)</f>
        <v>0</v>
      </c>
      <c r="GP101" s="79">
        <f>SUMIFS('GSTR 1'!$E$332:$E$448,'GSTR 1'!$M$332:$M$448,Summaries!$A$86,'GSTR 1'!$A$332:$A$448,Summaries!$A101)</f>
        <v>0</v>
      </c>
      <c r="GQ101" s="79">
        <f>SUMIFS('GSTR 1'!$F$332:$F$448,'GSTR 1'!$M$332:$M$448,Summaries!$A$86,'GSTR 1'!$A$332:$A$448,Summaries!$A101)</f>
        <v>0</v>
      </c>
      <c r="GR101" s="79">
        <f>SUMIFS('GSTR 1'!$G$332:$G$448,'GSTR 1'!$M$332:$M$448,Summaries!$A$86,'GSTR 1'!$A$332:$A$448,Summaries!$A101)</f>
        <v>0</v>
      </c>
      <c r="GS101" s="79">
        <f>SUMIFS('GSTR 1'!$H$332:$H$448,'GSTR 1'!$M$332:$M$448,Summaries!$A$86,'GSTR 1'!$A$332:$A$448,Summaries!$A101)</f>
        <v>0</v>
      </c>
      <c r="GT101" s="79">
        <f>SUMIFS('GSTR 1'!$I$332:$I$448,'GSTR 1'!$M$332:$M$448,Summaries!$A$86,'GSTR 1'!$A$332:$A$448,Summaries!$A101)</f>
        <v>0</v>
      </c>
      <c r="GU101" s="79">
        <f>SUMIFS('GSTR 1'!$J$332:$J$448,'GSTR 1'!$M$332:$M$448,Summaries!$A$86,'GSTR 1'!$A$332:$A$448,Summaries!$A101)</f>
        <v>0</v>
      </c>
      <c r="GV101" s="79">
        <f>SUMIFS('GSTR 1'!$K$332:$K$448,'GSTR 1'!$M$332:$M$448,Summaries!$A$86,'GSTR 1'!$A$332:$A$448,Summaries!$A101)</f>
        <v>0</v>
      </c>
      <c r="GW101" s="80">
        <f>SUMIFS('GSTR 1'!$E$332:$E$448,'GSTR 1'!$M$332:$M$448,Summaries!$A$87,'GSTR 1'!$A$332:$A$448,Summaries!$A101)</f>
        <v>0</v>
      </c>
      <c r="GX101" s="80">
        <f>SUMIFS('GSTR 1'!$F$332:$F$448,'GSTR 1'!$M$332:$M$448,Summaries!$A$87,'GSTR 1'!$A$332:$A$448,Summaries!$A101)</f>
        <v>0</v>
      </c>
      <c r="GY101" s="80">
        <f>SUMIFS('GSTR 1'!$G$332:$G$448,'GSTR 1'!$M$332:$M$448,Summaries!$A$87,'GSTR 1'!$A$332:$A$448,Summaries!$A101)</f>
        <v>0</v>
      </c>
      <c r="GZ101" s="80">
        <f>SUMIFS('GSTR 1'!$H$332:$H$448,'GSTR 1'!$M$332:$M$448,Summaries!$A$87,'GSTR 1'!$A$332:$A$448,Summaries!$A101)</f>
        <v>0</v>
      </c>
      <c r="HA101" s="80">
        <f>SUMIFS('GSTR 1'!$I$332:$I$448,'GSTR 1'!$M$332:$M$448,Summaries!$A$87,'GSTR 1'!$A$332:$A$448,Summaries!$A101)</f>
        <v>0</v>
      </c>
      <c r="HB101" s="80">
        <f>SUMIFS('GSTR 1'!$J$332:$J$448,'GSTR 1'!$M$332:$M$448,Summaries!$A$87,'GSTR 1'!$A$332:$A$448,Summaries!$A101)</f>
        <v>0</v>
      </c>
      <c r="HC101" s="80">
        <f>SUMIFS('GSTR 1'!$K$332:$K$448,'GSTR 1'!$M$332:$M$448,Summaries!$A$87,'GSTR 1'!$A$332:$A$448,Summaries!$A101)</f>
        <v>0</v>
      </c>
    </row>
    <row r="102" spans="1:211" x14ac:dyDescent="0.3">
      <c r="A102" s="78">
        <f>DATE(INT(LEFT($B$3,4)),8,1)</f>
        <v>45870</v>
      </c>
      <c r="B102" s="79">
        <f>SUMIFS('GSTR 1'!$E$332:$E$448,'GSTR 1'!$M$332:$M$448,Summaries!$A$58,'GSTR 1'!$A$332:$A$448,Summaries!A102)</f>
        <v>0</v>
      </c>
      <c r="C102" s="79">
        <f>SUMIFS('GSTR 1'!$F$332:$F$448,'GSTR 1'!$M$332:$M$448,Summaries!$A$58,'GSTR 1'!$A$332:$A$448,Summaries!A102)</f>
        <v>0</v>
      </c>
      <c r="D102" s="79">
        <f>SUMIFS('GSTR 1'!$G$332:$G$448,'GSTR 1'!$M$332:$M$448,Summaries!$A$58,'GSTR 1'!$A$332:$A$448,Summaries!A102)</f>
        <v>0</v>
      </c>
      <c r="E102" s="79">
        <f>SUMIFS('GSTR 1'!$H$332:$H$448,'GSTR 1'!$M$332:$M$448,Summaries!$A$58,'GSTR 1'!$A$332:$A$448,Summaries!A102)</f>
        <v>0</v>
      </c>
      <c r="F102" s="79">
        <f>SUMIFS('GSTR 1'!$I$332:$I$448,'GSTR 1'!$M$332:$M$448,Summaries!$A$58,'GSTR 1'!$A$332:$A$448,Summaries!A102)</f>
        <v>0</v>
      </c>
      <c r="G102" s="79">
        <f>SUMIFS('GSTR 1'!$J$332:$J$448,'GSTR 1'!$M$332:$M$448,Summaries!$A$58,'GSTR 1'!$A$332:$A$448,Summaries!A102)</f>
        <v>0</v>
      </c>
      <c r="H102" s="79">
        <f>SUMIFS('GSTR 1'!$K$332:$K$448,'GSTR 1'!$M$332:$M$448,Summaries!$A$58,'GSTR 1'!$A$332:$A$448,Summaries!A102)</f>
        <v>0</v>
      </c>
      <c r="I102" s="80">
        <f>SUMIFS('GSTR 1'!$E$332:$E$448,'GSTR 1'!$M$332:$M$448,Summaries!$A$59,'GSTR 1'!$A$332:$A$448,Summaries!$A102)</f>
        <v>0</v>
      </c>
      <c r="J102" s="80">
        <f>SUMIFS('GSTR 1'!$F$332:$F$448,'GSTR 1'!$M$332:$M$448,Summaries!$A$59,'GSTR 1'!$A$332:$A$448,Summaries!$A102)</f>
        <v>0</v>
      </c>
      <c r="K102" s="80">
        <f>SUMIFS('GSTR 1'!$G$332:$G$448,'GSTR 1'!$M$332:$M$448,Summaries!$A$59,'GSTR 1'!$A$332:$A$448,Summaries!$A102)</f>
        <v>0</v>
      </c>
      <c r="L102" s="80">
        <f>SUMIFS('GSTR 1'!$H$332:$H$448,'GSTR 1'!$M$332:$M$448,Summaries!$A$59,'GSTR 1'!$A$332:$A$448,Summaries!$A102)</f>
        <v>0</v>
      </c>
      <c r="M102" s="80">
        <f>SUMIFS('GSTR 1'!$I$332:$I$448,'GSTR 1'!$M$332:$M$448,Summaries!$A$59,'GSTR 1'!$A$332:$A$448,Summaries!$A102)</f>
        <v>0</v>
      </c>
      <c r="N102" s="80">
        <f>SUMIFS('GSTR 1'!$J$332:$J$448,'GSTR 1'!$M$332:$M$448,Summaries!$A$59,'GSTR 1'!$A$332:$A$448,Summaries!$A102)</f>
        <v>0</v>
      </c>
      <c r="O102" s="80">
        <f>SUMIFS('GSTR 1'!$K$332:$K$448,'GSTR 1'!$M$332:$M$448,Summaries!$A$59,'GSTR 1'!$A$332:$A$448,Summaries!$A102)</f>
        <v>0</v>
      </c>
      <c r="P102" s="79">
        <f>SUMIFS('GSTR 1'!$E$332:$E$448,'GSTR 1'!$M$332:$M$448,Summaries!$A$60,'GSTR 1'!$A$332:$A$448,Summaries!$A102)</f>
        <v>0</v>
      </c>
      <c r="Q102" s="79">
        <f>SUMIFS('GSTR 1'!$F$332:$F$448,'GSTR 1'!$M$332:$M$448,Summaries!$A$60,'GSTR 1'!$A$332:$A$448,Summaries!$A102)</f>
        <v>0</v>
      </c>
      <c r="R102" s="79">
        <f>SUMIFS('GSTR 1'!$G$332:$G$448,'GSTR 1'!$M$332:$M$448,Summaries!$A$60,'GSTR 1'!$A$332:$A$448,Summaries!$A102)</f>
        <v>0</v>
      </c>
      <c r="S102" s="79">
        <f>SUMIFS('GSTR 1'!$H$332:$H$448,'GSTR 1'!$M$332:$M$448,Summaries!$A$60,'GSTR 1'!$A$332:$A$448,Summaries!$A102)</f>
        <v>0</v>
      </c>
      <c r="T102" s="79">
        <f>SUMIFS('GSTR 1'!$I$332:$I$448,'GSTR 1'!$M$332:$M$448,Summaries!$A$60,'GSTR 1'!$A$332:$A$448,Summaries!$A102)</f>
        <v>0</v>
      </c>
      <c r="U102" s="79">
        <f>SUMIFS('GSTR 1'!$J$332:$J$448,'GSTR 1'!$M$332:$M$448,Summaries!$A$60,'GSTR 1'!$A$332:$A$448,Summaries!$A102)</f>
        <v>0</v>
      </c>
      <c r="V102" s="79">
        <f>SUMIFS('GSTR 1'!$K$332:$K$448,'GSTR 1'!$M$332:$M$448,Summaries!$A$60,'GSTR 1'!$A$332:$A$448,Summaries!$A102)</f>
        <v>0</v>
      </c>
      <c r="W102" s="80">
        <f>SUMIFS('GSTR 1'!$E$332:$E$448,'GSTR 1'!$M$332:$M$448,Summaries!$A$61,'GSTR 1'!$A$332:$A$448,Summaries!$A102)</f>
        <v>0</v>
      </c>
      <c r="X102" s="80">
        <f>SUMIFS('GSTR 1'!$F$332:$F$448,'GSTR 1'!$M$332:$M$448,Summaries!$A$61,'GSTR 1'!$A$332:$A$448,Summaries!$A102)</f>
        <v>0</v>
      </c>
      <c r="Y102" s="80">
        <f>SUMIFS('GSTR 1'!$G$332:$G$448,'GSTR 1'!$M$332:$M$448,Summaries!$A$61,'GSTR 1'!$A$332:$A$448,Summaries!$A102)</f>
        <v>0</v>
      </c>
      <c r="Z102" s="80">
        <f>SUMIFS('GSTR 1'!$H$332:$H$448,'GSTR 1'!$M$332:$M$448,Summaries!$A$61,'GSTR 1'!$A$332:$A$448,Summaries!$A102)</f>
        <v>0</v>
      </c>
      <c r="AA102" s="80">
        <f>SUMIFS('GSTR 1'!$I$332:$I$448,'GSTR 1'!$M$332:$M$448,Summaries!$A$61,'GSTR 1'!$A$332:$A$448,Summaries!$A102)</f>
        <v>0</v>
      </c>
      <c r="AB102" s="80">
        <f>SUMIFS('GSTR 1'!$J$332:$J$448,'GSTR 1'!$M$332:$M$448,Summaries!$A$61,'GSTR 1'!$A$332:$A$448,Summaries!$A102)</f>
        <v>0</v>
      </c>
      <c r="AC102" s="80">
        <f>SUMIFS('GSTR 1'!$K$332:$K$448,'GSTR 1'!$M$332:$M$448,Summaries!$A$61,'GSTR 1'!$A$332:$A$448,Summaries!$A102)</f>
        <v>0</v>
      </c>
      <c r="AD102" s="79">
        <f>SUMIFS('GSTR 1'!$E$332:$E$448,'GSTR 1'!$M$332:$M$448,Summaries!$A$62,'GSTR 1'!$A$332:$A$448,Summaries!$A102)</f>
        <v>0</v>
      </c>
      <c r="AE102" s="79">
        <f>SUMIFS('GSTR 1'!$F$332:$F$448,'GSTR 1'!$M$332:$M$448,Summaries!$A$62,'GSTR 1'!$A$332:$A$448,Summaries!$A102)</f>
        <v>0</v>
      </c>
      <c r="AF102" s="79">
        <f>SUMIFS('GSTR 1'!$G$332:$G$448,'GSTR 1'!$M$332:$M$448,Summaries!$A$62,'GSTR 1'!$A$332:$A$448,Summaries!$A102)</f>
        <v>0</v>
      </c>
      <c r="AG102" s="79">
        <f>SUMIFS('GSTR 1'!$H$332:$H$448,'GSTR 1'!$M$332:$M$448,Summaries!$A$62,'GSTR 1'!$A$332:$A$448,Summaries!$A102)</f>
        <v>0</v>
      </c>
      <c r="AH102" s="79">
        <f>SUMIFS('GSTR 1'!$I$332:$I$448,'GSTR 1'!$M$332:$M$448,Summaries!$A$62,'GSTR 1'!$A$332:$A$448,Summaries!$A102)</f>
        <v>0</v>
      </c>
      <c r="AI102" s="79">
        <f>SUMIFS('GSTR 1'!$J$332:$J$448,'GSTR 1'!$M$332:$M$448,Summaries!$A$62,'GSTR 1'!$A$332:$A$448,Summaries!$A102)</f>
        <v>0</v>
      </c>
      <c r="AJ102" s="79">
        <f>SUMIFS('GSTR 1'!$K$332:$K$448,'GSTR 1'!$M$332:$M$448,Summaries!$A$62,'GSTR 1'!$A$332:$A$448,Summaries!$A102)</f>
        <v>0</v>
      </c>
      <c r="AK102" s="80">
        <f>SUMIFS('GSTR 1'!$E$332:$E$448,'GSTR 1'!$M$332:$M$448,Summaries!$A$63,'GSTR 1'!$A$332:$A$448,Summaries!$A102)</f>
        <v>0</v>
      </c>
      <c r="AL102" s="80">
        <f>SUMIFS('GSTR 1'!$F$332:$F$448,'GSTR 1'!$M$332:$M$448,Summaries!$A$63,'GSTR 1'!$A$332:$A$448,Summaries!$A102)</f>
        <v>0</v>
      </c>
      <c r="AM102" s="80">
        <f>SUMIFS('GSTR 1'!$G$332:$G$448,'GSTR 1'!$M$332:$M$448,Summaries!$A$63,'GSTR 1'!$A$332:$A$448,Summaries!$A102)</f>
        <v>0</v>
      </c>
      <c r="AN102" s="80">
        <f>SUMIFS('GSTR 1'!$H$332:$H$448,'GSTR 1'!$M$332:$M$448,Summaries!$A$63,'GSTR 1'!$A$332:$A$448,Summaries!$A102)</f>
        <v>0</v>
      </c>
      <c r="AO102" s="80">
        <f>SUMIFS('GSTR 1'!$I$332:$I$448,'GSTR 1'!$M$332:$M$448,Summaries!$A$63,'GSTR 1'!$A$332:$A$448,Summaries!$A102)</f>
        <v>0</v>
      </c>
      <c r="AP102" s="80">
        <f>SUMIFS('GSTR 1'!$J$332:$J$448,'GSTR 1'!$M$332:$M$448,Summaries!$A$63,'GSTR 1'!$A$332:$A$448,Summaries!$A102)</f>
        <v>0</v>
      </c>
      <c r="AQ102" s="80">
        <f>SUMIFS('GSTR 1'!$K$332:$K$448,'GSTR 1'!$M$332:$M$448,Summaries!$A$63,'GSTR 1'!$A$332:$A$448,Summaries!$A102)</f>
        <v>0</v>
      </c>
      <c r="AR102" s="79">
        <f>SUMIFS('GSTR 1'!$E$332:$E$448,'GSTR 1'!$M$332:$M$448,Summaries!$A$64,'GSTR 1'!$A$332:$A$448,Summaries!$A102)</f>
        <v>0</v>
      </c>
      <c r="AS102" s="79">
        <f>SUMIFS('GSTR 1'!$F$332:$F$448,'GSTR 1'!$M$332:$M$448,Summaries!$A$64,'GSTR 1'!$A$332:$A$448,Summaries!$A102)</f>
        <v>0</v>
      </c>
      <c r="AT102" s="79">
        <f>SUMIFS('GSTR 1'!$G$332:$G$448,'GSTR 1'!$M$332:$M$448,Summaries!$A$64,'GSTR 1'!$A$332:$A$448,Summaries!$A102)</f>
        <v>0</v>
      </c>
      <c r="AU102" s="79">
        <f>SUMIFS('GSTR 1'!$H$332:$H$448,'GSTR 1'!$M$332:$M$448,Summaries!$A$64,'GSTR 1'!$A$332:$A$448,Summaries!$A102)</f>
        <v>0</v>
      </c>
      <c r="AV102" s="79">
        <f>SUMIFS('GSTR 1'!$I$332:$I$448,'GSTR 1'!$M$332:$M$448,Summaries!$A$64,'GSTR 1'!$A$332:$A$448,Summaries!$A102)</f>
        <v>0</v>
      </c>
      <c r="AW102" s="79">
        <f>SUMIFS('GSTR 1'!$J$332:$J$448,'GSTR 1'!$M$332:$M$448,Summaries!$A$64,'GSTR 1'!$A$332:$A$448,Summaries!$A102)</f>
        <v>0</v>
      </c>
      <c r="AX102" s="79">
        <f>SUMIFS('GSTR 1'!$K$332:$K$448,'GSTR 1'!$M$332:$M$448,Summaries!$A$64,'GSTR 1'!$A$332:$A$448,Summaries!$A102)</f>
        <v>0</v>
      </c>
      <c r="AY102" s="80">
        <f>SUMIFS('GSTR 1'!$E$332:$E$448,'GSTR 1'!$M$332:$M$448,Summaries!$A$65,'GSTR 1'!$A$332:$A$448,Summaries!$A102)</f>
        <v>0</v>
      </c>
      <c r="AZ102" s="80">
        <f>SUMIFS('GSTR 1'!$F$332:$F$448,'GSTR 1'!$M$332:$M$448,Summaries!$A$65,'GSTR 1'!$A$332:$A$448,Summaries!$A102)</f>
        <v>0</v>
      </c>
      <c r="BA102" s="80">
        <f>SUMIFS('GSTR 1'!$G$332:$G$448,'GSTR 1'!$M$332:$M$448,Summaries!$A$65,'GSTR 1'!$A$332:$A$448,Summaries!$A102)</f>
        <v>0</v>
      </c>
      <c r="BB102" s="80">
        <f>SUMIFS('GSTR 1'!$H$332:$H$448,'GSTR 1'!$M$332:$M$448,Summaries!$A$65,'GSTR 1'!$A$332:$A$448,Summaries!$A102)</f>
        <v>0</v>
      </c>
      <c r="BC102" s="80">
        <f>SUMIFS('GSTR 1'!$I$332:$I$448,'GSTR 1'!$M$332:$M$448,Summaries!$A$65,'GSTR 1'!$A$332:$A$448,Summaries!$A102)</f>
        <v>0</v>
      </c>
      <c r="BD102" s="80">
        <f>SUMIFS('GSTR 1'!$J$332:$J$448,'GSTR 1'!$M$332:$M$448,Summaries!$A$65,'GSTR 1'!$A$332:$A$448,Summaries!$A102)</f>
        <v>0</v>
      </c>
      <c r="BE102" s="80">
        <f>SUMIFS('GSTR 1'!$K$332:$K$448,'GSTR 1'!$M$332:$M$448,Summaries!$A$65,'GSTR 1'!$A$332:$A$448,Summaries!$A102)</f>
        <v>0</v>
      </c>
      <c r="BF102" s="79">
        <f>SUMIFS('GSTR 1'!$E$332:$E$448,'GSTR 1'!$M$332:$M$448,Summaries!$A$66,'GSTR 1'!$A$332:$A$448,Summaries!$A102)</f>
        <v>0</v>
      </c>
      <c r="BG102" s="79">
        <f>SUMIFS('GSTR 1'!$F$332:$F$448,'GSTR 1'!$M$332:$M$448,Summaries!$A$66,'GSTR 1'!$A$332:$A$448,Summaries!$A102)</f>
        <v>0</v>
      </c>
      <c r="BH102" s="79">
        <f>SUMIFS('GSTR 1'!$G$332:$G$448,'GSTR 1'!$M$332:$M$448,Summaries!$A$66,'GSTR 1'!$A$332:$A$448,Summaries!$A102)</f>
        <v>0</v>
      </c>
      <c r="BI102" s="79">
        <f>SUMIFS('GSTR 1'!$H$332:$H$448,'GSTR 1'!$M$332:$M$448,Summaries!$A$66,'GSTR 1'!$A$332:$A$448,Summaries!$A102)</f>
        <v>0</v>
      </c>
      <c r="BJ102" s="79">
        <f>SUMIFS('GSTR 1'!$I$332:$I$448,'GSTR 1'!$M$332:$M$448,Summaries!$A$66,'GSTR 1'!$A$332:$A$448,Summaries!$A102)</f>
        <v>0</v>
      </c>
      <c r="BK102" s="79">
        <f>SUMIFS('GSTR 1'!$J$332:$J$448,'GSTR 1'!$M$332:$M$448,Summaries!$A$66,'GSTR 1'!$A$332:$A$448,Summaries!$A102)</f>
        <v>0</v>
      </c>
      <c r="BL102" s="79">
        <f>SUMIFS('GSTR 1'!$K$332:$K$448,'GSTR 1'!$M$332:$M$448,Summaries!$A$66,'GSTR 1'!$A$332:$A$448,Summaries!$A102)</f>
        <v>0</v>
      </c>
      <c r="BM102" s="80">
        <f>SUMIFS('GSTR 1'!$E$332:$E$448,'GSTR 1'!$M$332:$M$448,Summaries!$A$67,'GSTR 1'!$A$332:$A$448,Summaries!$A102)</f>
        <v>0</v>
      </c>
      <c r="BN102" s="80">
        <f>SUMIFS('GSTR 1'!$F$332:$F$448,'GSTR 1'!$M$332:$M$448,Summaries!$A$67,'GSTR 1'!$A$332:$A$448,Summaries!$A102)</f>
        <v>0</v>
      </c>
      <c r="BO102" s="80">
        <f>SUMIFS('GSTR 1'!$G$332:$G$448,'GSTR 1'!$M$332:$M$448,Summaries!$A$67,'GSTR 1'!$A$332:$A$448,Summaries!$A102)</f>
        <v>0</v>
      </c>
      <c r="BP102" s="80">
        <f>SUMIFS('GSTR 1'!$H$332:$H$448,'GSTR 1'!$M$332:$M$448,Summaries!$A$67,'GSTR 1'!$A$332:$A$448,Summaries!$A102)</f>
        <v>0</v>
      </c>
      <c r="BQ102" s="80">
        <f>SUMIFS('GSTR 1'!$I$332:$I$448,'GSTR 1'!$M$332:$M$448,Summaries!$A$67,'GSTR 1'!$A$332:$A$448,Summaries!$A102)</f>
        <v>0</v>
      </c>
      <c r="BR102" s="80">
        <f>SUMIFS('GSTR 1'!$J$332:$J$448,'GSTR 1'!$M$332:$M$448,Summaries!$A$67,'GSTR 1'!$A$332:$A$448,Summaries!$A102)</f>
        <v>0</v>
      </c>
      <c r="BS102" s="80">
        <f>SUMIFS('GSTR 1'!$K$332:$K$448,'GSTR 1'!$M$332:$M$448,Summaries!$A$67,'GSTR 1'!$A$332:$A$448,Summaries!$A102)</f>
        <v>0</v>
      </c>
      <c r="BT102" s="79">
        <f>SUMIFS('GSTR 1'!$E$332:$E$448,'GSTR 1'!$M$332:$M$448,Summaries!$A$68,'GSTR 1'!$A$332:$A$448,Summaries!$A102)</f>
        <v>0</v>
      </c>
      <c r="BU102" s="79">
        <f>SUMIFS('GSTR 1'!$F$332:$F$448,'GSTR 1'!$M$332:$M$448,Summaries!$A$68,'GSTR 1'!$A$332:$A$448,Summaries!$A102)</f>
        <v>0</v>
      </c>
      <c r="BV102" s="79">
        <f>SUMIFS('GSTR 1'!$G$332:$G$448,'GSTR 1'!$M$332:$M$448,Summaries!$A$68,'GSTR 1'!$A$332:$A$448,Summaries!$A102)</f>
        <v>0</v>
      </c>
      <c r="BW102" s="79">
        <f>SUMIFS('GSTR 1'!$H$332:$H$448,'GSTR 1'!$M$332:$M$448,Summaries!$A$68,'GSTR 1'!$A$332:$A$448,Summaries!$A102)</f>
        <v>0</v>
      </c>
      <c r="BX102" s="79">
        <f>SUMIFS('GSTR 1'!$I$332:$I$448,'GSTR 1'!$M$332:$M$448,Summaries!$A$68,'GSTR 1'!$A$332:$A$448,Summaries!$A102)</f>
        <v>0</v>
      </c>
      <c r="BY102" s="79">
        <f>SUMIFS('GSTR 1'!$J$332:$J$448,'GSTR 1'!$M$332:$M$448,Summaries!$A$68,'GSTR 1'!$A$332:$A$448,Summaries!$A102)</f>
        <v>0</v>
      </c>
      <c r="BZ102" s="79">
        <f>SUMIFS('GSTR 1'!$K$332:$K$448,'GSTR 1'!$M$332:$M$448,Summaries!$A$68,'GSTR 1'!$A$332:$A$448,Summaries!$A102)</f>
        <v>0</v>
      </c>
      <c r="CA102" s="80">
        <f>SUMIFS('GSTR 1'!$E$332:$E$448,'GSTR 1'!$M$332:$M$448,Summaries!$A$69,'GSTR 1'!$A$332:$A$448,Summaries!$A102)</f>
        <v>0</v>
      </c>
      <c r="CB102" s="80">
        <f>SUMIFS('GSTR 1'!$F$332:$F$448,'GSTR 1'!$M$332:$M$448,Summaries!$A$69,'GSTR 1'!$A$332:$A$448,Summaries!$A102)</f>
        <v>0</v>
      </c>
      <c r="CC102" s="80">
        <f>SUMIFS('GSTR 1'!$G$332:$G$448,'GSTR 1'!$M$332:$M$448,Summaries!$A$69,'GSTR 1'!$A$332:$A$448,Summaries!$A102)</f>
        <v>0</v>
      </c>
      <c r="CD102" s="80">
        <f>SUMIFS('GSTR 1'!$H$332:$H$448,'GSTR 1'!$M$332:$M$448,Summaries!$A$69,'GSTR 1'!$A$332:$A$448,Summaries!$A102)</f>
        <v>0</v>
      </c>
      <c r="CE102" s="80">
        <f>SUMIFS('GSTR 1'!$I$332:$I$448,'GSTR 1'!$M$332:$M$448,Summaries!$A$69,'GSTR 1'!$A$332:$A$448,Summaries!$A102)</f>
        <v>0</v>
      </c>
      <c r="CF102" s="80">
        <f>SUMIFS('GSTR 1'!$J$332:$J$448,'GSTR 1'!$M$332:$M$448,Summaries!$A$69,'GSTR 1'!$A$332:$A$448,Summaries!$A102)</f>
        <v>0</v>
      </c>
      <c r="CG102" s="80">
        <f>SUMIFS('GSTR 1'!$K$332:$K$448,'GSTR 1'!$M$332:$M$448,Summaries!$A$69,'GSTR 1'!$A$332:$A$448,Summaries!$A102)</f>
        <v>0</v>
      </c>
      <c r="CH102" s="79">
        <f>SUMIFS('GSTR 1'!$E$332:$E$448,'GSTR 1'!$M$332:$M$448,Summaries!$A$70,'GSTR 1'!$A$332:$A$448,Summaries!$A102)</f>
        <v>0</v>
      </c>
      <c r="CI102" s="79">
        <f>SUMIFS('GSTR 1'!$F$332:$F$448,'GSTR 1'!$M$332:$M$448,Summaries!$A$70,'GSTR 1'!$A$332:$A$448,Summaries!$A102)</f>
        <v>0</v>
      </c>
      <c r="CJ102" s="79">
        <f>SUMIFS('GSTR 1'!$G$332:$G$448,'GSTR 1'!$M$332:$M$448,Summaries!$A$70,'GSTR 1'!$A$332:$A$448,Summaries!$A102)</f>
        <v>0</v>
      </c>
      <c r="CK102" s="79">
        <f>SUMIFS('GSTR 1'!$H$332:$H$448,'GSTR 1'!$M$332:$M$448,Summaries!$A$70,'GSTR 1'!$A$332:$A$448,Summaries!$A102)</f>
        <v>0</v>
      </c>
      <c r="CL102" s="79">
        <f>SUMIFS('GSTR 1'!$I$332:$I$448,'GSTR 1'!$M$332:$M$448,Summaries!$A$70,'GSTR 1'!$A$332:$A$448,Summaries!$A102)</f>
        <v>0</v>
      </c>
      <c r="CM102" s="79">
        <f>SUMIFS('GSTR 1'!$J$332:$J$448,'GSTR 1'!$M$332:$M$448,Summaries!$A$70,'GSTR 1'!$A$332:$A$448,Summaries!$A102)</f>
        <v>0</v>
      </c>
      <c r="CN102" s="79">
        <f>SUMIFS('GSTR 1'!$K$332:$K$448,'GSTR 1'!$M$332:$M$448,Summaries!$A$70,'GSTR 1'!$A$332:$A$448,Summaries!$A102)</f>
        <v>0</v>
      </c>
      <c r="CO102" s="80">
        <f>SUMIFS('GSTR 1'!$E$332:$E$448,'GSTR 1'!$M$332:$M$448,Summaries!$A$71,'GSTR 1'!$A$332:$A$448,Summaries!$A102)</f>
        <v>0</v>
      </c>
      <c r="CP102" s="80">
        <f>SUMIFS('GSTR 1'!$F$332:$F$448,'GSTR 1'!$M$332:$M$448,Summaries!$A$71,'GSTR 1'!$A$332:$A$448,Summaries!$A102)</f>
        <v>0</v>
      </c>
      <c r="CQ102" s="80">
        <f>SUMIFS('GSTR 1'!$G$332:$G$448,'GSTR 1'!$M$332:$M$448,Summaries!$A$71,'GSTR 1'!$A$332:$A$448,Summaries!$A102)</f>
        <v>0</v>
      </c>
      <c r="CR102" s="80">
        <f>SUMIFS('GSTR 1'!$H$332:$H$448,'GSTR 1'!$M$332:$M$448,Summaries!$A$71,'GSTR 1'!$A$332:$A$448,Summaries!$A102)</f>
        <v>0</v>
      </c>
      <c r="CS102" s="80">
        <f>SUMIFS('GSTR 1'!$I$332:$I$448,'GSTR 1'!$M$332:$M$448,Summaries!$A$71,'GSTR 1'!$A$332:$A$448,Summaries!$A102)</f>
        <v>0</v>
      </c>
      <c r="CT102" s="80">
        <f>SUMIFS('GSTR 1'!$J$332:$J$448,'GSTR 1'!$M$332:$M$448,Summaries!$A$71,'GSTR 1'!$A$332:$A$448,Summaries!$A102)</f>
        <v>0</v>
      </c>
      <c r="CU102" s="80">
        <f>SUMIFS('GSTR 1'!$K$332:$K$448,'GSTR 1'!$M$332:$M$448,Summaries!$A$71,'GSTR 1'!$A$332:$A$448,Summaries!$A102)</f>
        <v>0</v>
      </c>
      <c r="CV102" s="79">
        <f>SUMIFS('GSTR 1'!$E$332:$E$448,'GSTR 1'!$M$332:$M$448,Summaries!$A$72,'GSTR 1'!$A$332:$A$448,Summaries!$A102)</f>
        <v>0</v>
      </c>
      <c r="CW102" s="79">
        <f>SUMIFS('GSTR 1'!$F$332:$F$448,'GSTR 1'!$M$332:$M$448,Summaries!$A$72,'GSTR 1'!$A$332:$A$448,Summaries!$A102)</f>
        <v>0</v>
      </c>
      <c r="CX102" s="79">
        <f>SUMIFS('GSTR 1'!$G$332:$G$448,'GSTR 1'!$M$332:$M$448,Summaries!$A$72,'GSTR 1'!$A$332:$A$448,Summaries!$A102)</f>
        <v>0</v>
      </c>
      <c r="CY102" s="79">
        <f>SUMIFS('GSTR 1'!$H$332:$H$448,'GSTR 1'!$M$332:$M$448,Summaries!$A$72,'GSTR 1'!$A$332:$A$448,Summaries!$A102)</f>
        <v>0</v>
      </c>
      <c r="CZ102" s="79">
        <f>SUMIFS('GSTR 1'!$I$332:$I$448,'GSTR 1'!$M$332:$M$448,Summaries!$A$72,'GSTR 1'!$A$332:$A$448,Summaries!$A102)</f>
        <v>0</v>
      </c>
      <c r="DA102" s="79">
        <f>SUMIFS('GSTR 1'!$J$332:$J$448,'GSTR 1'!$M$332:$M$448,Summaries!$A$72,'GSTR 1'!$A$332:$A$448,Summaries!$A102)</f>
        <v>0</v>
      </c>
      <c r="DB102" s="79">
        <f>SUMIFS('GSTR 1'!$K$332:$K$448,'GSTR 1'!$M$332:$M$448,Summaries!$A$72,'GSTR 1'!$A$332:$A$448,Summaries!$A102)</f>
        <v>0</v>
      </c>
      <c r="DC102" s="80">
        <f>SUMIFS('GSTR 1'!$E$332:$E$448,'GSTR 1'!$M$332:$M$448,Summaries!$A$73,'GSTR 1'!$A$332:$A$448,Summaries!$A102)</f>
        <v>0</v>
      </c>
      <c r="DD102" s="80">
        <f>SUMIFS('GSTR 1'!$F$332:$F$448,'GSTR 1'!$M$332:$M$448,Summaries!$A$73,'GSTR 1'!$A$332:$A$448,Summaries!$A102)</f>
        <v>0</v>
      </c>
      <c r="DE102" s="80">
        <f>SUMIFS('GSTR 1'!$G$332:$G$448,'GSTR 1'!$M$332:$M$448,Summaries!$A$73,'GSTR 1'!$A$332:$A$448,Summaries!$A102)</f>
        <v>0</v>
      </c>
      <c r="DF102" s="80">
        <f>SUMIFS('GSTR 1'!$H$332:$H$448,'GSTR 1'!$M$332:$M$448,Summaries!$A$73,'GSTR 1'!$A$332:$A$448,Summaries!$A102)</f>
        <v>0</v>
      </c>
      <c r="DG102" s="80">
        <f>SUMIFS('GSTR 1'!$I$332:$I$448,'GSTR 1'!$M$332:$M$448,Summaries!$A$73,'GSTR 1'!$A$332:$A$448,Summaries!$A102)</f>
        <v>0</v>
      </c>
      <c r="DH102" s="80">
        <f>SUMIFS('GSTR 1'!$J$332:$J$448,'GSTR 1'!$M$332:$M$448,Summaries!$A$73,'GSTR 1'!$A$332:$A$448,Summaries!$A102)</f>
        <v>0</v>
      </c>
      <c r="DI102" s="80">
        <f>SUMIFS('GSTR 1'!$K$332:$K$448,'GSTR 1'!$M$332:$M$448,Summaries!$A$73,'GSTR 1'!$A$332:$A$448,Summaries!$A102)</f>
        <v>0</v>
      </c>
      <c r="DJ102" s="79">
        <f>SUMIFS('GSTR 1'!$E$332:$E$448,'GSTR 1'!$M$332:$M$448,Summaries!$A$74,'GSTR 1'!$A$332:$A$448,Summaries!$A102)</f>
        <v>0</v>
      </c>
      <c r="DK102" s="79">
        <f>SUMIFS('GSTR 1'!$F$332:$F$448,'GSTR 1'!$M$332:$M$448,Summaries!$A$74,'GSTR 1'!$A$332:$A$448,Summaries!$A102)</f>
        <v>0</v>
      </c>
      <c r="DL102" s="79">
        <f>SUMIFS('GSTR 1'!$G$332:$G$448,'GSTR 1'!$M$332:$M$448,Summaries!$A$74,'GSTR 1'!$A$332:$A$448,Summaries!$A102)</f>
        <v>0</v>
      </c>
      <c r="DM102" s="79">
        <f>SUMIFS('GSTR 1'!$H$332:$H$448,'GSTR 1'!$M$332:$M$448,Summaries!$A$74,'GSTR 1'!$A$332:$A$448,Summaries!$A102)</f>
        <v>0</v>
      </c>
      <c r="DN102" s="79">
        <f>SUMIFS('GSTR 1'!$I$332:$I$448,'GSTR 1'!$M$332:$M$448,Summaries!$A$74,'GSTR 1'!$A$332:$A$448,Summaries!$A102)</f>
        <v>0</v>
      </c>
      <c r="DO102" s="79">
        <f>SUMIFS('GSTR 1'!$J$332:$J$448,'GSTR 1'!$M$332:$M$448,Summaries!$A$74,'GSTR 1'!$A$332:$A$448,Summaries!$A102)</f>
        <v>0</v>
      </c>
      <c r="DP102" s="79">
        <f>SUMIFS('GSTR 1'!$K$332:$K$448,'GSTR 1'!$M$332:$M$448,Summaries!$A$74,'GSTR 1'!$A$332:$A$448,Summaries!$A102)</f>
        <v>0</v>
      </c>
      <c r="DQ102" s="80">
        <f>SUMIFS('GSTR 1'!$E$332:$E$448,'GSTR 1'!$M$332:$M$448,Summaries!$A$75,'GSTR 1'!$A$332:$A$448,Summaries!$A102)</f>
        <v>0</v>
      </c>
      <c r="DR102" s="80">
        <f>SUMIFS('GSTR 1'!$F$332:$F$448,'GSTR 1'!$M$332:$M$448,Summaries!$A$75,'GSTR 1'!$A$332:$A$448,Summaries!$A102)</f>
        <v>0</v>
      </c>
      <c r="DS102" s="80">
        <f>SUMIFS('GSTR 1'!$G$332:$G$448,'GSTR 1'!$M$332:$M$448,Summaries!$A$75,'GSTR 1'!$A$332:$A$448,Summaries!$A102)</f>
        <v>0</v>
      </c>
      <c r="DT102" s="80">
        <f>SUMIFS('GSTR 1'!$H$332:$H$448,'GSTR 1'!$M$332:$M$448,Summaries!$A$75,'GSTR 1'!$A$332:$A$448,Summaries!$A102)</f>
        <v>0</v>
      </c>
      <c r="DU102" s="80">
        <f>SUMIFS('GSTR 1'!$I$332:$I$448,'GSTR 1'!$M$332:$M$448,Summaries!$A$75,'GSTR 1'!$A$332:$A$448,Summaries!$A102)</f>
        <v>0</v>
      </c>
      <c r="DV102" s="80">
        <f>SUMIFS('GSTR 1'!$J$332:$J$448,'GSTR 1'!$M$332:$M$448,Summaries!$A$75,'GSTR 1'!$A$332:$A$448,Summaries!$A102)</f>
        <v>0</v>
      </c>
      <c r="DW102" s="80">
        <f>SUMIFS('GSTR 1'!$K$332:$K$448,'GSTR 1'!$M$332:$M$448,Summaries!$A$75,'GSTR 1'!$A$332:$A$448,Summaries!$A102)</f>
        <v>0</v>
      </c>
      <c r="DX102" s="79">
        <f>SUMIFS('GSTR 1'!$E$332:$E$448,'GSTR 1'!$M$332:$M$448,Summaries!$A$76,'GSTR 1'!$A$332:$A$448,Summaries!$A102)</f>
        <v>0</v>
      </c>
      <c r="DY102" s="79">
        <f>SUMIFS('GSTR 1'!$F$332:$F$448,'GSTR 1'!$M$332:$M$448,Summaries!$A$76,'GSTR 1'!$A$332:$A$448,Summaries!$A102)</f>
        <v>0</v>
      </c>
      <c r="DZ102" s="79">
        <f>SUMIFS('GSTR 1'!$G$332:$G$448,'GSTR 1'!$M$332:$M$448,Summaries!$A$76,'GSTR 1'!$A$332:$A$448,Summaries!$A102)</f>
        <v>0</v>
      </c>
      <c r="EA102" s="79">
        <f>SUMIFS('GSTR 1'!$H$332:$H$448,'GSTR 1'!$M$332:$M$448,Summaries!$A$76,'GSTR 1'!$A$332:$A$448,Summaries!$A102)</f>
        <v>0</v>
      </c>
      <c r="EB102" s="79">
        <f>SUMIFS('GSTR 1'!$I$332:$I$448,'GSTR 1'!$M$332:$M$448,Summaries!$A$76,'GSTR 1'!$A$332:$A$448,Summaries!$A102)</f>
        <v>0</v>
      </c>
      <c r="EC102" s="79">
        <f>SUMIFS('GSTR 1'!$J$332:$J$448,'GSTR 1'!$M$332:$M$448,Summaries!$A$76,'GSTR 1'!$A$332:$A$448,Summaries!$A102)</f>
        <v>0</v>
      </c>
      <c r="ED102" s="79">
        <f>SUMIFS('GSTR 1'!$K$332:$K$448,'GSTR 1'!$M$332:$M$448,Summaries!$A$76,'GSTR 1'!$A$332:$A$448,Summaries!$A102)</f>
        <v>0</v>
      </c>
      <c r="EE102" s="80">
        <f>SUMIFS('GSTR 1'!$E$332:$E$448,'GSTR 1'!$M$332:$M$448,Summaries!$A$77,'GSTR 1'!$A$332:$A$448,Summaries!$A102)</f>
        <v>0</v>
      </c>
      <c r="EF102" s="80">
        <f>SUMIFS('GSTR 1'!$F$332:$F$448,'GSTR 1'!$M$332:$M$448,Summaries!$A$77,'GSTR 1'!$A$332:$A$448,Summaries!$A102)</f>
        <v>0</v>
      </c>
      <c r="EG102" s="80">
        <f>SUMIFS('GSTR 1'!$G$332:$G$448,'GSTR 1'!$M$332:$M$448,Summaries!$A$77,'GSTR 1'!$A$332:$A$448,Summaries!$A102)</f>
        <v>0</v>
      </c>
      <c r="EH102" s="80">
        <f>SUMIFS('GSTR 1'!$H$332:$H$448,'GSTR 1'!$M$332:$M$448,Summaries!$A$77,'GSTR 1'!$A$332:$A$448,Summaries!$A102)</f>
        <v>0</v>
      </c>
      <c r="EI102" s="80">
        <f>SUMIFS('GSTR 1'!$I$332:$I$448,'GSTR 1'!$M$332:$M$448,Summaries!$A$77,'GSTR 1'!$A$332:$A$448,Summaries!$A102)</f>
        <v>0</v>
      </c>
      <c r="EJ102" s="80">
        <f>SUMIFS('GSTR 1'!$J$332:$J$448,'GSTR 1'!$M$332:$M$448,Summaries!$A$77,'GSTR 1'!$A$332:$A$448,Summaries!$A102)</f>
        <v>0</v>
      </c>
      <c r="EK102" s="80">
        <f>SUMIFS('GSTR 1'!$K$332:$K$448,'GSTR 1'!$M$332:$M$448,Summaries!$A$77,'GSTR 1'!$A$332:$A$448,Summaries!$A102)</f>
        <v>0</v>
      </c>
      <c r="EL102" s="79">
        <f>SUMIFS('GSTR 1'!$E$332:$E$448,'GSTR 1'!$M$332:$M$448,Summaries!$A$78,'GSTR 1'!$A$332:$A$448,Summaries!$A102)</f>
        <v>0</v>
      </c>
      <c r="EM102" s="79">
        <f>SUMIFS('GSTR 1'!$F$332:$F$448,'GSTR 1'!$M$332:$M$448,Summaries!$A$78,'GSTR 1'!$A$332:$A$448,Summaries!$A102)</f>
        <v>0</v>
      </c>
      <c r="EN102" s="79">
        <f>SUMIFS('GSTR 1'!$G$332:$G$448,'GSTR 1'!$M$332:$M$448,Summaries!$A$78,'GSTR 1'!$A$332:$A$448,Summaries!$A102)</f>
        <v>0</v>
      </c>
      <c r="EO102" s="79">
        <f>SUMIFS('GSTR 1'!$H$332:$H$448,'GSTR 1'!$M$332:$M$448,Summaries!$A$78,'GSTR 1'!$A$332:$A$448,Summaries!$A102)</f>
        <v>0</v>
      </c>
      <c r="EP102" s="79">
        <f>SUMIFS('GSTR 1'!$I$332:$I$448,'GSTR 1'!$M$332:$M$448,Summaries!$A$78,'GSTR 1'!$A$332:$A$448,Summaries!$A102)</f>
        <v>0</v>
      </c>
      <c r="EQ102" s="79">
        <f>SUMIFS('GSTR 1'!$J$332:$J$448,'GSTR 1'!$M$332:$M$448,Summaries!$A$78,'GSTR 1'!$A$332:$A$448,Summaries!$A102)</f>
        <v>0</v>
      </c>
      <c r="ER102" s="79">
        <f>SUMIFS('GSTR 1'!$K$332:$K$448,'GSTR 1'!$M$332:$M$448,Summaries!$A$78,'GSTR 1'!$A$332:$A$448,Summaries!$A102)</f>
        <v>0</v>
      </c>
      <c r="ES102" s="80">
        <f>SUMIFS('GSTR 1'!$E$332:$E$448,'GSTR 1'!$M$332:$M$448,Summaries!$A$79,'GSTR 1'!$A$332:$A$448,Summaries!$A102)</f>
        <v>0</v>
      </c>
      <c r="ET102" s="80">
        <f>SUMIFS('GSTR 1'!$F$332:$F$448,'GSTR 1'!$M$332:$M$448,Summaries!$A$79,'GSTR 1'!$A$332:$A$448,Summaries!$A102)</f>
        <v>0</v>
      </c>
      <c r="EU102" s="80">
        <f>SUMIFS('GSTR 1'!$G$332:$G$448,'GSTR 1'!$M$332:$M$448,Summaries!$A$79,'GSTR 1'!$A$332:$A$448,Summaries!$A102)</f>
        <v>0</v>
      </c>
      <c r="EV102" s="80">
        <f>SUMIFS('GSTR 1'!$H$332:$H$448,'GSTR 1'!$M$332:$M$448,Summaries!$A$79,'GSTR 1'!$A$332:$A$448,Summaries!$A102)</f>
        <v>0</v>
      </c>
      <c r="EW102" s="80">
        <f>SUMIFS('GSTR 1'!$I$332:$I$448,'GSTR 1'!$M$332:$M$448,Summaries!$A$79,'GSTR 1'!$A$332:$A$448,Summaries!$A102)</f>
        <v>0</v>
      </c>
      <c r="EX102" s="80">
        <f>SUMIFS('GSTR 1'!$J$332:$J$448,'GSTR 1'!$M$332:$M$448,Summaries!$A$79,'GSTR 1'!$A$332:$A$448,Summaries!$A102)</f>
        <v>0</v>
      </c>
      <c r="EY102" s="80">
        <f>SUMIFS('GSTR 1'!$K$332:$K$448,'GSTR 1'!$M$332:$M$448,Summaries!$A$79,'GSTR 1'!$A$332:$A$448,Summaries!$A102)</f>
        <v>0</v>
      </c>
      <c r="EZ102" s="79">
        <f>SUMIFS('GSTR 1'!$E$332:$E$448,'GSTR 1'!$M$332:$M$448,Summaries!$A$80,'GSTR 1'!$A$332:$A$448,Summaries!$A102)</f>
        <v>0</v>
      </c>
      <c r="FA102" s="79">
        <f>SUMIFS('GSTR 1'!$F$332:$F$448,'GSTR 1'!$M$332:$M$448,Summaries!$A$80,'GSTR 1'!$A$332:$A$448,Summaries!$A102)</f>
        <v>0</v>
      </c>
      <c r="FB102" s="79">
        <f>SUMIFS('GSTR 1'!$G$332:$G$448,'GSTR 1'!$M$332:$M$448,Summaries!$A$80,'GSTR 1'!$A$332:$A$448,Summaries!$A102)</f>
        <v>0</v>
      </c>
      <c r="FC102" s="79">
        <f>SUMIFS('GSTR 1'!$H$332:$H$448,'GSTR 1'!$M$332:$M$448,Summaries!$A$80,'GSTR 1'!$A$332:$A$448,Summaries!$A102)</f>
        <v>0</v>
      </c>
      <c r="FD102" s="79">
        <f>SUMIFS('GSTR 1'!$I$332:$I$448,'GSTR 1'!$M$332:$M$448,Summaries!$A$80,'GSTR 1'!$A$332:$A$448,Summaries!$A102)</f>
        <v>0</v>
      </c>
      <c r="FE102" s="79">
        <f>SUMIFS('GSTR 1'!$J$332:$J$448,'GSTR 1'!$M$332:$M$448,Summaries!$A$80,'GSTR 1'!$A$332:$A$448,Summaries!$A102)</f>
        <v>0</v>
      </c>
      <c r="FF102" s="79">
        <f>SUMIFS('GSTR 1'!$K$332:$K$448,'GSTR 1'!$M$332:$M$448,Summaries!$A$80,'GSTR 1'!$A$332:$A$448,Summaries!$A102)</f>
        <v>0</v>
      </c>
      <c r="FG102" s="80">
        <f>SUMIFS('GSTR 1'!$E$332:$E$448,'GSTR 1'!$M$332:$M$448,Summaries!$A$81,'GSTR 1'!$A$332:$A$448,Summaries!$A102)</f>
        <v>0</v>
      </c>
      <c r="FH102" s="80">
        <f>SUMIFS('GSTR 1'!$F$332:$F$448,'GSTR 1'!$M$332:$M$448,Summaries!$A$81,'GSTR 1'!$A$332:$A$448,Summaries!$A102)</f>
        <v>0</v>
      </c>
      <c r="FI102" s="80">
        <f>SUMIFS('GSTR 1'!$G$332:$G$448,'GSTR 1'!$M$332:$M$448,Summaries!$A$81,'GSTR 1'!$A$332:$A$448,Summaries!$A102)</f>
        <v>0</v>
      </c>
      <c r="FJ102" s="80">
        <f>SUMIFS('GSTR 1'!$H$332:$H$448,'GSTR 1'!$M$332:$M$448,Summaries!$A$81,'GSTR 1'!$A$332:$A$448,Summaries!$A102)</f>
        <v>0</v>
      </c>
      <c r="FK102" s="80">
        <f>SUMIFS('GSTR 1'!$I$332:$I$448,'GSTR 1'!$M$332:$M$448,Summaries!$A$81,'GSTR 1'!$A$332:$A$448,Summaries!$A102)</f>
        <v>0</v>
      </c>
      <c r="FL102" s="80">
        <f>SUMIFS('GSTR 1'!$J$332:$J$448,'GSTR 1'!$M$332:$M$448,Summaries!$A$81,'GSTR 1'!$A$332:$A$448,Summaries!$A102)</f>
        <v>0</v>
      </c>
      <c r="FM102" s="80">
        <f>SUMIFS('GSTR 1'!$K$332:$K$448,'GSTR 1'!$M$332:$M$448,Summaries!$A$81,'GSTR 1'!$A$332:$A$448,Summaries!$A102)</f>
        <v>0</v>
      </c>
      <c r="FN102" s="79">
        <f>SUMIFS('GSTR 1'!$E$332:$E$448,'GSTR 1'!$M$332:$M$448,Summaries!$A$82,'GSTR 1'!$A$332:$A$448,Summaries!$A102)</f>
        <v>0</v>
      </c>
      <c r="FO102" s="79">
        <f>SUMIFS('GSTR 1'!$F$332:$F$448,'GSTR 1'!$M$332:$M$448,Summaries!$A$82,'GSTR 1'!$A$332:$A$448,Summaries!$A102)</f>
        <v>0</v>
      </c>
      <c r="FP102" s="79">
        <f>SUMIFS('GSTR 1'!$G$332:$G$448,'GSTR 1'!$M$332:$M$448,Summaries!$A$82,'GSTR 1'!$A$332:$A$448,Summaries!$A102)</f>
        <v>0</v>
      </c>
      <c r="FQ102" s="79">
        <f>SUMIFS('GSTR 1'!$H$332:$H$448,'GSTR 1'!$M$332:$M$448,Summaries!$A$82,'GSTR 1'!$A$332:$A$448,Summaries!$A102)</f>
        <v>0</v>
      </c>
      <c r="FR102" s="79">
        <f>SUMIFS('GSTR 1'!$I$332:$I$448,'GSTR 1'!$M$332:$M$448,Summaries!$A$82,'GSTR 1'!$A$332:$A$448,Summaries!$A102)</f>
        <v>0</v>
      </c>
      <c r="FS102" s="79">
        <f>SUMIFS('GSTR 1'!$J$332:$J$448,'GSTR 1'!$M$332:$M$448,Summaries!$A$82,'GSTR 1'!$A$332:$A$448,Summaries!$A102)</f>
        <v>0</v>
      </c>
      <c r="FT102" s="79">
        <f>SUMIFS('GSTR 1'!$K$332:$K$448,'GSTR 1'!$M$332:$M$448,Summaries!$A$82,'GSTR 1'!$A$332:$A$448,Summaries!$A102)</f>
        <v>0</v>
      </c>
      <c r="FU102" s="80">
        <f>SUMIFS('GSTR 1'!$E$332:$E$448,'GSTR 1'!$M$332:$M$448,Summaries!$A$83,'GSTR 1'!$A$332:$A$448,Summaries!$A102)</f>
        <v>0</v>
      </c>
      <c r="FV102" s="80">
        <f>SUMIFS('GSTR 1'!$F$332:$F$448,'GSTR 1'!$M$332:$M$448,Summaries!$A$83,'GSTR 1'!$A$332:$A$448,Summaries!$A102)</f>
        <v>0</v>
      </c>
      <c r="FW102" s="80">
        <f>SUMIFS('GSTR 1'!$G$332:$G$448,'GSTR 1'!$M$332:$M$448,Summaries!$A$83,'GSTR 1'!$A$332:$A$448,Summaries!$A102)</f>
        <v>0</v>
      </c>
      <c r="FX102" s="80">
        <f>SUMIFS('GSTR 1'!$H$332:$H$448,'GSTR 1'!$M$332:$M$448,Summaries!$A$83,'GSTR 1'!$A$332:$A$448,Summaries!$A102)</f>
        <v>0</v>
      </c>
      <c r="FY102" s="80">
        <f>SUMIFS('GSTR 1'!$I$332:$I$448,'GSTR 1'!$M$332:$M$448,Summaries!$A$83,'GSTR 1'!$A$332:$A$448,Summaries!$A102)</f>
        <v>0</v>
      </c>
      <c r="FZ102" s="80">
        <f>SUMIFS('GSTR 1'!$J$332:$J$448,'GSTR 1'!$M$332:$M$448,Summaries!$A$83,'GSTR 1'!$A$332:$A$448,Summaries!$A102)</f>
        <v>0</v>
      </c>
      <c r="GA102" s="80">
        <f>SUMIFS('GSTR 1'!$K$332:$K$448,'GSTR 1'!$M$332:$M$448,Summaries!$A$83,'GSTR 1'!$A$332:$A$448,Summaries!$A102)</f>
        <v>0</v>
      </c>
      <c r="GB102" s="79">
        <f>SUMIFS('GSTR 1'!$E$332:$E$448,'GSTR 1'!$M$332:$M$448,Summaries!$A$84,'GSTR 1'!$A$332:$A$448,Summaries!$A102)</f>
        <v>0</v>
      </c>
      <c r="GC102" s="79">
        <f>SUMIFS('GSTR 1'!$F$332:$F$448,'GSTR 1'!$M$332:$M$448,Summaries!$A$84,'GSTR 1'!$A$332:$A$448,Summaries!$A102)</f>
        <v>0</v>
      </c>
      <c r="GD102" s="79">
        <f>SUMIFS('GSTR 1'!$G$332:$G$448,'GSTR 1'!$M$332:$M$448,Summaries!$A$84,'GSTR 1'!$A$332:$A$448,Summaries!$A102)</f>
        <v>0</v>
      </c>
      <c r="GE102" s="79">
        <f>SUMIFS('GSTR 1'!$H$332:$H$448,'GSTR 1'!$M$332:$M$448,Summaries!$A$84,'GSTR 1'!$A$332:$A$448,Summaries!$A102)</f>
        <v>0</v>
      </c>
      <c r="GF102" s="79">
        <f>SUMIFS('GSTR 1'!$I$332:$I$448,'GSTR 1'!$M$332:$M$448,Summaries!$A$84,'GSTR 1'!$A$332:$A$448,Summaries!$A102)</f>
        <v>0</v>
      </c>
      <c r="GG102" s="79">
        <f>SUMIFS('GSTR 1'!$J$332:$J$448,'GSTR 1'!$M$332:$M$448,Summaries!$A$84,'GSTR 1'!$A$332:$A$448,Summaries!$A102)</f>
        <v>0</v>
      </c>
      <c r="GH102" s="79">
        <f>SUMIFS('GSTR 1'!$K$332:$K$448,'GSTR 1'!$M$332:$M$448,Summaries!$A$84,'GSTR 1'!$A$332:$A$448,Summaries!$A102)</f>
        <v>0</v>
      </c>
      <c r="GI102" s="80">
        <f>SUMIFS('GSTR 1'!$E$332:$E$448,'GSTR 1'!$M$332:$M$448,Summaries!$A$85,'GSTR 1'!$A$332:$A$448,Summaries!$A102)</f>
        <v>0</v>
      </c>
      <c r="GJ102" s="80">
        <f>SUMIFS('GSTR 1'!$F$332:$F$448,'GSTR 1'!$M$332:$M$448,Summaries!$A$85,'GSTR 1'!$A$332:$A$448,Summaries!$A102)</f>
        <v>0</v>
      </c>
      <c r="GK102" s="80">
        <f>SUMIFS('GSTR 1'!$G$332:$G$448,'GSTR 1'!$M$332:$M$448,Summaries!$A$85,'GSTR 1'!$A$332:$A$448,Summaries!$A102)</f>
        <v>0</v>
      </c>
      <c r="GL102" s="80">
        <f>SUMIFS('GSTR 1'!$H$332:$H$448,'GSTR 1'!$M$332:$M$448,Summaries!$A$85,'GSTR 1'!$A$332:$A$448,Summaries!$A102)</f>
        <v>0</v>
      </c>
      <c r="GM102" s="80">
        <f>SUMIFS('GSTR 1'!$I$332:$I$448,'GSTR 1'!$M$332:$M$448,Summaries!$A$85,'GSTR 1'!$A$332:$A$448,Summaries!$A102)</f>
        <v>0</v>
      </c>
      <c r="GN102" s="80">
        <f>SUMIFS('GSTR 1'!$J$332:$J$448,'GSTR 1'!$M$332:$M$448,Summaries!$A$85,'GSTR 1'!$A$332:$A$448,Summaries!$A102)</f>
        <v>0</v>
      </c>
      <c r="GO102" s="80">
        <f>SUMIFS('GSTR 1'!$K$332:$K$448,'GSTR 1'!$M$332:$M$448,Summaries!$A$85,'GSTR 1'!$A$332:$A$448,Summaries!$A102)</f>
        <v>0</v>
      </c>
      <c r="GP102" s="79">
        <f>SUMIFS('GSTR 1'!$E$332:$E$448,'GSTR 1'!$M$332:$M$448,Summaries!$A$86,'GSTR 1'!$A$332:$A$448,Summaries!$A102)</f>
        <v>0</v>
      </c>
      <c r="GQ102" s="79">
        <f>SUMIFS('GSTR 1'!$F$332:$F$448,'GSTR 1'!$M$332:$M$448,Summaries!$A$86,'GSTR 1'!$A$332:$A$448,Summaries!$A102)</f>
        <v>0</v>
      </c>
      <c r="GR102" s="79">
        <f>SUMIFS('GSTR 1'!$G$332:$G$448,'GSTR 1'!$M$332:$M$448,Summaries!$A$86,'GSTR 1'!$A$332:$A$448,Summaries!$A102)</f>
        <v>0</v>
      </c>
      <c r="GS102" s="79">
        <f>SUMIFS('GSTR 1'!$H$332:$H$448,'GSTR 1'!$M$332:$M$448,Summaries!$A$86,'GSTR 1'!$A$332:$A$448,Summaries!$A102)</f>
        <v>0</v>
      </c>
      <c r="GT102" s="79">
        <f>SUMIFS('GSTR 1'!$I$332:$I$448,'GSTR 1'!$M$332:$M$448,Summaries!$A$86,'GSTR 1'!$A$332:$A$448,Summaries!$A102)</f>
        <v>0</v>
      </c>
      <c r="GU102" s="79">
        <f>SUMIFS('GSTR 1'!$J$332:$J$448,'GSTR 1'!$M$332:$M$448,Summaries!$A$86,'GSTR 1'!$A$332:$A$448,Summaries!$A102)</f>
        <v>0</v>
      </c>
      <c r="GV102" s="79">
        <f>SUMIFS('GSTR 1'!$K$332:$K$448,'GSTR 1'!$M$332:$M$448,Summaries!$A$86,'GSTR 1'!$A$332:$A$448,Summaries!$A102)</f>
        <v>0</v>
      </c>
      <c r="GW102" s="80">
        <f>SUMIFS('GSTR 1'!$E$332:$E$448,'GSTR 1'!$M$332:$M$448,Summaries!$A$87,'GSTR 1'!$A$332:$A$448,Summaries!$A102)</f>
        <v>0</v>
      </c>
      <c r="GX102" s="80">
        <f>SUMIFS('GSTR 1'!$F$332:$F$448,'GSTR 1'!$M$332:$M$448,Summaries!$A$87,'GSTR 1'!$A$332:$A$448,Summaries!$A102)</f>
        <v>0</v>
      </c>
      <c r="GY102" s="80">
        <f>SUMIFS('GSTR 1'!$G$332:$G$448,'GSTR 1'!$M$332:$M$448,Summaries!$A$87,'GSTR 1'!$A$332:$A$448,Summaries!$A102)</f>
        <v>0</v>
      </c>
      <c r="GZ102" s="80">
        <f>SUMIFS('GSTR 1'!$H$332:$H$448,'GSTR 1'!$M$332:$M$448,Summaries!$A$87,'GSTR 1'!$A$332:$A$448,Summaries!$A102)</f>
        <v>0</v>
      </c>
      <c r="HA102" s="80">
        <f>SUMIFS('GSTR 1'!$I$332:$I$448,'GSTR 1'!$M$332:$M$448,Summaries!$A$87,'GSTR 1'!$A$332:$A$448,Summaries!$A102)</f>
        <v>0</v>
      </c>
      <c r="HB102" s="80">
        <f>SUMIFS('GSTR 1'!$J$332:$J$448,'GSTR 1'!$M$332:$M$448,Summaries!$A$87,'GSTR 1'!$A$332:$A$448,Summaries!$A102)</f>
        <v>0</v>
      </c>
      <c r="HC102" s="80">
        <f>SUMIFS('GSTR 1'!$K$332:$K$448,'GSTR 1'!$M$332:$M$448,Summaries!$A$87,'GSTR 1'!$A$332:$A$448,Summaries!$A102)</f>
        <v>0</v>
      </c>
    </row>
    <row r="103" spans="1:211" x14ac:dyDescent="0.3">
      <c r="A103" s="78">
        <f>DATE(INT(LEFT($B$3,4)),9,1)</f>
        <v>45901</v>
      </c>
      <c r="B103" s="79">
        <f>SUMIFS('GSTR 1'!$E$332:$E$448,'GSTR 1'!$M$332:$M$448,Summaries!$A$58,'GSTR 1'!$A$332:$A$448,Summaries!A103)</f>
        <v>0</v>
      </c>
      <c r="C103" s="79">
        <f>SUMIFS('GSTR 1'!$F$332:$F$448,'GSTR 1'!$M$332:$M$448,Summaries!$A$58,'GSTR 1'!$A$332:$A$448,Summaries!A103)</f>
        <v>0</v>
      </c>
      <c r="D103" s="79">
        <f>SUMIFS('GSTR 1'!$G$332:$G$448,'GSTR 1'!$M$332:$M$448,Summaries!$A$58,'GSTR 1'!$A$332:$A$448,Summaries!A103)</f>
        <v>0</v>
      </c>
      <c r="E103" s="79">
        <f>SUMIFS('GSTR 1'!$H$332:$H$448,'GSTR 1'!$M$332:$M$448,Summaries!$A$58,'GSTR 1'!$A$332:$A$448,Summaries!A103)</f>
        <v>0</v>
      </c>
      <c r="F103" s="79">
        <f>SUMIFS('GSTR 1'!$I$332:$I$448,'GSTR 1'!$M$332:$M$448,Summaries!$A$58,'GSTR 1'!$A$332:$A$448,Summaries!A103)</f>
        <v>0</v>
      </c>
      <c r="G103" s="79">
        <f>SUMIFS('GSTR 1'!$J$332:$J$448,'GSTR 1'!$M$332:$M$448,Summaries!$A$58,'GSTR 1'!$A$332:$A$448,Summaries!A103)</f>
        <v>0</v>
      </c>
      <c r="H103" s="79">
        <f>SUMIFS('GSTR 1'!$K$332:$K$448,'GSTR 1'!$M$332:$M$448,Summaries!$A$58,'GSTR 1'!$A$332:$A$448,Summaries!A103)</f>
        <v>0</v>
      </c>
      <c r="I103" s="80">
        <f>SUMIFS('GSTR 1'!$E$332:$E$448,'GSTR 1'!$M$332:$M$448,Summaries!$A$59,'GSTR 1'!$A$332:$A$448,Summaries!$A103)</f>
        <v>0</v>
      </c>
      <c r="J103" s="80">
        <f>SUMIFS('GSTR 1'!$F$332:$F$448,'GSTR 1'!$M$332:$M$448,Summaries!$A$59,'GSTR 1'!$A$332:$A$448,Summaries!$A103)</f>
        <v>0</v>
      </c>
      <c r="K103" s="80">
        <f>SUMIFS('GSTR 1'!$G$332:$G$448,'GSTR 1'!$M$332:$M$448,Summaries!$A$59,'GSTR 1'!$A$332:$A$448,Summaries!$A103)</f>
        <v>0</v>
      </c>
      <c r="L103" s="80">
        <f>SUMIFS('GSTR 1'!$H$332:$H$448,'GSTR 1'!$M$332:$M$448,Summaries!$A$59,'GSTR 1'!$A$332:$A$448,Summaries!$A103)</f>
        <v>0</v>
      </c>
      <c r="M103" s="80">
        <f>SUMIFS('GSTR 1'!$I$332:$I$448,'GSTR 1'!$M$332:$M$448,Summaries!$A$59,'GSTR 1'!$A$332:$A$448,Summaries!$A103)</f>
        <v>0</v>
      </c>
      <c r="N103" s="80">
        <f>SUMIFS('GSTR 1'!$J$332:$J$448,'GSTR 1'!$M$332:$M$448,Summaries!$A$59,'GSTR 1'!$A$332:$A$448,Summaries!$A103)</f>
        <v>0</v>
      </c>
      <c r="O103" s="80">
        <f>SUMIFS('GSTR 1'!$K$332:$K$448,'GSTR 1'!$M$332:$M$448,Summaries!$A$59,'GSTR 1'!$A$332:$A$448,Summaries!$A103)</f>
        <v>0</v>
      </c>
      <c r="P103" s="79">
        <f>SUMIFS('GSTR 1'!$E$332:$E$448,'GSTR 1'!$M$332:$M$448,Summaries!$A$60,'GSTR 1'!$A$332:$A$448,Summaries!$A103)</f>
        <v>0</v>
      </c>
      <c r="Q103" s="79">
        <f>SUMIFS('GSTR 1'!$F$332:$F$448,'GSTR 1'!$M$332:$M$448,Summaries!$A$60,'GSTR 1'!$A$332:$A$448,Summaries!$A103)</f>
        <v>0</v>
      </c>
      <c r="R103" s="79">
        <f>SUMIFS('GSTR 1'!$G$332:$G$448,'GSTR 1'!$M$332:$M$448,Summaries!$A$60,'GSTR 1'!$A$332:$A$448,Summaries!$A103)</f>
        <v>0</v>
      </c>
      <c r="S103" s="79">
        <f>SUMIFS('GSTR 1'!$H$332:$H$448,'GSTR 1'!$M$332:$M$448,Summaries!$A$60,'GSTR 1'!$A$332:$A$448,Summaries!$A103)</f>
        <v>0</v>
      </c>
      <c r="T103" s="79">
        <f>SUMIFS('GSTR 1'!$I$332:$I$448,'GSTR 1'!$M$332:$M$448,Summaries!$A$60,'GSTR 1'!$A$332:$A$448,Summaries!$A103)</f>
        <v>0</v>
      </c>
      <c r="U103" s="79">
        <f>SUMIFS('GSTR 1'!$J$332:$J$448,'GSTR 1'!$M$332:$M$448,Summaries!$A$60,'GSTR 1'!$A$332:$A$448,Summaries!$A103)</f>
        <v>0</v>
      </c>
      <c r="V103" s="79">
        <f>SUMIFS('GSTR 1'!$K$332:$K$448,'GSTR 1'!$M$332:$M$448,Summaries!$A$60,'GSTR 1'!$A$332:$A$448,Summaries!$A103)</f>
        <v>0</v>
      </c>
      <c r="W103" s="80">
        <f>SUMIFS('GSTR 1'!$E$332:$E$448,'GSTR 1'!$M$332:$M$448,Summaries!$A$61,'GSTR 1'!$A$332:$A$448,Summaries!$A103)</f>
        <v>0</v>
      </c>
      <c r="X103" s="80">
        <f>SUMIFS('GSTR 1'!$F$332:$F$448,'GSTR 1'!$M$332:$M$448,Summaries!$A$61,'GSTR 1'!$A$332:$A$448,Summaries!$A103)</f>
        <v>0</v>
      </c>
      <c r="Y103" s="80">
        <f>SUMIFS('GSTR 1'!$G$332:$G$448,'GSTR 1'!$M$332:$M$448,Summaries!$A$61,'GSTR 1'!$A$332:$A$448,Summaries!$A103)</f>
        <v>0</v>
      </c>
      <c r="Z103" s="80">
        <f>SUMIFS('GSTR 1'!$H$332:$H$448,'GSTR 1'!$M$332:$M$448,Summaries!$A$61,'GSTR 1'!$A$332:$A$448,Summaries!$A103)</f>
        <v>0</v>
      </c>
      <c r="AA103" s="80">
        <f>SUMIFS('GSTR 1'!$I$332:$I$448,'GSTR 1'!$M$332:$M$448,Summaries!$A$61,'GSTR 1'!$A$332:$A$448,Summaries!$A103)</f>
        <v>0</v>
      </c>
      <c r="AB103" s="80">
        <f>SUMIFS('GSTR 1'!$J$332:$J$448,'GSTR 1'!$M$332:$M$448,Summaries!$A$61,'GSTR 1'!$A$332:$A$448,Summaries!$A103)</f>
        <v>0</v>
      </c>
      <c r="AC103" s="80">
        <f>SUMIFS('GSTR 1'!$K$332:$K$448,'GSTR 1'!$M$332:$M$448,Summaries!$A$61,'GSTR 1'!$A$332:$A$448,Summaries!$A103)</f>
        <v>0</v>
      </c>
      <c r="AD103" s="79">
        <f>SUMIFS('GSTR 1'!$E$332:$E$448,'GSTR 1'!$M$332:$M$448,Summaries!$A$62,'GSTR 1'!$A$332:$A$448,Summaries!$A103)</f>
        <v>0</v>
      </c>
      <c r="AE103" s="79">
        <f>SUMIFS('GSTR 1'!$F$332:$F$448,'GSTR 1'!$M$332:$M$448,Summaries!$A$62,'GSTR 1'!$A$332:$A$448,Summaries!$A103)</f>
        <v>0</v>
      </c>
      <c r="AF103" s="79">
        <f>SUMIFS('GSTR 1'!$G$332:$G$448,'GSTR 1'!$M$332:$M$448,Summaries!$A$62,'GSTR 1'!$A$332:$A$448,Summaries!$A103)</f>
        <v>0</v>
      </c>
      <c r="AG103" s="79">
        <f>SUMIFS('GSTR 1'!$H$332:$H$448,'GSTR 1'!$M$332:$M$448,Summaries!$A$62,'GSTR 1'!$A$332:$A$448,Summaries!$A103)</f>
        <v>0</v>
      </c>
      <c r="AH103" s="79">
        <f>SUMIFS('GSTR 1'!$I$332:$I$448,'GSTR 1'!$M$332:$M$448,Summaries!$A$62,'GSTR 1'!$A$332:$A$448,Summaries!$A103)</f>
        <v>0</v>
      </c>
      <c r="AI103" s="79">
        <f>SUMIFS('GSTR 1'!$J$332:$J$448,'GSTR 1'!$M$332:$M$448,Summaries!$A$62,'GSTR 1'!$A$332:$A$448,Summaries!$A103)</f>
        <v>0</v>
      </c>
      <c r="AJ103" s="79">
        <f>SUMIFS('GSTR 1'!$K$332:$K$448,'GSTR 1'!$M$332:$M$448,Summaries!$A$62,'GSTR 1'!$A$332:$A$448,Summaries!$A103)</f>
        <v>0</v>
      </c>
      <c r="AK103" s="80">
        <f>SUMIFS('GSTR 1'!$E$332:$E$448,'GSTR 1'!$M$332:$M$448,Summaries!$A$63,'GSTR 1'!$A$332:$A$448,Summaries!$A103)</f>
        <v>0</v>
      </c>
      <c r="AL103" s="80">
        <f>SUMIFS('GSTR 1'!$F$332:$F$448,'GSTR 1'!$M$332:$M$448,Summaries!$A$63,'GSTR 1'!$A$332:$A$448,Summaries!$A103)</f>
        <v>0</v>
      </c>
      <c r="AM103" s="80">
        <f>SUMIFS('GSTR 1'!$G$332:$G$448,'GSTR 1'!$M$332:$M$448,Summaries!$A$63,'GSTR 1'!$A$332:$A$448,Summaries!$A103)</f>
        <v>0</v>
      </c>
      <c r="AN103" s="80">
        <f>SUMIFS('GSTR 1'!$H$332:$H$448,'GSTR 1'!$M$332:$M$448,Summaries!$A$63,'GSTR 1'!$A$332:$A$448,Summaries!$A103)</f>
        <v>0</v>
      </c>
      <c r="AO103" s="80">
        <f>SUMIFS('GSTR 1'!$I$332:$I$448,'GSTR 1'!$M$332:$M$448,Summaries!$A$63,'GSTR 1'!$A$332:$A$448,Summaries!$A103)</f>
        <v>0</v>
      </c>
      <c r="AP103" s="80">
        <f>SUMIFS('GSTR 1'!$J$332:$J$448,'GSTR 1'!$M$332:$M$448,Summaries!$A$63,'GSTR 1'!$A$332:$A$448,Summaries!$A103)</f>
        <v>0</v>
      </c>
      <c r="AQ103" s="80">
        <f>SUMIFS('GSTR 1'!$K$332:$K$448,'GSTR 1'!$M$332:$M$448,Summaries!$A$63,'GSTR 1'!$A$332:$A$448,Summaries!$A103)</f>
        <v>0</v>
      </c>
      <c r="AR103" s="79">
        <f>SUMIFS('GSTR 1'!$E$332:$E$448,'GSTR 1'!$M$332:$M$448,Summaries!$A$64,'GSTR 1'!$A$332:$A$448,Summaries!$A103)</f>
        <v>0</v>
      </c>
      <c r="AS103" s="79">
        <f>SUMIFS('GSTR 1'!$F$332:$F$448,'GSTR 1'!$M$332:$M$448,Summaries!$A$64,'GSTR 1'!$A$332:$A$448,Summaries!$A103)</f>
        <v>0</v>
      </c>
      <c r="AT103" s="79">
        <f>SUMIFS('GSTR 1'!$G$332:$G$448,'GSTR 1'!$M$332:$M$448,Summaries!$A$64,'GSTR 1'!$A$332:$A$448,Summaries!$A103)</f>
        <v>0</v>
      </c>
      <c r="AU103" s="79">
        <f>SUMIFS('GSTR 1'!$H$332:$H$448,'GSTR 1'!$M$332:$M$448,Summaries!$A$64,'GSTR 1'!$A$332:$A$448,Summaries!$A103)</f>
        <v>0</v>
      </c>
      <c r="AV103" s="79">
        <f>SUMIFS('GSTR 1'!$I$332:$I$448,'GSTR 1'!$M$332:$M$448,Summaries!$A$64,'GSTR 1'!$A$332:$A$448,Summaries!$A103)</f>
        <v>0</v>
      </c>
      <c r="AW103" s="79">
        <f>SUMIFS('GSTR 1'!$J$332:$J$448,'GSTR 1'!$M$332:$M$448,Summaries!$A$64,'GSTR 1'!$A$332:$A$448,Summaries!$A103)</f>
        <v>0</v>
      </c>
      <c r="AX103" s="79">
        <f>SUMIFS('GSTR 1'!$K$332:$K$448,'GSTR 1'!$M$332:$M$448,Summaries!$A$64,'GSTR 1'!$A$332:$A$448,Summaries!$A103)</f>
        <v>0</v>
      </c>
      <c r="AY103" s="80">
        <f>SUMIFS('GSTR 1'!$E$332:$E$448,'GSTR 1'!$M$332:$M$448,Summaries!$A$65,'GSTR 1'!$A$332:$A$448,Summaries!$A103)</f>
        <v>0</v>
      </c>
      <c r="AZ103" s="80">
        <f>SUMIFS('GSTR 1'!$F$332:$F$448,'GSTR 1'!$M$332:$M$448,Summaries!$A$65,'GSTR 1'!$A$332:$A$448,Summaries!$A103)</f>
        <v>0</v>
      </c>
      <c r="BA103" s="80">
        <f>SUMIFS('GSTR 1'!$G$332:$G$448,'GSTR 1'!$M$332:$M$448,Summaries!$A$65,'GSTR 1'!$A$332:$A$448,Summaries!$A103)</f>
        <v>0</v>
      </c>
      <c r="BB103" s="80">
        <f>SUMIFS('GSTR 1'!$H$332:$H$448,'GSTR 1'!$M$332:$M$448,Summaries!$A$65,'GSTR 1'!$A$332:$A$448,Summaries!$A103)</f>
        <v>0</v>
      </c>
      <c r="BC103" s="80">
        <f>SUMIFS('GSTR 1'!$I$332:$I$448,'GSTR 1'!$M$332:$M$448,Summaries!$A$65,'GSTR 1'!$A$332:$A$448,Summaries!$A103)</f>
        <v>0</v>
      </c>
      <c r="BD103" s="80">
        <f>SUMIFS('GSTR 1'!$J$332:$J$448,'GSTR 1'!$M$332:$M$448,Summaries!$A$65,'GSTR 1'!$A$332:$A$448,Summaries!$A103)</f>
        <v>0</v>
      </c>
      <c r="BE103" s="80">
        <f>SUMIFS('GSTR 1'!$K$332:$K$448,'GSTR 1'!$M$332:$M$448,Summaries!$A$65,'GSTR 1'!$A$332:$A$448,Summaries!$A103)</f>
        <v>0</v>
      </c>
      <c r="BF103" s="79">
        <f>SUMIFS('GSTR 1'!$E$332:$E$448,'GSTR 1'!$M$332:$M$448,Summaries!$A$66,'GSTR 1'!$A$332:$A$448,Summaries!$A103)</f>
        <v>0</v>
      </c>
      <c r="BG103" s="79">
        <f>SUMIFS('GSTR 1'!$F$332:$F$448,'GSTR 1'!$M$332:$M$448,Summaries!$A$66,'GSTR 1'!$A$332:$A$448,Summaries!$A103)</f>
        <v>0</v>
      </c>
      <c r="BH103" s="79">
        <f>SUMIFS('GSTR 1'!$G$332:$G$448,'GSTR 1'!$M$332:$M$448,Summaries!$A$66,'GSTR 1'!$A$332:$A$448,Summaries!$A103)</f>
        <v>0</v>
      </c>
      <c r="BI103" s="79">
        <f>SUMIFS('GSTR 1'!$H$332:$H$448,'GSTR 1'!$M$332:$M$448,Summaries!$A$66,'GSTR 1'!$A$332:$A$448,Summaries!$A103)</f>
        <v>0</v>
      </c>
      <c r="BJ103" s="79">
        <f>SUMIFS('GSTR 1'!$I$332:$I$448,'GSTR 1'!$M$332:$M$448,Summaries!$A$66,'GSTR 1'!$A$332:$A$448,Summaries!$A103)</f>
        <v>0</v>
      </c>
      <c r="BK103" s="79">
        <f>SUMIFS('GSTR 1'!$J$332:$J$448,'GSTR 1'!$M$332:$M$448,Summaries!$A$66,'GSTR 1'!$A$332:$A$448,Summaries!$A103)</f>
        <v>0</v>
      </c>
      <c r="BL103" s="79">
        <f>SUMIFS('GSTR 1'!$K$332:$K$448,'GSTR 1'!$M$332:$M$448,Summaries!$A$66,'GSTR 1'!$A$332:$A$448,Summaries!$A103)</f>
        <v>0</v>
      </c>
      <c r="BM103" s="80">
        <f>SUMIFS('GSTR 1'!$E$332:$E$448,'GSTR 1'!$M$332:$M$448,Summaries!$A$67,'GSTR 1'!$A$332:$A$448,Summaries!$A103)</f>
        <v>0</v>
      </c>
      <c r="BN103" s="80">
        <f>SUMIFS('GSTR 1'!$F$332:$F$448,'GSTR 1'!$M$332:$M$448,Summaries!$A$67,'GSTR 1'!$A$332:$A$448,Summaries!$A103)</f>
        <v>0</v>
      </c>
      <c r="BO103" s="80">
        <f>SUMIFS('GSTR 1'!$G$332:$G$448,'GSTR 1'!$M$332:$M$448,Summaries!$A$67,'GSTR 1'!$A$332:$A$448,Summaries!$A103)</f>
        <v>0</v>
      </c>
      <c r="BP103" s="80">
        <f>SUMIFS('GSTR 1'!$H$332:$H$448,'GSTR 1'!$M$332:$M$448,Summaries!$A$67,'GSTR 1'!$A$332:$A$448,Summaries!$A103)</f>
        <v>0</v>
      </c>
      <c r="BQ103" s="80">
        <f>SUMIFS('GSTR 1'!$I$332:$I$448,'GSTR 1'!$M$332:$M$448,Summaries!$A$67,'GSTR 1'!$A$332:$A$448,Summaries!$A103)</f>
        <v>0</v>
      </c>
      <c r="BR103" s="80">
        <f>SUMIFS('GSTR 1'!$J$332:$J$448,'GSTR 1'!$M$332:$M$448,Summaries!$A$67,'GSTR 1'!$A$332:$A$448,Summaries!$A103)</f>
        <v>0</v>
      </c>
      <c r="BS103" s="80">
        <f>SUMIFS('GSTR 1'!$K$332:$K$448,'GSTR 1'!$M$332:$M$448,Summaries!$A$67,'GSTR 1'!$A$332:$A$448,Summaries!$A103)</f>
        <v>0</v>
      </c>
      <c r="BT103" s="79">
        <f>SUMIFS('GSTR 1'!$E$332:$E$448,'GSTR 1'!$M$332:$M$448,Summaries!$A$68,'GSTR 1'!$A$332:$A$448,Summaries!$A103)</f>
        <v>0</v>
      </c>
      <c r="BU103" s="79">
        <f>SUMIFS('GSTR 1'!$F$332:$F$448,'GSTR 1'!$M$332:$M$448,Summaries!$A$68,'GSTR 1'!$A$332:$A$448,Summaries!$A103)</f>
        <v>0</v>
      </c>
      <c r="BV103" s="79">
        <f>SUMIFS('GSTR 1'!$G$332:$G$448,'GSTR 1'!$M$332:$M$448,Summaries!$A$68,'GSTR 1'!$A$332:$A$448,Summaries!$A103)</f>
        <v>0</v>
      </c>
      <c r="BW103" s="79">
        <f>SUMIFS('GSTR 1'!$H$332:$H$448,'GSTR 1'!$M$332:$M$448,Summaries!$A$68,'GSTR 1'!$A$332:$A$448,Summaries!$A103)</f>
        <v>0</v>
      </c>
      <c r="BX103" s="79">
        <f>SUMIFS('GSTR 1'!$I$332:$I$448,'GSTR 1'!$M$332:$M$448,Summaries!$A$68,'GSTR 1'!$A$332:$A$448,Summaries!$A103)</f>
        <v>0</v>
      </c>
      <c r="BY103" s="79">
        <f>SUMIFS('GSTR 1'!$J$332:$J$448,'GSTR 1'!$M$332:$M$448,Summaries!$A$68,'GSTR 1'!$A$332:$A$448,Summaries!$A103)</f>
        <v>0</v>
      </c>
      <c r="BZ103" s="79">
        <f>SUMIFS('GSTR 1'!$K$332:$K$448,'GSTR 1'!$M$332:$M$448,Summaries!$A$68,'GSTR 1'!$A$332:$A$448,Summaries!$A103)</f>
        <v>0</v>
      </c>
      <c r="CA103" s="80">
        <f>SUMIFS('GSTR 1'!$E$332:$E$448,'GSTR 1'!$M$332:$M$448,Summaries!$A$69,'GSTR 1'!$A$332:$A$448,Summaries!$A103)</f>
        <v>0</v>
      </c>
      <c r="CB103" s="80">
        <f>SUMIFS('GSTR 1'!$F$332:$F$448,'GSTR 1'!$M$332:$M$448,Summaries!$A$69,'GSTR 1'!$A$332:$A$448,Summaries!$A103)</f>
        <v>0</v>
      </c>
      <c r="CC103" s="80">
        <f>SUMIFS('GSTR 1'!$G$332:$G$448,'GSTR 1'!$M$332:$M$448,Summaries!$A$69,'GSTR 1'!$A$332:$A$448,Summaries!$A103)</f>
        <v>0</v>
      </c>
      <c r="CD103" s="80">
        <f>SUMIFS('GSTR 1'!$H$332:$H$448,'GSTR 1'!$M$332:$M$448,Summaries!$A$69,'GSTR 1'!$A$332:$A$448,Summaries!$A103)</f>
        <v>0</v>
      </c>
      <c r="CE103" s="80">
        <f>SUMIFS('GSTR 1'!$I$332:$I$448,'GSTR 1'!$M$332:$M$448,Summaries!$A$69,'GSTR 1'!$A$332:$A$448,Summaries!$A103)</f>
        <v>0</v>
      </c>
      <c r="CF103" s="80">
        <f>SUMIFS('GSTR 1'!$J$332:$J$448,'GSTR 1'!$M$332:$M$448,Summaries!$A$69,'GSTR 1'!$A$332:$A$448,Summaries!$A103)</f>
        <v>0</v>
      </c>
      <c r="CG103" s="80">
        <f>SUMIFS('GSTR 1'!$K$332:$K$448,'GSTR 1'!$M$332:$M$448,Summaries!$A$69,'GSTR 1'!$A$332:$A$448,Summaries!$A103)</f>
        <v>0</v>
      </c>
      <c r="CH103" s="79">
        <f>SUMIFS('GSTR 1'!$E$332:$E$448,'GSTR 1'!$M$332:$M$448,Summaries!$A$70,'GSTR 1'!$A$332:$A$448,Summaries!$A103)</f>
        <v>0</v>
      </c>
      <c r="CI103" s="79">
        <f>SUMIFS('GSTR 1'!$F$332:$F$448,'GSTR 1'!$M$332:$M$448,Summaries!$A$70,'GSTR 1'!$A$332:$A$448,Summaries!$A103)</f>
        <v>0</v>
      </c>
      <c r="CJ103" s="79">
        <f>SUMIFS('GSTR 1'!$G$332:$G$448,'GSTR 1'!$M$332:$M$448,Summaries!$A$70,'GSTR 1'!$A$332:$A$448,Summaries!$A103)</f>
        <v>0</v>
      </c>
      <c r="CK103" s="79">
        <f>SUMIFS('GSTR 1'!$H$332:$H$448,'GSTR 1'!$M$332:$M$448,Summaries!$A$70,'GSTR 1'!$A$332:$A$448,Summaries!$A103)</f>
        <v>0</v>
      </c>
      <c r="CL103" s="79">
        <f>SUMIFS('GSTR 1'!$I$332:$I$448,'GSTR 1'!$M$332:$M$448,Summaries!$A$70,'GSTR 1'!$A$332:$A$448,Summaries!$A103)</f>
        <v>0</v>
      </c>
      <c r="CM103" s="79">
        <f>SUMIFS('GSTR 1'!$J$332:$J$448,'GSTR 1'!$M$332:$M$448,Summaries!$A$70,'GSTR 1'!$A$332:$A$448,Summaries!$A103)</f>
        <v>0</v>
      </c>
      <c r="CN103" s="79">
        <f>SUMIFS('GSTR 1'!$K$332:$K$448,'GSTR 1'!$M$332:$M$448,Summaries!$A$70,'GSTR 1'!$A$332:$A$448,Summaries!$A103)</f>
        <v>0</v>
      </c>
      <c r="CO103" s="80">
        <f>SUMIFS('GSTR 1'!$E$332:$E$448,'GSTR 1'!$M$332:$M$448,Summaries!$A$71,'GSTR 1'!$A$332:$A$448,Summaries!$A103)</f>
        <v>0</v>
      </c>
      <c r="CP103" s="80">
        <f>SUMIFS('GSTR 1'!$F$332:$F$448,'GSTR 1'!$M$332:$M$448,Summaries!$A$71,'GSTR 1'!$A$332:$A$448,Summaries!$A103)</f>
        <v>0</v>
      </c>
      <c r="CQ103" s="80">
        <f>SUMIFS('GSTR 1'!$G$332:$G$448,'GSTR 1'!$M$332:$M$448,Summaries!$A$71,'GSTR 1'!$A$332:$A$448,Summaries!$A103)</f>
        <v>0</v>
      </c>
      <c r="CR103" s="80">
        <f>SUMIFS('GSTR 1'!$H$332:$H$448,'GSTR 1'!$M$332:$M$448,Summaries!$A$71,'GSTR 1'!$A$332:$A$448,Summaries!$A103)</f>
        <v>0</v>
      </c>
      <c r="CS103" s="80">
        <f>SUMIFS('GSTR 1'!$I$332:$I$448,'GSTR 1'!$M$332:$M$448,Summaries!$A$71,'GSTR 1'!$A$332:$A$448,Summaries!$A103)</f>
        <v>0</v>
      </c>
      <c r="CT103" s="80">
        <f>SUMIFS('GSTR 1'!$J$332:$J$448,'GSTR 1'!$M$332:$M$448,Summaries!$A$71,'GSTR 1'!$A$332:$A$448,Summaries!$A103)</f>
        <v>0</v>
      </c>
      <c r="CU103" s="80">
        <f>SUMIFS('GSTR 1'!$K$332:$K$448,'GSTR 1'!$M$332:$M$448,Summaries!$A$71,'GSTR 1'!$A$332:$A$448,Summaries!$A103)</f>
        <v>0</v>
      </c>
      <c r="CV103" s="79">
        <f>SUMIFS('GSTR 1'!$E$332:$E$448,'GSTR 1'!$M$332:$M$448,Summaries!$A$72,'GSTR 1'!$A$332:$A$448,Summaries!$A103)</f>
        <v>0</v>
      </c>
      <c r="CW103" s="79">
        <f>SUMIFS('GSTR 1'!$F$332:$F$448,'GSTR 1'!$M$332:$M$448,Summaries!$A$72,'GSTR 1'!$A$332:$A$448,Summaries!$A103)</f>
        <v>0</v>
      </c>
      <c r="CX103" s="79">
        <f>SUMIFS('GSTR 1'!$G$332:$G$448,'GSTR 1'!$M$332:$M$448,Summaries!$A$72,'GSTR 1'!$A$332:$A$448,Summaries!$A103)</f>
        <v>0</v>
      </c>
      <c r="CY103" s="79">
        <f>SUMIFS('GSTR 1'!$H$332:$H$448,'GSTR 1'!$M$332:$M$448,Summaries!$A$72,'GSTR 1'!$A$332:$A$448,Summaries!$A103)</f>
        <v>0</v>
      </c>
      <c r="CZ103" s="79">
        <f>SUMIFS('GSTR 1'!$I$332:$I$448,'GSTR 1'!$M$332:$M$448,Summaries!$A$72,'GSTR 1'!$A$332:$A$448,Summaries!$A103)</f>
        <v>0</v>
      </c>
      <c r="DA103" s="79">
        <f>SUMIFS('GSTR 1'!$J$332:$J$448,'GSTR 1'!$M$332:$M$448,Summaries!$A$72,'GSTR 1'!$A$332:$A$448,Summaries!$A103)</f>
        <v>0</v>
      </c>
      <c r="DB103" s="79">
        <f>SUMIFS('GSTR 1'!$K$332:$K$448,'GSTR 1'!$M$332:$M$448,Summaries!$A$72,'GSTR 1'!$A$332:$A$448,Summaries!$A103)</f>
        <v>0</v>
      </c>
      <c r="DC103" s="80">
        <f>SUMIFS('GSTR 1'!$E$332:$E$448,'GSTR 1'!$M$332:$M$448,Summaries!$A$73,'GSTR 1'!$A$332:$A$448,Summaries!$A103)</f>
        <v>0</v>
      </c>
      <c r="DD103" s="80">
        <f>SUMIFS('GSTR 1'!$F$332:$F$448,'GSTR 1'!$M$332:$M$448,Summaries!$A$73,'GSTR 1'!$A$332:$A$448,Summaries!$A103)</f>
        <v>0</v>
      </c>
      <c r="DE103" s="80">
        <f>SUMIFS('GSTR 1'!$G$332:$G$448,'GSTR 1'!$M$332:$M$448,Summaries!$A$73,'GSTR 1'!$A$332:$A$448,Summaries!$A103)</f>
        <v>0</v>
      </c>
      <c r="DF103" s="80">
        <f>SUMIFS('GSTR 1'!$H$332:$H$448,'GSTR 1'!$M$332:$M$448,Summaries!$A$73,'GSTR 1'!$A$332:$A$448,Summaries!$A103)</f>
        <v>0</v>
      </c>
      <c r="DG103" s="80">
        <f>SUMIFS('GSTR 1'!$I$332:$I$448,'GSTR 1'!$M$332:$M$448,Summaries!$A$73,'GSTR 1'!$A$332:$A$448,Summaries!$A103)</f>
        <v>0</v>
      </c>
      <c r="DH103" s="80">
        <f>SUMIFS('GSTR 1'!$J$332:$J$448,'GSTR 1'!$M$332:$M$448,Summaries!$A$73,'GSTR 1'!$A$332:$A$448,Summaries!$A103)</f>
        <v>0</v>
      </c>
      <c r="DI103" s="80">
        <f>SUMIFS('GSTR 1'!$K$332:$K$448,'GSTR 1'!$M$332:$M$448,Summaries!$A$73,'GSTR 1'!$A$332:$A$448,Summaries!$A103)</f>
        <v>0</v>
      </c>
      <c r="DJ103" s="79">
        <f>SUMIFS('GSTR 1'!$E$332:$E$448,'GSTR 1'!$M$332:$M$448,Summaries!$A$74,'GSTR 1'!$A$332:$A$448,Summaries!$A103)</f>
        <v>0</v>
      </c>
      <c r="DK103" s="79">
        <f>SUMIFS('GSTR 1'!$F$332:$F$448,'GSTR 1'!$M$332:$M$448,Summaries!$A$74,'GSTR 1'!$A$332:$A$448,Summaries!$A103)</f>
        <v>0</v>
      </c>
      <c r="DL103" s="79">
        <f>SUMIFS('GSTR 1'!$G$332:$G$448,'GSTR 1'!$M$332:$M$448,Summaries!$A$74,'GSTR 1'!$A$332:$A$448,Summaries!$A103)</f>
        <v>0</v>
      </c>
      <c r="DM103" s="79">
        <f>SUMIFS('GSTR 1'!$H$332:$H$448,'GSTR 1'!$M$332:$M$448,Summaries!$A$74,'GSTR 1'!$A$332:$A$448,Summaries!$A103)</f>
        <v>0</v>
      </c>
      <c r="DN103" s="79">
        <f>SUMIFS('GSTR 1'!$I$332:$I$448,'GSTR 1'!$M$332:$M$448,Summaries!$A$74,'GSTR 1'!$A$332:$A$448,Summaries!$A103)</f>
        <v>0</v>
      </c>
      <c r="DO103" s="79">
        <f>SUMIFS('GSTR 1'!$J$332:$J$448,'GSTR 1'!$M$332:$M$448,Summaries!$A$74,'GSTR 1'!$A$332:$A$448,Summaries!$A103)</f>
        <v>0</v>
      </c>
      <c r="DP103" s="79">
        <f>SUMIFS('GSTR 1'!$K$332:$K$448,'GSTR 1'!$M$332:$M$448,Summaries!$A$74,'GSTR 1'!$A$332:$A$448,Summaries!$A103)</f>
        <v>0</v>
      </c>
      <c r="DQ103" s="80">
        <f>SUMIFS('GSTR 1'!$E$332:$E$448,'GSTR 1'!$M$332:$M$448,Summaries!$A$75,'GSTR 1'!$A$332:$A$448,Summaries!$A103)</f>
        <v>0</v>
      </c>
      <c r="DR103" s="80">
        <f>SUMIFS('GSTR 1'!$F$332:$F$448,'GSTR 1'!$M$332:$M$448,Summaries!$A$75,'GSTR 1'!$A$332:$A$448,Summaries!$A103)</f>
        <v>0</v>
      </c>
      <c r="DS103" s="80">
        <f>SUMIFS('GSTR 1'!$G$332:$G$448,'GSTR 1'!$M$332:$M$448,Summaries!$A$75,'GSTR 1'!$A$332:$A$448,Summaries!$A103)</f>
        <v>0</v>
      </c>
      <c r="DT103" s="80">
        <f>SUMIFS('GSTR 1'!$H$332:$H$448,'GSTR 1'!$M$332:$M$448,Summaries!$A$75,'GSTR 1'!$A$332:$A$448,Summaries!$A103)</f>
        <v>0</v>
      </c>
      <c r="DU103" s="80">
        <f>SUMIFS('GSTR 1'!$I$332:$I$448,'GSTR 1'!$M$332:$M$448,Summaries!$A$75,'GSTR 1'!$A$332:$A$448,Summaries!$A103)</f>
        <v>0</v>
      </c>
      <c r="DV103" s="80">
        <f>SUMIFS('GSTR 1'!$J$332:$J$448,'GSTR 1'!$M$332:$M$448,Summaries!$A$75,'GSTR 1'!$A$332:$A$448,Summaries!$A103)</f>
        <v>0</v>
      </c>
      <c r="DW103" s="80">
        <f>SUMIFS('GSTR 1'!$K$332:$K$448,'GSTR 1'!$M$332:$M$448,Summaries!$A$75,'GSTR 1'!$A$332:$A$448,Summaries!$A103)</f>
        <v>0</v>
      </c>
      <c r="DX103" s="79">
        <f>SUMIFS('GSTR 1'!$E$332:$E$448,'GSTR 1'!$M$332:$M$448,Summaries!$A$76,'GSTR 1'!$A$332:$A$448,Summaries!$A103)</f>
        <v>0</v>
      </c>
      <c r="DY103" s="79">
        <f>SUMIFS('GSTR 1'!$F$332:$F$448,'GSTR 1'!$M$332:$M$448,Summaries!$A$76,'GSTR 1'!$A$332:$A$448,Summaries!$A103)</f>
        <v>0</v>
      </c>
      <c r="DZ103" s="79">
        <f>SUMIFS('GSTR 1'!$G$332:$G$448,'GSTR 1'!$M$332:$M$448,Summaries!$A$76,'GSTR 1'!$A$332:$A$448,Summaries!$A103)</f>
        <v>0</v>
      </c>
      <c r="EA103" s="79">
        <f>SUMIFS('GSTR 1'!$H$332:$H$448,'GSTR 1'!$M$332:$M$448,Summaries!$A$76,'GSTR 1'!$A$332:$A$448,Summaries!$A103)</f>
        <v>0</v>
      </c>
      <c r="EB103" s="79">
        <f>SUMIFS('GSTR 1'!$I$332:$I$448,'GSTR 1'!$M$332:$M$448,Summaries!$A$76,'GSTR 1'!$A$332:$A$448,Summaries!$A103)</f>
        <v>0</v>
      </c>
      <c r="EC103" s="79">
        <f>SUMIFS('GSTR 1'!$J$332:$J$448,'GSTR 1'!$M$332:$M$448,Summaries!$A$76,'GSTR 1'!$A$332:$A$448,Summaries!$A103)</f>
        <v>0</v>
      </c>
      <c r="ED103" s="79">
        <f>SUMIFS('GSTR 1'!$K$332:$K$448,'GSTR 1'!$M$332:$M$448,Summaries!$A$76,'GSTR 1'!$A$332:$A$448,Summaries!$A103)</f>
        <v>0</v>
      </c>
      <c r="EE103" s="80">
        <f>SUMIFS('GSTR 1'!$E$332:$E$448,'GSTR 1'!$M$332:$M$448,Summaries!$A$77,'GSTR 1'!$A$332:$A$448,Summaries!$A103)</f>
        <v>0</v>
      </c>
      <c r="EF103" s="80">
        <f>SUMIFS('GSTR 1'!$F$332:$F$448,'GSTR 1'!$M$332:$M$448,Summaries!$A$77,'GSTR 1'!$A$332:$A$448,Summaries!$A103)</f>
        <v>0</v>
      </c>
      <c r="EG103" s="80">
        <f>SUMIFS('GSTR 1'!$G$332:$G$448,'GSTR 1'!$M$332:$M$448,Summaries!$A$77,'GSTR 1'!$A$332:$A$448,Summaries!$A103)</f>
        <v>0</v>
      </c>
      <c r="EH103" s="80">
        <f>SUMIFS('GSTR 1'!$H$332:$H$448,'GSTR 1'!$M$332:$M$448,Summaries!$A$77,'GSTR 1'!$A$332:$A$448,Summaries!$A103)</f>
        <v>0</v>
      </c>
      <c r="EI103" s="80">
        <f>SUMIFS('GSTR 1'!$I$332:$I$448,'GSTR 1'!$M$332:$M$448,Summaries!$A$77,'GSTR 1'!$A$332:$A$448,Summaries!$A103)</f>
        <v>0</v>
      </c>
      <c r="EJ103" s="80">
        <f>SUMIFS('GSTR 1'!$J$332:$J$448,'GSTR 1'!$M$332:$M$448,Summaries!$A$77,'GSTR 1'!$A$332:$A$448,Summaries!$A103)</f>
        <v>0</v>
      </c>
      <c r="EK103" s="80">
        <f>SUMIFS('GSTR 1'!$K$332:$K$448,'GSTR 1'!$M$332:$M$448,Summaries!$A$77,'GSTR 1'!$A$332:$A$448,Summaries!$A103)</f>
        <v>0</v>
      </c>
      <c r="EL103" s="79">
        <f>SUMIFS('GSTR 1'!$E$332:$E$448,'GSTR 1'!$M$332:$M$448,Summaries!$A$78,'GSTR 1'!$A$332:$A$448,Summaries!$A103)</f>
        <v>0</v>
      </c>
      <c r="EM103" s="79">
        <f>SUMIFS('GSTR 1'!$F$332:$F$448,'GSTR 1'!$M$332:$M$448,Summaries!$A$78,'GSTR 1'!$A$332:$A$448,Summaries!$A103)</f>
        <v>0</v>
      </c>
      <c r="EN103" s="79">
        <f>SUMIFS('GSTR 1'!$G$332:$G$448,'GSTR 1'!$M$332:$M$448,Summaries!$A$78,'GSTR 1'!$A$332:$A$448,Summaries!$A103)</f>
        <v>0</v>
      </c>
      <c r="EO103" s="79">
        <f>SUMIFS('GSTR 1'!$H$332:$H$448,'GSTR 1'!$M$332:$M$448,Summaries!$A$78,'GSTR 1'!$A$332:$A$448,Summaries!$A103)</f>
        <v>0</v>
      </c>
      <c r="EP103" s="79">
        <f>SUMIFS('GSTR 1'!$I$332:$I$448,'GSTR 1'!$M$332:$M$448,Summaries!$A$78,'GSTR 1'!$A$332:$A$448,Summaries!$A103)</f>
        <v>0</v>
      </c>
      <c r="EQ103" s="79">
        <f>SUMIFS('GSTR 1'!$J$332:$J$448,'GSTR 1'!$M$332:$M$448,Summaries!$A$78,'GSTR 1'!$A$332:$A$448,Summaries!$A103)</f>
        <v>0</v>
      </c>
      <c r="ER103" s="79">
        <f>SUMIFS('GSTR 1'!$K$332:$K$448,'GSTR 1'!$M$332:$M$448,Summaries!$A$78,'GSTR 1'!$A$332:$A$448,Summaries!$A103)</f>
        <v>0</v>
      </c>
      <c r="ES103" s="80">
        <f>SUMIFS('GSTR 1'!$E$332:$E$448,'GSTR 1'!$M$332:$M$448,Summaries!$A$79,'GSTR 1'!$A$332:$A$448,Summaries!$A103)</f>
        <v>0</v>
      </c>
      <c r="ET103" s="80">
        <f>SUMIFS('GSTR 1'!$F$332:$F$448,'GSTR 1'!$M$332:$M$448,Summaries!$A$79,'GSTR 1'!$A$332:$A$448,Summaries!$A103)</f>
        <v>0</v>
      </c>
      <c r="EU103" s="80">
        <f>SUMIFS('GSTR 1'!$G$332:$G$448,'GSTR 1'!$M$332:$M$448,Summaries!$A$79,'GSTR 1'!$A$332:$A$448,Summaries!$A103)</f>
        <v>0</v>
      </c>
      <c r="EV103" s="80">
        <f>SUMIFS('GSTR 1'!$H$332:$H$448,'GSTR 1'!$M$332:$M$448,Summaries!$A$79,'GSTR 1'!$A$332:$A$448,Summaries!$A103)</f>
        <v>0</v>
      </c>
      <c r="EW103" s="80">
        <f>SUMIFS('GSTR 1'!$I$332:$I$448,'GSTR 1'!$M$332:$M$448,Summaries!$A$79,'GSTR 1'!$A$332:$A$448,Summaries!$A103)</f>
        <v>0</v>
      </c>
      <c r="EX103" s="80">
        <f>SUMIFS('GSTR 1'!$J$332:$J$448,'GSTR 1'!$M$332:$M$448,Summaries!$A$79,'GSTR 1'!$A$332:$A$448,Summaries!$A103)</f>
        <v>0</v>
      </c>
      <c r="EY103" s="80">
        <f>SUMIFS('GSTR 1'!$K$332:$K$448,'GSTR 1'!$M$332:$M$448,Summaries!$A$79,'GSTR 1'!$A$332:$A$448,Summaries!$A103)</f>
        <v>0</v>
      </c>
      <c r="EZ103" s="79">
        <f>SUMIFS('GSTR 1'!$E$332:$E$448,'GSTR 1'!$M$332:$M$448,Summaries!$A$80,'GSTR 1'!$A$332:$A$448,Summaries!$A103)</f>
        <v>0</v>
      </c>
      <c r="FA103" s="79">
        <f>SUMIFS('GSTR 1'!$F$332:$F$448,'GSTR 1'!$M$332:$M$448,Summaries!$A$80,'GSTR 1'!$A$332:$A$448,Summaries!$A103)</f>
        <v>0</v>
      </c>
      <c r="FB103" s="79">
        <f>SUMIFS('GSTR 1'!$G$332:$G$448,'GSTR 1'!$M$332:$M$448,Summaries!$A$80,'GSTR 1'!$A$332:$A$448,Summaries!$A103)</f>
        <v>0</v>
      </c>
      <c r="FC103" s="79">
        <f>SUMIFS('GSTR 1'!$H$332:$H$448,'GSTR 1'!$M$332:$M$448,Summaries!$A$80,'GSTR 1'!$A$332:$A$448,Summaries!$A103)</f>
        <v>0</v>
      </c>
      <c r="FD103" s="79">
        <f>SUMIFS('GSTR 1'!$I$332:$I$448,'GSTR 1'!$M$332:$M$448,Summaries!$A$80,'GSTR 1'!$A$332:$A$448,Summaries!$A103)</f>
        <v>0</v>
      </c>
      <c r="FE103" s="79">
        <f>SUMIFS('GSTR 1'!$J$332:$J$448,'GSTR 1'!$M$332:$M$448,Summaries!$A$80,'GSTR 1'!$A$332:$A$448,Summaries!$A103)</f>
        <v>0</v>
      </c>
      <c r="FF103" s="79">
        <f>SUMIFS('GSTR 1'!$K$332:$K$448,'GSTR 1'!$M$332:$M$448,Summaries!$A$80,'GSTR 1'!$A$332:$A$448,Summaries!$A103)</f>
        <v>0</v>
      </c>
      <c r="FG103" s="80">
        <f>SUMIFS('GSTR 1'!$E$332:$E$448,'GSTR 1'!$M$332:$M$448,Summaries!$A$81,'GSTR 1'!$A$332:$A$448,Summaries!$A103)</f>
        <v>0</v>
      </c>
      <c r="FH103" s="80">
        <f>SUMIFS('GSTR 1'!$F$332:$F$448,'GSTR 1'!$M$332:$M$448,Summaries!$A$81,'GSTR 1'!$A$332:$A$448,Summaries!$A103)</f>
        <v>0</v>
      </c>
      <c r="FI103" s="80">
        <f>SUMIFS('GSTR 1'!$G$332:$G$448,'GSTR 1'!$M$332:$M$448,Summaries!$A$81,'GSTR 1'!$A$332:$A$448,Summaries!$A103)</f>
        <v>0</v>
      </c>
      <c r="FJ103" s="80">
        <f>SUMIFS('GSTR 1'!$H$332:$H$448,'GSTR 1'!$M$332:$M$448,Summaries!$A$81,'GSTR 1'!$A$332:$A$448,Summaries!$A103)</f>
        <v>0</v>
      </c>
      <c r="FK103" s="80">
        <f>SUMIFS('GSTR 1'!$I$332:$I$448,'GSTR 1'!$M$332:$M$448,Summaries!$A$81,'GSTR 1'!$A$332:$A$448,Summaries!$A103)</f>
        <v>0</v>
      </c>
      <c r="FL103" s="80">
        <f>SUMIFS('GSTR 1'!$J$332:$J$448,'GSTR 1'!$M$332:$M$448,Summaries!$A$81,'GSTR 1'!$A$332:$A$448,Summaries!$A103)</f>
        <v>0</v>
      </c>
      <c r="FM103" s="80">
        <f>SUMIFS('GSTR 1'!$K$332:$K$448,'GSTR 1'!$M$332:$M$448,Summaries!$A$81,'GSTR 1'!$A$332:$A$448,Summaries!$A103)</f>
        <v>0</v>
      </c>
      <c r="FN103" s="79">
        <f>SUMIFS('GSTR 1'!$E$332:$E$448,'GSTR 1'!$M$332:$M$448,Summaries!$A$82,'GSTR 1'!$A$332:$A$448,Summaries!$A103)</f>
        <v>0</v>
      </c>
      <c r="FO103" s="79">
        <f>SUMIFS('GSTR 1'!$F$332:$F$448,'GSTR 1'!$M$332:$M$448,Summaries!$A$82,'GSTR 1'!$A$332:$A$448,Summaries!$A103)</f>
        <v>0</v>
      </c>
      <c r="FP103" s="79">
        <f>SUMIFS('GSTR 1'!$G$332:$G$448,'GSTR 1'!$M$332:$M$448,Summaries!$A$82,'GSTR 1'!$A$332:$A$448,Summaries!$A103)</f>
        <v>0</v>
      </c>
      <c r="FQ103" s="79">
        <f>SUMIFS('GSTR 1'!$H$332:$H$448,'GSTR 1'!$M$332:$M$448,Summaries!$A$82,'GSTR 1'!$A$332:$A$448,Summaries!$A103)</f>
        <v>0</v>
      </c>
      <c r="FR103" s="79">
        <f>SUMIFS('GSTR 1'!$I$332:$I$448,'GSTR 1'!$M$332:$M$448,Summaries!$A$82,'GSTR 1'!$A$332:$A$448,Summaries!$A103)</f>
        <v>0</v>
      </c>
      <c r="FS103" s="79">
        <f>SUMIFS('GSTR 1'!$J$332:$J$448,'GSTR 1'!$M$332:$M$448,Summaries!$A$82,'GSTR 1'!$A$332:$A$448,Summaries!$A103)</f>
        <v>0</v>
      </c>
      <c r="FT103" s="79">
        <f>SUMIFS('GSTR 1'!$K$332:$K$448,'GSTR 1'!$M$332:$M$448,Summaries!$A$82,'GSTR 1'!$A$332:$A$448,Summaries!$A103)</f>
        <v>0</v>
      </c>
      <c r="FU103" s="80">
        <f>SUMIFS('GSTR 1'!$E$332:$E$448,'GSTR 1'!$M$332:$M$448,Summaries!$A$83,'GSTR 1'!$A$332:$A$448,Summaries!$A103)</f>
        <v>0</v>
      </c>
      <c r="FV103" s="80">
        <f>SUMIFS('GSTR 1'!$F$332:$F$448,'GSTR 1'!$M$332:$M$448,Summaries!$A$83,'GSTR 1'!$A$332:$A$448,Summaries!$A103)</f>
        <v>0</v>
      </c>
      <c r="FW103" s="80">
        <f>SUMIFS('GSTR 1'!$G$332:$G$448,'GSTR 1'!$M$332:$M$448,Summaries!$A$83,'GSTR 1'!$A$332:$A$448,Summaries!$A103)</f>
        <v>0</v>
      </c>
      <c r="FX103" s="80">
        <f>SUMIFS('GSTR 1'!$H$332:$H$448,'GSTR 1'!$M$332:$M$448,Summaries!$A$83,'GSTR 1'!$A$332:$A$448,Summaries!$A103)</f>
        <v>0</v>
      </c>
      <c r="FY103" s="80">
        <f>SUMIFS('GSTR 1'!$I$332:$I$448,'GSTR 1'!$M$332:$M$448,Summaries!$A$83,'GSTR 1'!$A$332:$A$448,Summaries!$A103)</f>
        <v>0</v>
      </c>
      <c r="FZ103" s="80">
        <f>SUMIFS('GSTR 1'!$J$332:$J$448,'GSTR 1'!$M$332:$M$448,Summaries!$A$83,'GSTR 1'!$A$332:$A$448,Summaries!$A103)</f>
        <v>0</v>
      </c>
      <c r="GA103" s="80">
        <f>SUMIFS('GSTR 1'!$K$332:$K$448,'GSTR 1'!$M$332:$M$448,Summaries!$A$83,'GSTR 1'!$A$332:$A$448,Summaries!$A103)</f>
        <v>0</v>
      </c>
      <c r="GB103" s="79">
        <f>SUMIFS('GSTR 1'!$E$332:$E$448,'GSTR 1'!$M$332:$M$448,Summaries!$A$84,'GSTR 1'!$A$332:$A$448,Summaries!$A103)</f>
        <v>0</v>
      </c>
      <c r="GC103" s="79">
        <f>SUMIFS('GSTR 1'!$F$332:$F$448,'GSTR 1'!$M$332:$M$448,Summaries!$A$84,'GSTR 1'!$A$332:$A$448,Summaries!$A103)</f>
        <v>0</v>
      </c>
      <c r="GD103" s="79">
        <f>SUMIFS('GSTR 1'!$G$332:$G$448,'GSTR 1'!$M$332:$M$448,Summaries!$A$84,'GSTR 1'!$A$332:$A$448,Summaries!$A103)</f>
        <v>0</v>
      </c>
      <c r="GE103" s="79">
        <f>SUMIFS('GSTR 1'!$H$332:$H$448,'GSTR 1'!$M$332:$M$448,Summaries!$A$84,'GSTR 1'!$A$332:$A$448,Summaries!$A103)</f>
        <v>0</v>
      </c>
      <c r="GF103" s="79">
        <f>SUMIFS('GSTR 1'!$I$332:$I$448,'GSTR 1'!$M$332:$M$448,Summaries!$A$84,'GSTR 1'!$A$332:$A$448,Summaries!$A103)</f>
        <v>0</v>
      </c>
      <c r="GG103" s="79">
        <f>SUMIFS('GSTR 1'!$J$332:$J$448,'GSTR 1'!$M$332:$M$448,Summaries!$A$84,'GSTR 1'!$A$332:$A$448,Summaries!$A103)</f>
        <v>0</v>
      </c>
      <c r="GH103" s="79">
        <f>SUMIFS('GSTR 1'!$K$332:$K$448,'GSTR 1'!$M$332:$M$448,Summaries!$A$84,'GSTR 1'!$A$332:$A$448,Summaries!$A103)</f>
        <v>0</v>
      </c>
      <c r="GI103" s="80">
        <f>SUMIFS('GSTR 1'!$E$332:$E$448,'GSTR 1'!$M$332:$M$448,Summaries!$A$85,'GSTR 1'!$A$332:$A$448,Summaries!$A103)</f>
        <v>0</v>
      </c>
      <c r="GJ103" s="80">
        <f>SUMIFS('GSTR 1'!$F$332:$F$448,'GSTR 1'!$M$332:$M$448,Summaries!$A$85,'GSTR 1'!$A$332:$A$448,Summaries!$A103)</f>
        <v>0</v>
      </c>
      <c r="GK103" s="80">
        <f>SUMIFS('GSTR 1'!$G$332:$G$448,'GSTR 1'!$M$332:$M$448,Summaries!$A$85,'GSTR 1'!$A$332:$A$448,Summaries!$A103)</f>
        <v>0</v>
      </c>
      <c r="GL103" s="80">
        <f>SUMIFS('GSTR 1'!$H$332:$H$448,'GSTR 1'!$M$332:$M$448,Summaries!$A$85,'GSTR 1'!$A$332:$A$448,Summaries!$A103)</f>
        <v>0</v>
      </c>
      <c r="GM103" s="80">
        <f>SUMIFS('GSTR 1'!$I$332:$I$448,'GSTR 1'!$M$332:$M$448,Summaries!$A$85,'GSTR 1'!$A$332:$A$448,Summaries!$A103)</f>
        <v>0</v>
      </c>
      <c r="GN103" s="80">
        <f>SUMIFS('GSTR 1'!$J$332:$J$448,'GSTR 1'!$M$332:$M$448,Summaries!$A$85,'GSTR 1'!$A$332:$A$448,Summaries!$A103)</f>
        <v>0</v>
      </c>
      <c r="GO103" s="80">
        <f>SUMIFS('GSTR 1'!$K$332:$K$448,'GSTR 1'!$M$332:$M$448,Summaries!$A$85,'GSTR 1'!$A$332:$A$448,Summaries!$A103)</f>
        <v>0</v>
      </c>
      <c r="GP103" s="79">
        <f>SUMIFS('GSTR 1'!$E$332:$E$448,'GSTR 1'!$M$332:$M$448,Summaries!$A$86,'GSTR 1'!$A$332:$A$448,Summaries!$A103)</f>
        <v>0</v>
      </c>
      <c r="GQ103" s="79">
        <f>SUMIFS('GSTR 1'!$F$332:$F$448,'GSTR 1'!$M$332:$M$448,Summaries!$A$86,'GSTR 1'!$A$332:$A$448,Summaries!$A103)</f>
        <v>0</v>
      </c>
      <c r="GR103" s="79">
        <f>SUMIFS('GSTR 1'!$G$332:$G$448,'GSTR 1'!$M$332:$M$448,Summaries!$A$86,'GSTR 1'!$A$332:$A$448,Summaries!$A103)</f>
        <v>0</v>
      </c>
      <c r="GS103" s="79">
        <f>SUMIFS('GSTR 1'!$H$332:$H$448,'GSTR 1'!$M$332:$M$448,Summaries!$A$86,'GSTR 1'!$A$332:$A$448,Summaries!$A103)</f>
        <v>0</v>
      </c>
      <c r="GT103" s="79">
        <f>SUMIFS('GSTR 1'!$I$332:$I$448,'GSTR 1'!$M$332:$M$448,Summaries!$A$86,'GSTR 1'!$A$332:$A$448,Summaries!$A103)</f>
        <v>0</v>
      </c>
      <c r="GU103" s="79">
        <f>SUMIFS('GSTR 1'!$J$332:$J$448,'GSTR 1'!$M$332:$M$448,Summaries!$A$86,'GSTR 1'!$A$332:$A$448,Summaries!$A103)</f>
        <v>0</v>
      </c>
      <c r="GV103" s="79">
        <f>SUMIFS('GSTR 1'!$K$332:$K$448,'GSTR 1'!$M$332:$M$448,Summaries!$A$86,'GSTR 1'!$A$332:$A$448,Summaries!$A103)</f>
        <v>0</v>
      </c>
      <c r="GW103" s="80">
        <f>SUMIFS('GSTR 1'!$E$332:$E$448,'GSTR 1'!$M$332:$M$448,Summaries!$A$87,'GSTR 1'!$A$332:$A$448,Summaries!$A103)</f>
        <v>0</v>
      </c>
      <c r="GX103" s="80">
        <f>SUMIFS('GSTR 1'!$F$332:$F$448,'GSTR 1'!$M$332:$M$448,Summaries!$A$87,'GSTR 1'!$A$332:$A$448,Summaries!$A103)</f>
        <v>0</v>
      </c>
      <c r="GY103" s="80">
        <f>SUMIFS('GSTR 1'!$G$332:$G$448,'GSTR 1'!$M$332:$M$448,Summaries!$A$87,'GSTR 1'!$A$332:$A$448,Summaries!$A103)</f>
        <v>0</v>
      </c>
      <c r="GZ103" s="80">
        <f>SUMIFS('GSTR 1'!$H$332:$H$448,'GSTR 1'!$M$332:$M$448,Summaries!$A$87,'GSTR 1'!$A$332:$A$448,Summaries!$A103)</f>
        <v>0</v>
      </c>
      <c r="HA103" s="80">
        <f>SUMIFS('GSTR 1'!$I$332:$I$448,'GSTR 1'!$M$332:$M$448,Summaries!$A$87,'GSTR 1'!$A$332:$A$448,Summaries!$A103)</f>
        <v>0</v>
      </c>
      <c r="HB103" s="80">
        <f>SUMIFS('GSTR 1'!$J$332:$J$448,'GSTR 1'!$M$332:$M$448,Summaries!$A$87,'GSTR 1'!$A$332:$A$448,Summaries!$A103)</f>
        <v>0</v>
      </c>
      <c r="HC103" s="80">
        <f>SUMIFS('GSTR 1'!$K$332:$K$448,'GSTR 1'!$M$332:$M$448,Summaries!$A$87,'GSTR 1'!$A$332:$A$448,Summaries!$A103)</f>
        <v>0</v>
      </c>
    </row>
    <row r="104" spans="1:211" x14ac:dyDescent="0.3">
      <c r="A104" s="78">
        <f>DATE(INT(LEFT($B$3,4)),10,1)</f>
        <v>45931</v>
      </c>
      <c r="B104" s="79">
        <f>SUMIFS('GSTR 1'!$E$332:$E$448,'GSTR 1'!$M$332:$M$448,Summaries!$A$58,'GSTR 1'!$A$332:$A$448,Summaries!A104)</f>
        <v>0</v>
      </c>
      <c r="C104" s="79">
        <f>SUMIFS('GSTR 1'!$F$332:$F$448,'GSTR 1'!$M$332:$M$448,Summaries!$A$58,'GSTR 1'!$A$332:$A$448,Summaries!A104)</f>
        <v>0</v>
      </c>
      <c r="D104" s="79">
        <f>SUMIFS('GSTR 1'!$G$332:$G$448,'GSTR 1'!$M$332:$M$448,Summaries!$A$58,'GSTR 1'!$A$332:$A$448,Summaries!A104)</f>
        <v>0</v>
      </c>
      <c r="E104" s="79">
        <f>SUMIFS('GSTR 1'!$H$332:$H$448,'GSTR 1'!$M$332:$M$448,Summaries!$A$58,'GSTR 1'!$A$332:$A$448,Summaries!A104)</f>
        <v>0</v>
      </c>
      <c r="F104" s="79">
        <f>SUMIFS('GSTR 1'!$I$332:$I$448,'GSTR 1'!$M$332:$M$448,Summaries!$A$58,'GSTR 1'!$A$332:$A$448,Summaries!A104)</f>
        <v>0</v>
      </c>
      <c r="G104" s="79">
        <f>SUMIFS('GSTR 1'!$J$332:$J$448,'GSTR 1'!$M$332:$M$448,Summaries!$A$58,'GSTR 1'!$A$332:$A$448,Summaries!A104)</f>
        <v>0</v>
      </c>
      <c r="H104" s="79">
        <f>SUMIFS('GSTR 1'!$K$332:$K$448,'GSTR 1'!$M$332:$M$448,Summaries!$A$58,'GSTR 1'!$A$332:$A$448,Summaries!A104)</f>
        <v>0</v>
      </c>
      <c r="I104" s="80">
        <f>SUMIFS('GSTR 1'!$E$332:$E$448,'GSTR 1'!$M$332:$M$448,Summaries!$A$59,'GSTR 1'!$A$332:$A$448,Summaries!$A104)</f>
        <v>0</v>
      </c>
      <c r="J104" s="80">
        <f>SUMIFS('GSTR 1'!$F$332:$F$448,'GSTR 1'!$M$332:$M$448,Summaries!$A$59,'GSTR 1'!$A$332:$A$448,Summaries!$A104)</f>
        <v>0</v>
      </c>
      <c r="K104" s="80">
        <f>SUMIFS('GSTR 1'!$G$332:$G$448,'GSTR 1'!$M$332:$M$448,Summaries!$A$59,'GSTR 1'!$A$332:$A$448,Summaries!$A104)</f>
        <v>0</v>
      </c>
      <c r="L104" s="80">
        <f>SUMIFS('GSTR 1'!$H$332:$H$448,'GSTR 1'!$M$332:$M$448,Summaries!$A$59,'GSTR 1'!$A$332:$A$448,Summaries!$A104)</f>
        <v>0</v>
      </c>
      <c r="M104" s="80">
        <f>SUMIFS('GSTR 1'!$I$332:$I$448,'GSTR 1'!$M$332:$M$448,Summaries!$A$59,'GSTR 1'!$A$332:$A$448,Summaries!$A104)</f>
        <v>0</v>
      </c>
      <c r="N104" s="80">
        <f>SUMIFS('GSTR 1'!$J$332:$J$448,'GSTR 1'!$M$332:$M$448,Summaries!$A$59,'GSTR 1'!$A$332:$A$448,Summaries!$A104)</f>
        <v>0</v>
      </c>
      <c r="O104" s="80">
        <f>SUMIFS('GSTR 1'!$K$332:$K$448,'GSTR 1'!$M$332:$M$448,Summaries!$A$59,'GSTR 1'!$A$332:$A$448,Summaries!$A104)</f>
        <v>0</v>
      </c>
      <c r="P104" s="79">
        <f>SUMIFS('GSTR 1'!$E$332:$E$448,'GSTR 1'!$M$332:$M$448,Summaries!$A$60,'GSTR 1'!$A$332:$A$448,Summaries!$A104)</f>
        <v>0</v>
      </c>
      <c r="Q104" s="79">
        <f>SUMIFS('GSTR 1'!$F$332:$F$448,'GSTR 1'!$M$332:$M$448,Summaries!$A$60,'GSTR 1'!$A$332:$A$448,Summaries!$A104)</f>
        <v>0</v>
      </c>
      <c r="R104" s="79">
        <f>SUMIFS('GSTR 1'!$G$332:$G$448,'GSTR 1'!$M$332:$M$448,Summaries!$A$60,'GSTR 1'!$A$332:$A$448,Summaries!$A104)</f>
        <v>0</v>
      </c>
      <c r="S104" s="79">
        <f>SUMIFS('GSTR 1'!$H$332:$H$448,'GSTR 1'!$M$332:$M$448,Summaries!$A$60,'GSTR 1'!$A$332:$A$448,Summaries!$A104)</f>
        <v>0</v>
      </c>
      <c r="T104" s="79">
        <f>SUMIFS('GSTR 1'!$I$332:$I$448,'GSTR 1'!$M$332:$M$448,Summaries!$A$60,'GSTR 1'!$A$332:$A$448,Summaries!$A104)</f>
        <v>0</v>
      </c>
      <c r="U104" s="79">
        <f>SUMIFS('GSTR 1'!$J$332:$J$448,'GSTR 1'!$M$332:$M$448,Summaries!$A$60,'GSTR 1'!$A$332:$A$448,Summaries!$A104)</f>
        <v>0</v>
      </c>
      <c r="V104" s="79">
        <f>SUMIFS('GSTR 1'!$K$332:$K$448,'GSTR 1'!$M$332:$M$448,Summaries!$A$60,'GSTR 1'!$A$332:$A$448,Summaries!$A104)</f>
        <v>0</v>
      </c>
      <c r="W104" s="80">
        <f>SUMIFS('GSTR 1'!$E$332:$E$448,'GSTR 1'!$M$332:$M$448,Summaries!$A$61,'GSTR 1'!$A$332:$A$448,Summaries!$A104)</f>
        <v>0</v>
      </c>
      <c r="X104" s="80">
        <f>SUMIFS('GSTR 1'!$F$332:$F$448,'GSTR 1'!$M$332:$M$448,Summaries!$A$61,'GSTR 1'!$A$332:$A$448,Summaries!$A104)</f>
        <v>0</v>
      </c>
      <c r="Y104" s="80">
        <f>SUMIFS('GSTR 1'!$G$332:$G$448,'GSTR 1'!$M$332:$M$448,Summaries!$A$61,'GSTR 1'!$A$332:$A$448,Summaries!$A104)</f>
        <v>0</v>
      </c>
      <c r="Z104" s="80">
        <f>SUMIFS('GSTR 1'!$H$332:$H$448,'GSTR 1'!$M$332:$M$448,Summaries!$A$61,'GSTR 1'!$A$332:$A$448,Summaries!$A104)</f>
        <v>0</v>
      </c>
      <c r="AA104" s="80">
        <f>SUMIFS('GSTR 1'!$I$332:$I$448,'GSTR 1'!$M$332:$M$448,Summaries!$A$61,'GSTR 1'!$A$332:$A$448,Summaries!$A104)</f>
        <v>0</v>
      </c>
      <c r="AB104" s="80">
        <f>SUMIFS('GSTR 1'!$J$332:$J$448,'GSTR 1'!$M$332:$M$448,Summaries!$A$61,'GSTR 1'!$A$332:$A$448,Summaries!$A104)</f>
        <v>0</v>
      </c>
      <c r="AC104" s="80">
        <f>SUMIFS('GSTR 1'!$K$332:$K$448,'GSTR 1'!$M$332:$M$448,Summaries!$A$61,'GSTR 1'!$A$332:$A$448,Summaries!$A104)</f>
        <v>0</v>
      </c>
      <c r="AD104" s="79">
        <f>SUMIFS('GSTR 1'!$E$332:$E$448,'GSTR 1'!$M$332:$M$448,Summaries!$A$62,'GSTR 1'!$A$332:$A$448,Summaries!$A104)</f>
        <v>0</v>
      </c>
      <c r="AE104" s="79">
        <f>SUMIFS('GSTR 1'!$F$332:$F$448,'GSTR 1'!$M$332:$M$448,Summaries!$A$62,'GSTR 1'!$A$332:$A$448,Summaries!$A104)</f>
        <v>0</v>
      </c>
      <c r="AF104" s="79">
        <f>SUMIFS('GSTR 1'!$G$332:$G$448,'GSTR 1'!$M$332:$M$448,Summaries!$A$62,'GSTR 1'!$A$332:$A$448,Summaries!$A104)</f>
        <v>0</v>
      </c>
      <c r="AG104" s="79">
        <f>SUMIFS('GSTR 1'!$H$332:$H$448,'GSTR 1'!$M$332:$M$448,Summaries!$A$62,'GSTR 1'!$A$332:$A$448,Summaries!$A104)</f>
        <v>0</v>
      </c>
      <c r="AH104" s="79">
        <f>SUMIFS('GSTR 1'!$I$332:$I$448,'GSTR 1'!$M$332:$M$448,Summaries!$A$62,'GSTR 1'!$A$332:$A$448,Summaries!$A104)</f>
        <v>0</v>
      </c>
      <c r="AI104" s="79">
        <f>SUMIFS('GSTR 1'!$J$332:$J$448,'GSTR 1'!$M$332:$M$448,Summaries!$A$62,'GSTR 1'!$A$332:$A$448,Summaries!$A104)</f>
        <v>0</v>
      </c>
      <c r="AJ104" s="79">
        <f>SUMIFS('GSTR 1'!$K$332:$K$448,'GSTR 1'!$M$332:$M$448,Summaries!$A$62,'GSTR 1'!$A$332:$A$448,Summaries!$A104)</f>
        <v>0</v>
      </c>
      <c r="AK104" s="80">
        <f>SUMIFS('GSTR 1'!$E$332:$E$448,'GSTR 1'!$M$332:$M$448,Summaries!$A$63,'GSTR 1'!$A$332:$A$448,Summaries!$A104)</f>
        <v>0</v>
      </c>
      <c r="AL104" s="80">
        <f>SUMIFS('GSTR 1'!$F$332:$F$448,'GSTR 1'!$M$332:$M$448,Summaries!$A$63,'GSTR 1'!$A$332:$A$448,Summaries!$A104)</f>
        <v>0</v>
      </c>
      <c r="AM104" s="80">
        <f>SUMIFS('GSTR 1'!$G$332:$G$448,'GSTR 1'!$M$332:$M$448,Summaries!$A$63,'GSTR 1'!$A$332:$A$448,Summaries!$A104)</f>
        <v>0</v>
      </c>
      <c r="AN104" s="80">
        <f>SUMIFS('GSTR 1'!$H$332:$H$448,'GSTR 1'!$M$332:$M$448,Summaries!$A$63,'GSTR 1'!$A$332:$A$448,Summaries!$A104)</f>
        <v>0</v>
      </c>
      <c r="AO104" s="80">
        <f>SUMIFS('GSTR 1'!$I$332:$I$448,'GSTR 1'!$M$332:$M$448,Summaries!$A$63,'GSTR 1'!$A$332:$A$448,Summaries!$A104)</f>
        <v>0</v>
      </c>
      <c r="AP104" s="80">
        <f>SUMIFS('GSTR 1'!$J$332:$J$448,'GSTR 1'!$M$332:$M$448,Summaries!$A$63,'GSTR 1'!$A$332:$A$448,Summaries!$A104)</f>
        <v>0</v>
      </c>
      <c r="AQ104" s="80">
        <f>SUMIFS('GSTR 1'!$K$332:$K$448,'GSTR 1'!$M$332:$M$448,Summaries!$A$63,'GSTR 1'!$A$332:$A$448,Summaries!$A104)</f>
        <v>0</v>
      </c>
      <c r="AR104" s="79">
        <f>SUMIFS('GSTR 1'!$E$332:$E$448,'GSTR 1'!$M$332:$M$448,Summaries!$A$64,'GSTR 1'!$A$332:$A$448,Summaries!$A104)</f>
        <v>0</v>
      </c>
      <c r="AS104" s="79">
        <f>SUMIFS('GSTR 1'!$F$332:$F$448,'GSTR 1'!$M$332:$M$448,Summaries!$A$64,'GSTR 1'!$A$332:$A$448,Summaries!$A104)</f>
        <v>0</v>
      </c>
      <c r="AT104" s="79">
        <f>SUMIFS('GSTR 1'!$G$332:$G$448,'GSTR 1'!$M$332:$M$448,Summaries!$A$64,'GSTR 1'!$A$332:$A$448,Summaries!$A104)</f>
        <v>0</v>
      </c>
      <c r="AU104" s="79">
        <f>SUMIFS('GSTR 1'!$H$332:$H$448,'GSTR 1'!$M$332:$M$448,Summaries!$A$64,'GSTR 1'!$A$332:$A$448,Summaries!$A104)</f>
        <v>0</v>
      </c>
      <c r="AV104" s="79">
        <f>SUMIFS('GSTR 1'!$I$332:$I$448,'GSTR 1'!$M$332:$M$448,Summaries!$A$64,'GSTR 1'!$A$332:$A$448,Summaries!$A104)</f>
        <v>0</v>
      </c>
      <c r="AW104" s="79">
        <f>SUMIFS('GSTR 1'!$J$332:$J$448,'GSTR 1'!$M$332:$M$448,Summaries!$A$64,'GSTR 1'!$A$332:$A$448,Summaries!$A104)</f>
        <v>0</v>
      </c>
      <c r="AX104" s="79">
        <f>SUMIFS('GSTR 1'!$K$332:$K$448,'GSTR 1'!$M$332:$M$448,Summaries!$A$64,'GSTR 1'!$A$332:$A$448,Summaries!$A104)</f>
        <v>0</v>
      </c>
      <c r="AY104" s="80">
        <f>SUMIFS('GSTR 1'!$E$332:$E$448,'GSTR 1'!$M$332:$M$448,Summaries!$A$65,'GSTR 1'!$A$332:$A$448,Summaries!$A104)</f>
        <v>0</v>
      </c>
      <c r="AZ104" s="80">
        <f>SUMIFS('GSTR 1'!$F$332:$F$448,'GSTR 1'!$M$332:$M$448,Summaries!$A$65,'GSTR 1'!$A$332:$A$448,Summaries!$A104)</f>
        <v>0</v>
      </c>
      <c r="BA104" s="80">
        <f>SUMIFS('GSTR 1'!$G$332:$G$448,'GSTR 1'!$M$332:$M$448,Summaries!$A$65,'GSTR 1'!$A$332:$A$448,Summaries!$A104)</f>
        <v>0</v>
      </c>
      <c r="BB104" s="80">
        <f>SUMIFS('GSTR 1'!$H$332:$H$448,'GSTR 1'!$M$332:$M$448,Summaries!$A$65,'GSTR 1'!$A$332:$A$448,Summaries!$A104)</f>
        <v>0</v>
      </c>
      <c r="BC104" s="80">
        <f>SUMIFS('GSTR 1'!$I$332:$I$448,'GSTR 1'!$M$332:$M$448,Summaries!$A$65,'GSTR 1'!$A$332:$A$448,Summaries!$A104)</f>
        <v>0</v>
      </c>
      <c r="BD104" s="80">
        <f>SUMIFS('GSTR 1'!$J$332:$J$448,'GSTR 1'!$M$332:$M$448,Summaries!$A$65,'GSTR 1'!$A$332:$A$448,Summaries!$A104)</f>
        <v>0</v>
      </c>
      <c r="BE104" s="80">
        <f>SUMIFS('GSTR 1'!$K$332:$K$448,'GSTR 1'!$M$332:$M$448,Summaries!$A$65,'GSTR 1'!$A$332:$A$448,Summaries!$A104)</f>
        <v>0</v>
      </c>
      <c r="BF104" s="79">
        <f>SUMIFS('GSTR 1'!$E$332:$E$448,'GSTR 1'!$M$332:$M$448,Summaries!$A$66,'GSTR 1'!$A$332:$A$448,Summaries!$A104)</f>
        <v>0</v>
      </c>
      <c r="BG104" s="79">
        <f>SUMIFS('GSTR 1'!$F$332:$F$448,'GSTR 1'!$M$332:$M$448,Summaries!$A$66,'GSTR 1'!$A$332:$A$448,Summaries!$A104)</f>
        <v>0</v>
      </c>
      <c r="BH104" s="79">
        <f>SUMIFS('GSTR 1'!$G$332:$G$448,'GSTR 1'!$M$332:$M$448,Summaries!$A$66,'GSTR 1'!$A$332:$A$448,Summaries!$A104)</f>
        <v>0</v>
      </c>
      <c r="BI104" s="79">
        <f>SUMIFS('GSTR 1'!$H$332:$H$448,'GSTR 1'!$M$332:$M$448,Summaries!$A$66,'GSTR 1'!$A$332:$A$448,Summaries!$A104)</f>
        <v>0</v>
      </c>
      <c r="BJ104" s="79">
        <f>SUMIFS('GSTR 1'!$I$332:$I$448,'GSTR 1'!$M$332:$M$448,Summaries!$A$66,'GSTR 1'!$A$332:$A$448,Summaries!$A104)</f>
        <v>0</v>
      </c>
      <c r="BK104" s="79">
        <f>SUMIFS('GSTR 1'!$J$332:$J$448,'GSTR 1'!$M$332:$M$448,Summaries!$A$66,'GSTR 1'!$A$332:$A$448,Summaries!$A104)</f>
        <v>0</v>
      </c>
      <c r="BL104" s="79">
        <f>SUMIFS('GSTR 1'!$K$332:$K$448,'GSTR 1'!$M$332:$M$448,Summaries!$A$66,'GSTR 1'!$A$332:$A$448,Summaries!$A104)</f>
        <v>0</v>
      </c>
      <c r="BM104" s="80">
        <f>SUMIFS('GSTR 1'!$E$332:$E$448,'GSTR 1'!$M$332:$M$448,Summaries!$A$67,'GSTR 1'!$A$332:$A$448,Summaries!$A104)</f>
        <v>0</v>
      </c>
      <c r="BN104" s="80">
        <f>SUMIFS('GSTR 1'!$F$332:$F$448,'GSTR 1'!$M$332:$M$448,Summaries!$A$67,'GSTR 1'!$A$332:$A$448,Summaries!$A104)</f>
        <v>0</v>
      </c>
      <c r="BO104" s="80">
        <f>SUMIFS('GSTR 1'!$G$332:$G$448,'GSTR 1'!$M$332:$M$448,Summaries!$A$67,'GSTR 1'!$A$332:$A$448,Summaries!$A104)</f>
        <v>0</v>
      </c>
      <c r="BP104" s="80">
        <f>SUMIFS('GSTR 1'!$H$332:$H$448,'GSTR 1'!$M$332:$M$448,Summaries!$A$67,'GSTR 1'!$A$332:$A$448,Summaries!$A104)</f>
        <v>0</v>
      </c>
      <c r="BQ104" s="80">
        <f>SUMIFS('GSTR 1'!$I$332:$I$448,'GSTR 1'!$M$332:$M$448,Summaries!$A$67,'GSTR 1'!$A$332:$A$448,Summaries!$A104)</f>
        <v>0</v>
      </c>
      <c r="BR104" s="80">
        <f>SUMIFS('GSTR 1'!$J$332:$J$448,'GSTR 1'!$M$332:$M$448,Summaries!$A$67,'GSTR 1'!$A$332:$A$448,Summaries!$A104)</f>
        <v>0</v>
      </c>
      <c r="BS104" s="80">
        <f>SUMIFS('GSTR 1'!$K$332:$K$448,'GSTR 1'!$M$332:$M$448,Summaries!$A$67,'GSTR 1'!$A$332:$A$448,Summaries!$A104)</f>
        <v>0</v>
      </c>
      <c r="BT104" s="79">
        <f>SUMIFS('GSTR 1'!$E$332:$E$448,'GSTR 1'!$M$332:$M$448,Summaries!$A$68,'GSTR 1'!$A$332:$A$448,Summaries!$A104)</f>
        <v>0</v>
      </c>
      <c r="BU104" s="79">
        <f>SUMIFS('GSTR 1'!$F$332:$F$448,'GSTR 1'!$M$332:$M$448,Summaries!$A$68,'GSTR 1'!$A$332:$A$448,Summaries!$A104)</f>
        <v>0</v>
      </c>
      <c r="BV104" s="79">
        <f>SUMIFS('GSTR 1'!$G$332:$G$448,'GSTR 1'!$M$332:$M$448,Summaries!$A$68,'GSTR 1'!$A$332:$A$448,Summaries!$A104)</f>
        <v>0</v>
      </c>
      <c r="BW104" s="79">
        <f>SUMIFS('GSTR 1'!$H$332:$H$448,'GSTR 1'!$M$332:$M$448,Summaries!$A$68,'GSTR 1'!$A$332:$A$448,Summaries!$A104)</f>
        <v>0</v>
      </c>
      <c r="BX104" s="79">
        <f>SUMIFS('GSTR 1'!$I$332:$I$448,'GSTR 1'!$M$332:$M$448,Summaries!$A$68,'GSTR 1'!$A$332:$A$448,Summaries!$A104)</f>
        <v>0</v>
      </c>
      <c r="BY104" s="79">
        <f>SUMIFS('GSTR 1'!$J$332:$J$448,'GSTR 1'!$M$332:$M$448,Summaries!$A$68,'GSTR 1'!$A$332:$A$448,Summaries!$A104)</f>
        <v>0</v>
      </c>
      <c r="BZ104" s="79">
        <f>SUMIFS('GSTR 1'!$K$332:$K$448,'GSTR 1'!$M$332:$M$448,Summaries!$A$68,'GSTR 1'!$A$332:$A$448,Summaries!$A104)</f>
        <v>0</v>
      </c>
      <c r="CA104" s="80">
        <f>SUMIFS('GSTR 1'!$E$332:$E$448,'GSTR 1'!$M$332:$M$448,Summaries!$A$69,'GSTR 1'!$A$332:$A$448,Summaries!$A104)</f>
        <v>0</v>
      </c>
      <c r="CB104" s="80">
        <f>SUMIFS('GSTR 1'!$F$332:$F$448,'GSTR 1'!$M$332:$M$448,Summaries!$A$69,'GSTR 1'!$A$332:$A$448,Summaries!$A104)</f>
        <v>0</v>
      </c>
      <c r="CC104" s="80">
        <f>SUMIFS('GSTR 1'!$G$332:$G$448,'GSTR 1'!$M$332:$M$448,Summaries!$A$69,'GSTR 1'!$A$332:$A$448,Summaries!$A104)</f>
        <v>0</v>
      </c>
      <c r="CD104" s="80">
        <f>SUMIFS('GSTR 1'!$H$332:$H$448,'GSTR 1'!$M$332:$M$448,Summaries!$A$69,'GSTR 1'!$A$332:$A$448,Summaries!$A104)</f>
        <v>0</v>
      </c>
      <c r="CE104" s="80">
        <f>SUMIFS('GSTR 1'!$I$332:$I$448,'GSTR 1'!$M$332:$M$448,Summaries!$A$69,'GSTR 1'!$A$332:$A$448,Summaries!$A104)</f>
        <v>0</v>
      </c>
      <c r="CF104" s="80">
        <f>SUMIFS('GSTR 1'!$J$332:$J$448,'GSTR 1'!$M$332:$M$448,Summaries!$A$69,'GSTR 1'!$A$332:$A$448,Summaries!$A104)</f>
        <v>0</v>
      </c>
      <c r="CG104" s="80">
        <f>SUMIFS('GSTR 1'!$K$332:$K$448,'GSTR 1'!$M$332:$M$448,Summaries!$A$69,'GSTR 1'!$A$332:$A$448,Summaries!$A104)</f>
        <v>0</v>
      </c>
      <c r="CH104" s="79">
        <f>SUMIFS('GSTR 1'!$E$332:$E$448,'GSTR 1'!$M$332:$M$448,Summaries!$A$70,'GSTR 1'!$A$332:$A$448,Summaries!$A104)</f>
        <v>0</v>
      </c>
      <c r="CI104" s="79">
        <f>SUMIFS('GSTR 1'!$F$332:$F$448,'GSTR 1'!$M$332:$M$448,Summaries!$A$70,'GSTR 1'!$A$332:$A$448,Summaries!$A104)</f>
        <v>0</v>
      </c>
      <c r="CJ104" s="79">
        <f>SUMIFS('GSTR 1'!$G$332:$G$448,'GSTR 1'!$M$332:$M$448,Summaries!$A$70,'GSTR 1'!$A$332:$A$448,Summaries!$A104)</f>
        <v>0</v>
      </c>
      <c r="CK104" s="79">
        <f>SUMIFS('GSTR 1'!$H$332:$H$448,'GSTR 1'!$M$332:$M$448,Summaries!$A$70,'GSTR 1'!$A$332:$A$448,Summaries!$A104)</f>
        <v>0</v>
      </c>
      <c r="CL104" s="79">
        <f>SUMIFS('GSTR 1'!$I$332:$I$448,'GSTR 1'!$M$332:$M$448,Summaries!$A$70,'GSTR 1'!$A$332:$A$448,Summaries!$A104)</f>
        <v>0</v>
      </c>
      <c r="CM104" s="79">
        <f>SUMIFS('GSTR 1'!$J$332:$J$448,'GSTR 1'!$M$332:$M$448,Summaries!$A$70,'GSTR 1'!$A$332:$A$448,Summaries!$A104)</f>
        <v>0</v>
      </c>
      <c r="CN104" s="79">
        <f>SUMIFS('GSTR 1'!$K$332:$K$448,'GSTR 1'!$M$332:$M$448,Summaries!$A$70,'GSTR 1'!$A$332:$A$448,Summaries!$A104)</f>
        <v>0</v>
      </c>
      <c r="CO104" s="80">
        <f>SUMIFS('GSTR 1'!$E$332:$E$448,'GSTR 1'!$M$332:$M$448,Summaries!$A$71,'GSTR 1'!$A$332:$A$448,Summaries!$A104)</f>
        <v>0</v>
      </c>
      <c r="CP104" s="80">
        <f>SUMIFS('GSTR 1'!$F$332:$F$448,'GSTR 1'!$M$332:$M$448,Summaries!$A$71,'GSTR 1'!$A$332:$A$448,Summaries!$A104)</f>
        <v>0</v>
      </c>
      <c r="CQ104" s="80">
        <f>SUMIFS('GSTR 1'!$G$332:$G$448,'GSTR 1'!$M$332:$M$448,Summaries!$A$71,'GSTR 1'!$A$332:$A$448,Summaries!$A104)</f>
        <v>0</v>
      </c>
      <c r="CR104" s="80">
        <f>SUMIFS('GSTR 1'!$H$332:$H$448,'GSTR 1'!$M$332:$M$448,Summaries!$A$71,'GSTR 1'!$A$332:$A$448,Summaries!$A104)</f>
        <v>0</v>
      </c>
      <c r="CS104" s="80">
        <f>SUMIFS('GSTR 1'!$I$332:$I$448,'GSTR 1'!$M$332:$M$448,Summaries!$A$71,'GSTR 1'!$A$332:$A$448,Summaries!$A104)</f>
        <v>0</v>
      </c>
      <c r="CT104" s="80">
        <f>SUMIFS('GSTR 1'!$J$332:$J$448,'GSTR 1'!$M$332:$M$448,Summaries!$A$71,'GSTR 1'!$A$332:$A$448,Summaries!$A104)</f>
        <v>0</v>
      </c>
      <c r="CU104" s="80">
        <f>SUMIFS('GSTR 1'!$K$332:$K$448,'GSTR 1'!$M$332:$M$448,Summaries!$A$71,'GSTR 1'!$A$332:$A$448,Summaries!$A104)</f>
        <v>0</v>
      </c>
      <c r="CV104" s="79">
        <f>SUMIFS('GSTR 1'!$E$332:$E$448,'GSTR 1'!$M$332:$M$448,Summaries!$A$72,'GSTR 1'!$A$332:$A$448,Summaries!$A104)</f>
        <v>0</v>
      </c>
      <c r="CW104" s="79">
        <f>SUMIFS('GSTR 1'!$F$332:$F$448,'GSTR 1'!$M$332:$M$448,Summaries!$A$72,'GSTR 1'!$A$332:$A$448,Summaries!$A104)</f>
        <v>0</v>
      </c>
      <c r="CX104" s="79">
        <f>SUMIFS('GSTR 1'!$G$332:$G$448,'GSTR 1'!$M$332:$M$448,Summaries!$A$72,'GSTR 1'!$A$332:$A$448,Summaries!$A104)</f>
        <v>0</v>
      </c>
      <c r="CY104" s="79">
        <f>SUMIFS('GSTR 1'!$H$332:$H$448,'GSTR 1'!$M$332:$M$448,Summaries!$A$72,'GSTR 1'!$A$332:$A$448,Summaries!$A104)</f>
        <v>0</v>
      </c>
      <c r="CZ104" s="79">
        <f>SUMIFS('GSTR 1'!$I$332:$I$448,'GSTR 1'!$M$332:$M$448,Summaries!$A$72,'GSTR 1'!$A$332:$A$448,Summaries!$A104)</f>
        <v>0</v>
      </c>
      <c r="DA104" s="79">
        <f>SUMIFS('GSTR 1'!$J$332:$J$448,'GSTR 1'!$M$332:$M$448,Summaries!$A$72,'GSTR 1'!$A$332:$A$448,Summaries!$A104)</f>
        <v>0</v>
      </c>
      <c r="DB104" s="79">
        <f>SUMIFS('GSTR 1'!$K$332:$K$448,'GSTR 1'!$M$332:$M$448,Summaries!$A$72,'GSTR 1'!$A$332:$A$448,Summaries!$A104)</f>
        <v>0</v>
      </c>
      <c r="DC104" s="80">
        <f>SUMIFS('GSTR 1'!$E$332:$E$448,'GSTR 1'!$M$332:$M$448,Summaries!$A$73,'GSTR 1'!$A$332:$A$448,Summaries!$A104)</f>
        <v>0</v>
      </c>
      <c r="DD104" s="80">
        <f>SUMIFS('GSTR 1'!$F$332:$F$448,'GSTR 1'!$M$332:$M$448,Summaries!$A$73,'GSTR 1'!$A$332:$A$448,Summaries!$A104)</f>
        <v>0</v>
      </c>
      <c r="DE104" s="80">
        <f>SUMIFS('GSTR 1'!$G$332:$G$448,'GSTR 1'!$M$332:$M$448,Summaries!$A$73,'GSTR 1'!$A$332:$A$448,Summaries!$A104)</f>
        <v>0</v>
      </c>
      <c r="DF104" s="80">
        <f>SUMIFS('GSTR 1'!$H$332:$H$448,'GSTR 1'!$M$332:$M$448,Summaries!$A$73,'GSTR 1'!$A$332:$A$448,Summaries!$A104)</f>
        <v>0</v>
      </c>
      <c r="DG104" s="80">
        <f>SUMIFS('GSTR 1'!$I$332:$I$448,'GSTR 1'!$M$332:$M$448,Summaries!$A$73,'GSTR 1'!$A$332:$A$448,Summaries!$A104)</f>
        <v>0</v>
      </c>
      <c r="DH104" s="80">
        <f>SUMIFS('GSTR 1'!$J$332:$J$448,'GSTR 1'!$M$332:$M$448,Summaries!$A$73,'GSTR 1'!$A$332:$A$448,Summaries!$A104)</f>
        <v>0</v>
      </c>
      <c r="DI104" s="80">
        <f>SUMIFS('GSTR 1'!$K$332:$K$448,'GSTR 1'!$M$332:$M$448,Summaries!$A$73,'GSTR 1'!$A$332:$A$448,Summaries!$A104)</f>
        <v>0</v>
      </c>
      <c r="DJ104" s="79">
        <f>SUMIFS('GSTR 1'!$E$332:$E$448,'GSTR 1'!$M$332:$M$448,Summaries!$A$74,'GSTR 1'!$A$332:$A$448,Summaries!$A104)</f>
        <v>0</v>
      </c>
      <c r="DK104" s="79">
        <f>SUMIFS('GSTR 1'!$F$332:$F$448,'GSTR 1'!$M$332:$M$448,Summaries!$A$74,'GSTR 1'!$A$332:$A$448,Summaries!$A104)</f>
        <v>0</v>
      </c>
      <c r="DL104" s="79">
        <f>SUMIFS('GSTR 1'!$G$332:$G$448,'GSTR 1'!$M$332:$M$448,Summaries!$A$74,'GSTR 1'!$A$332:$A$448,Summaries!$A104)</f>
        <v>0</v>
      </c>
      <c r="DM104" s="79">
        <f>SUMIFS('GSTR 1'!$H$332:$H$448,'GSTR 1'!$M$332:$M$448,Summaries!$A$74,'GSTR 1'!$A$332:$A$448,Summaries!$A104)</f>
        <v>0</v>
      </c>
      <c r="DN104" s="79">
        <f>SUMIFS('GSTR 1'!$I$332:$I$448,'GSTR 1'!$M$332:$M$448,Summaries!$A$74,'GSTR 1'!$A$332:$A$448,Summaries!$A104)</f>
        <v>0</v>
      </c>
      <c r="DO104" s="79">
        <f>SUMIFS('GSTR 1'!$J$332:$J$448,'GSTR 1'!$M$332:$M$448,Summaries!$A$74,'GSTR 1'!$A$332:$A$448,Summaries!$A104)</f>
        <v>0</v>
      </c>
      <c r="DP104" s="79">
        <f>SUMIFS('GSTR 1'!$K$332:$K$448,'GSTR 1'!$M$332:$M$448,Summaries!$A$74,'GSTR 1'!$A$332:$A$448,Summaries!$A104)</f>
        <v>0</v>
      </c>
      <c r="DQ104" s="80">
        <f>SUMIFS('GSTR 1'!$E$332:$E$448,'GSTR 1'!$M$332:$M$448,Summaries!$A$75,'GSTR 1'!$A$332:$A$448,Summaries!$A104)</f>
        <v>0</v>
      </c>
      <c r="DR104" s="80">
        <f>SUMIFS('GSTR 1'!$F$332:$F$448,'GSTR 1'!$M$332:$M$448,Summaries!$A$75,'GSTR 1'!$A$332:$A$448,Summaries!$A104)</f>
        <v>0</v>
      </c>
      <c r="DS104" s="80">
        <f>SUMIFS('GSTR 1'!$G$332:$G$448,'GSTR 1'!$M$332:$M$448,Summaries!$A$75,'GSTR 1'!$A$332:$A$448,Summaries!$A104)</f>
        <v>0</v>
      </c>
      <c r="DT104" s="80">
        <f>SUMIFS('GSTR 1'!$H$332:$H$448,'GSTR 1'!$M$332:$M$448,Summaries!$A$75,'GSTR 1'!$A$332:$A$448,Summaries!$A104)</f>
        <v>0</v>
      </c>
      <c r="DU104" s="80">
        <f>SUMIFS('GSTR 1'!$I$332:$I$448,'GSTR 1'!$M$332:$M$448,Summaries!$A$75,'GSTR 1'!$A$332:$A$448,Summaries!$A104)</f>
        <v>0</v>
      </c>
      <c r="DV104" s="80">
        <f>SUMIFS('GSTR 1'!$J$332:$J$448,'GSTR 1'!$M$332:$M$448,Summaries!$A$75,'GSTR 1'!$A$332:$A$448,Summaries!$A104)</f>
        <v>0</v>
      </c>
      <c r="DW104" s="80">
        <f>SUMIFS('GSTR 1'!$K$332:$K$448,'GSTR 1'!$M$332:$M$448,Summaries!$A$75,'GSTR 1'!$A$332:$A$448,Summaries!$A104)</f>
        <v>0</v>
      </c>
      <c r="DX104" s="79">
        <f>SUMIFS('GSTR 1'!$E$332:$E$448,'GSTR 1'!$M$332:$M$448,Summaries!$A$76,'GSTR 1'!$A$332:$A$448,Summaries!$A104)</f>
        <v>0</v>
      </c>
      <c r="DY104" s="79">
        <f>SUMIFS('GSTR 1'!$F$332:$F$448,'GSTR 1'!$M$332:$M$448,Summaries!$A$76,'GSTR 1'!$A$332:$A$448,Summaries!$A104)</f>
        <v>0</v>
      </c>
      <c r="DZ104" s="79">
        <f>SUMIFS('GSTR 1'!$G$332:$G$448,'GSTR 1'!$M$332:$M$448,Summaries!$A$76,'GSTR 1'!$A$332:$A$448,Summaries!$A104)</f>
        <v>0</v>
      </c>
      <c r="EA104" s="79">
        <f>SUMIFS('GSTR 1'!$H$332:$H$448,'GSTR 1'!$M$332:$M$448,Summaries!$A$76,'GSTR 1'!$A$332:$A$448,Summaries!$A104)</f>
        <v>0</v>
      </c>
      <c r="EB104" s="79">
        <f>SUMIFS('GSTR 1'!$I$332:$I$448,'GSTR 1'!$M$332:$M$448,Summaries!$A$76,'GSTR 1'!$A$332:$A$448,Summaries!$A104)</f>
        <v>0</v>
      </c>
      <c r="EC104" s="79">
        <f>SUMIFS('GSTR 1'!$J$332:$J$448,'GSTR 1'!$M$332:$M$448,Summaries!$A$76,'GSTR 1'!$A$332:$A$448,Summaries!$A104)</f>
        <v>0</v>
      </c>
      <c r="ED104" s="79">
        <f>SUMIFS('GSTR 1'!$K$332:$K$448,'GSTR 1'!$M$332:$M$448,Summaries!$A$76,'GSTR 1'!$A$332:$A$448,Summaries!$A104)</f>
        <v>0</v>
      </c>
      <c r="EE104" s="80">
        <f>SUMIFS('GSTR 1'!$E$332:$E$448,'GSTR 1'!$M$332:$M$448,Summaries!$A$77,'GSTR 1'!$A$332:$A$448,Summaries!$A104)</f>
        <v>0</v>
      </c>
      <c r="EF104" s="80">
        <f>SUMIFS('GSTR 1'!$F$332:$F$448,'GSTR 1'!$M$332:$M$448,Summaries!$A$77,'GSTR 1'!$A$332:$A$448,Summaries!$A104)</f>
        <v>0</v>
      </c>
      <c r="EG104" s="80">
        <f>SUMIFS('GSTR 1'!$G$332:$G$448,'GSTR 1'!$M$332:$M$448,Summaries!$A$77,'GSTR 1'!$A$332:$A$448,Summaries!$A104)</f>
        <v>0</v>
      </c>
      <c r="EH104" s="80">
        <f>SUMIFS('GSTR 1'!$H$332:$H$448,'GSTR 1'!$M$332:$M$448,Summaries!$A$77,'GSTR 1'!$A$332:$A$448,Summaries!$A104)</f>
        <v>0</v>
      </c>
      <c r="EI104" s="80">
        <f>SUMIFS('GSTR 1'!$I$332:$I$448,'GSTR 1'!$M$332:$M$448,Summaries!$A$77,'GSTR 1'!$A$332:$A$448,Summaries!$A104)</f>
        <v>0</v>
      </c>
      <c r="EJ104" s="80">
        <f>SUMIFS('GSTR 1'!$J$332:$J$448,'GSTR 1'!$M$332:$M$448,Summaries!$A$77,'GSTR 1'!$A$332:$A$448,Summaries!$A104)</f>
        <v>0</v>
      </c>
      <c r="EK104" s="80">
        <f>SUMIFS('GSTR 1'!$K$332:$K$448,'GSTR 1'!$M$332:$M$448,Summaries!$A$77,'GSTR 1'!$A$332:$A$448,Summaries!$A104)</f>
        <v>0</v>
      </c>
      <c r="EL104" s="79">
        <f>SUMIFS('GSTR 1'!$E$332:$E$448,'GSTR 1'!$M$332:$M$448,Summaries!$A$78,'GSTR 1'!$A$332:$A$448,Summaries!$A104)</f>
        <v>0</v>
      </c>
      <c r="EM104" s="79">
        <f>SUMIFS('GSTR 1'!$F$332:$F$448,'GSTR 1'!$M$332:$M$448,Summaries!$A$78,'GSTR 1'!$A$332:$A$448,Summaries!$A104)</f>
        <v>0</v>
      </c>
      <c r="EN104" s="79">
        <f>SUMIFS('GSTR 1'!$G$332:$G$448,'GSTR 1'!$M$332:$M$448,Summaries!$A$78,'GSTR 1'!$A$332:$A$448,Summaries!$A104)</f>
        <v>0</v>
      </c>
      <c r="EO104" s="79">
        <f>SUMIFS('GSTR 1'!$H$332:$H$448,'GSTR 1'!$M$332:$M$448,Summaries!$A$78,'GSTR 1'!$A$332:$A$448,Summaries!$A104)</f>
        <v>0</v>
      </c>
      <c r="EP104" s="79">
        <f>SUMIFS('GSTR 1'!$I$332:$I$448,'GSTR 1'!$M$332:$M$448,Summaries!$A$78,'GSTR 1'!$A$332:$A$448,Summaries!$A104)</f>
        <v>0</v>
      </c>
      <c r="EQ104" s="79">
        <f>SUMIFS('GSTR 1'!$J$332:$J$448,'GSTR 1'!$M$332:$M$448,Summaries!$A$78,'GSTR 1'!$A$332:$A$448,Summaries!$A104)</f>
        <v>0</v>
      </c>
      <c r="ER104" s="79">
        <f>SUMIFS('GSTR 1'!$K$332:$K$448,'GSTR 1'!$M$332:$M$448,Summaries!$A$78,'GSTR 1'!$A$332:$A$448,Summaries!$A104)</f>
        <v>0</v>
      </c>
      <c r="ES104" s="80">
        <f>SUMIFS('GSTR 1'!$E$332:$E$448,'GSTR 1'!$M$332:$M$448,Summaries!$A$79,'GSTR 1'!$A$332:$A$448,Summaries!$A104)</f>
        <v>0</v>
      </c>
      <c r="ET104" s="80">
        <f>SUMIFS('GSTR 1'!$F$332:$F$448,'GSTR 1'!$M$332:$M$448,Summaries!$A$79,'GSTR 1'!$A$332:$A$448,Summaries!$A104)</f>
        <v>0</v>
      </c>
      <c r="EU104" s="80">
        <f>SUMIFS('GSTR 1'!$G$332:$G$448,'GSTR 1'!$M$332:$M$448,Summaries!$A$79,'GSTR 1'!$A$332:$A$448,Summaries!$A104)</f>
        <v>0</v>
      </c>
      <c r="EV104" s="80">
        <f>SUMIFS('GSTR 1'!$H$332:$H$448,'GSTR 1'!$M$332:$M$448,Summaries!$A$79,'GSTR 1'!$A$332:$A$448,Summaries!$A104)</f>
        <v>0</v>
      </c>
      <c r="EW104" s="80">
        <f>SUMIFS('GSTR 1'!$I$332:$I$448,'GSTR 1'!$M$332:$M$448,Summaries!$A$79,'GSTR 1'!$A$332:$A$448,Summaries!$A104)</f>
        <v>0</v>
      </c>
      <c r="EX104" s="80">
        <f>SUMIFS('GSTR 1'!$J$332:$J$448,'GSTR 1'!$M$332:$M$448,Summaries!$A$79,'GSTR 1'!$A$332:$A$448,Summaries!$A104)</f>
        <v>0</v>
      </c>
      <c r="EY104" s="80">
        <f>SUMIFS('GSTR 1'!$K$332:$K$448,'GSTR 1'!$M$332:$M$448,Summaries!$A$79,'GSTR 1'!$A$332:$A$448,Summaries!$A104)</f>
        <v>0</v>
      </c>
      <c r="EZ104" s="79">
        <f>SUMIFS('GSTR 1'!$E$332:$E$448,'GSTR 1'!$M$332:$M$448,Summaries!$A$80,'GSTR 1'!$A$332:$A$448,Summaries!$A104)</f>
        <v>0</v>
      </c>
      <c r="FA104" s="79">
        <f>SUMIFS('GSTR 1'!$F$332:$F$448,'GSTR 1'!$M$332:$M$448,Summaries!$A$80,'GSTR 1'!$A$332:$A$448,Summaries!$A104)</f>
        <v>0</v>
      </c>
      <c r="FB104" s="79">
        <f>SUMIFS('GSTR 1'!$G$332:$G$448,'GSTR 1'!$M$332:$M$448,Summaries!$A$80,'GSTR 1'!$A$332:$A$448,Summaries!$A104)</f>
        <v>0</v>
      </c>
      <c r="FC104" s="79">
        <f>SUMIFS('GSTR 1'!$H$332:$H$448,'GSTR 1'!$M$332:$M$448,Summaries!$A$80,'GSTR 1'!$A$332:$A$448,Summaries!$A104)</f>
        <v>0</v>
      </c>
      <c r="FD104" s="79">
        <f>SUMIFS('GSTR 1'!$I$332:$I$448,'GSTR 1'!$M$332:$M$448,Summaries!$A$80,'GSTR 1'!$A$332:$A$448,Summaries!$A104)</f>
        <v>0</v>
      </c>
      <c r="FE104" s="79">
        <f>SUMIFS('GSTR 1'!$J$332:$J$448,'GSTR 1'!$M$332:$M$448,Summaries!$A$80,'GSTR 1'!$A$332:$A$448,Summaries!$A104)</f>
        <v>0</v>
      </c>
      <c r="FF104" s="79">
        <f>SUMIFS('GSTR 1'!$K$332:$K$448,'GSTR 1'!$M$332:$M$448,Summaries!$A$80,'GSTR 1'!$A$332:$A$448,Summaries!$A104)</f>
        <v>0</v>
      </c>
      <c r="FG104" s="80">
        <f>SUMIFS('GSTR 1'!$E$332:$E$448,'GSTR 1'!$M$332:$M$448,Summaries!$A$81,'GSTR 1'!$A$332:$A$448,Summaries!$A104)</f>
        <v>0</v>
      </c>
      <c r="FH104" s="80">
        <f>SUMIFS('GSTR 1'!$F$332:$F$448,'GSTR 1'!$M$332:$M$448,Summaries!$A$81,'GSTR 1'!$A$332:$A$448,Summaries!$A104)</f>
        <v>0</v>
      </c>
      <c r="FI104" s="80">
        <f>SUMIFS('GSTR 1'!$G$332:$G$448,'GSTR 1'!$M$332:$M$448,Summaries!$A$81,'GSTR 1'!$A$332:$A$448,Summaries!$A104)</f>
        <v>0</v>
      </c>
      <c r="FJ104" s="80">
        <f>SUMIFS('GSTR 1'!$H$332:$H$448,'GSTR 1'!$M$332:$M$448,Summaries!$A$81,'GSTR 1'!$A$332:$A$448,Summaries!$A104)</f>
        <v>0</v>
      </c>
      <c r="FK104" s="80">
        <f>SUMIFS('GSTR 1'!$I$332:$I$448,'GSTR 1'!$M$332:$M$448,Summaries!$A$81,'GSTR 1'!$A$332:$A$448,Summaries!$A104)</f>
        <v>0</v>
      </c>
      <c r="FL104" s="80">
        <f>SUMIFS('GSTR 1'!$J$332:$J$448,'GSTR 1'!$M$332:$M$448,Summaries!$A$81,'GSTR 1'!$A$332:$A$448,Summaries!$A104)</f>
        <v>0</v>
      </c>
      <c r="FM104" s="80">
        <f>SUMIFS('GSTR 1'!$K$332:$K$448,'GSTR 1'!$M$332:$M$448,Summaries!$A$81,'GSTR 1'!$A$332:$A$448,Summaries!$A104)</f>
        <v>0</v>
      </c>
      <c r="FN104" s="79">
        <f>SUMIFS('GSTR 1'!$E$332:$E$448,'GSTR 1'!$M$332:$M$448,Summaries!$A$82,'GSTR 1'!$A$332:$A$448,Summaries!$A104)</f>
        <v>0</v>
      </c>
      <c r="FO104" s="79">
        <f>SUMIFS('GSTR 1'!$F$332:$F$448,'GSTR 1'!$M$332:$M$448,Summaries!$A$82,'GSTR 1'!$A$332:$A$448,Summaries!$A104)</f>
        <v>0</v>
      </c>
      <c r="FP104" s="79">
        <f>SUMIFS('GSTR 1'!$G$332:$G$448,'GSTR 1'!$M$332:$M$448,Summaries!$A$82,'GSTR 1'!$A$332:$A$448,Summaries!$A104)</f>
        <v>0</v>
      </c>
      <c r="FQ104" s="79">
        <f>SUMIFS('GSTR 1'!$H$332:$H$448,'GSTR 1'!$M$332:$M$448,Summaries!$A$82,'GSTR 1'!$A$332:$A$448,Summaries!$A104)</f>
        <v>0</v>
      </c>
      <c r="FR104" s="79">
        <f>SUMIFS('GSTR 1'!$I$332:$I$448,'GSTR 1'!$M$332:$M$448,Summaries!$A$82,'GSTR 1'!$A$332:$A$448,Summaries!$A104)</f>
        <v>0</v>
      </c>
      <c r="FS104" s="79">
        <f>SUMIFS('GSTR 1'!$J$332:$J$448,'GSTR 1'!$M$332:$M$448,Summaries!$A$82,'GSTR 1'!$A$332:$A$448,Summaries!$A104)</f>
        <v>0</v>
      </c>
      <c r="FT104" s="79">
        <f>SUMIFS('GSTR 1'!$K$332:$K$448,'GSTR 1'!$M$332:$M$448,Summaries!$A$82,'GSTR 1'!$A$332:$A$448,Summaries!$A104)</f>
        <v>0</v>
      </c>
      <c r="FU104" s="80">
        <f>SUMIFS('GSTR 1'!$E$332:$E$448,'GSTR 1'!$M$332:$M$448,Summaries!$A$83,'GSTR 1'!$A$332:$A$448,Summaries!$A104)</f>
        <v>0</v>
      </c>
      <c r="FV104" s="80">
        <f>SUMIFS('GSTR 1'!$F$332:$F$448,'GSTR 1'!$M$332:$M$448,Summaries!$A$83,'GSTR 1'!$A$332:$A$448,Summaries!$A104)</f>
        <v>0</v>
      </c>
      <c r="FW104" s="80">
        <f>SUMIFS('GSTR 1'!$G$332:$G$448,'GSTR 1'!$M$332:$M$448,Summaries!$A$83,'GSTR 1'!$A$332:$A$448,Summaries!$A104)</f>
        <v>0</v>
      </c>
      <c r="FX104" s="80">
        <f>SUMIFS('GSTR 1'!$H$332:$H$448,'GSTR 1'!$M$332:$M$448,Summaries!$A$83,'GSTR 1'!$A$332:$A$448,Summaries!$A104)</f>
        <v>0</v>
      </c>
      <c r="FY104" s="80">
        <f>SUMIFS('GSTR 1'!$I$332:$I$448,'GSTR 1'!$M$332:$M$448,Summaries!$A$83,'GSTR 1'!$A$332:$A$448,Summaries!$A104)</f>
        <v>0</v>
      </c>
      <c r="FZ104" s="80">
        <f>SUMIFS('GSTR 1'!$J$332:$J$448,'GSTR 1'!$M$332:$M$448,Summaries!$A$83,'GSTR 1'!$A$332:$A$448,Summaries!$A104)</f>
        <v>0</v>
      </c>
      <c r="GA104" s="80">
        <f>SUMIFS('GSTR 1'!$K$332:$K$448,'GSTR 1'!$M$332:$M$448,Summaries!$A$83,'GSTR 1'!$A$332:$A$448,Summaries!$A104)</f>
        <v>0</v>
      </c>
      <c r="GB104" s="79">
        <f>SUMIFS('GSTR 1'!$E$332:$E$448,'GSTR 1'!$M$332:$M$448,Summaries!$A$84,'GSTR 1'!$A$332:$A$448,Summaries!$A104)</f>
        <v>0</v>
      </c>
      <c r="GC104" s="79">
        <f>SUMIFS('GSTR 1'!$F$332:$F$448,'GSTR 1'!$M$332:$M$448,Summaries!$A$84,'GSTR 1'!$A$332:$A$448,Summaries!$A104)</f>
        <v>0</v>
      </c>
      <c r="GD104" s="79">
        <f>SUMIFS('GSTR 1'!$G$332:$G$448,'GSTR 1'!$M$332:$M$448,Summaries!$A$84,'GSTR 1'!$A$332:$A$448,Summaries!$A104)</f>
        <v>0</v>
      </c>
      <c r="GE104" s="79">
        <f>SUMIFS('GSTR 1'!$H$332:$H$448,'GSTR 1'!$M$332:$M$448,Summaries!$A$84,'GSTR 1'!$A$332:$A$448,Summaries!$A104)</f>
        <v>0</v>
      </c>
      <c r="GF104" s="79">
        <f>SUMIFS('GSTR 1'!$I$332:$I$448,'GSTR 1'!$M$332:$M$448,Summaries!$A$84,'GSTR 1'!$A$332:$A$448,Summaries!$A104)</f>
        <v>0</v>
      </c>
      <c r="GG104" s="79">
        <f>SUMIFS('GSTR 1'!$J$332:$J$448,'GSTR 1'!$M$332:$M$448,Summaries!$A$84,'GSTR 1'!$A$332:$A$448,Summaries!$A104)</f>
        <v>0</v>
      </c>
      <c r="GH104" s="79">
        <f>SUMIFS('GSTR 1'!$K$332:$K$448,'GSTR 1'!$M$332:$M$448,Summaries!$A$84,'GSTR 1'!$A$332:$A$448,Summaries!$A104)</f>
        <v>0</v>
      </c>
      <c r="GI104" s="80">
        <f>SUMIFS('GSTR 1'!$E$332:$E$448,'GSTR 1'!$M$332:$M$448,Summaries!$A$85,'GSTR 1'!$A$332:$A$448,Summaries!$A104)</f>
        <v>0</v>
      </c>
      <c r="GJ104" s="80">
        <f>SUMIFS('GSTR 1'!$F$332:$F$448,'GSTR 1'!$M$332:$M$448,Summaries!$A$85,'GSTR 1'!$A$332:$A$448,Summaries!$A104)</f>
        <v>0</v>
      </c>
      <c r="GK104" s="80">
        <f>SUMIFS('GSTR 1'!$G$332:$G$448,'GSTR 1'!$M$332:$M$448,Summaries!$A$85,'GSTR 1'!$A$332:$A$448,Summaries!$A104)</f>
        <v>0</v>
      </c>
      <c r="GL104" s="80">
        <f>SUMIFS('GSTR 1'!$H$332:$H$448,'GSTR 1'!$M$332:$M$448,Summaries!$A$85,'GSTR 1'!$A$332:$A$448,Summaries!$A104)</f>
        <v>0</v>
      </c>
      <c r="GM104" s="80">
        <f>SUMIFS('GSTR 1'!$I$332:$I$448,'GSTR 1'!$M$332:$M$448,Summaries!$A$85,'GSTR 1'!$A$332:$A$448,Summaries!$A104)</f>
        <v>0</v>
      </c>
      <c r="GN104" s="80">
        <f>SUMIFS('GSTR 1'!$J$332:$J$448,'GSTR 1'!$M$332:$M$448,Summaries!$A$85,'GSTR 1'!$A$332:$A$448,Summaries!$A104)</f>
        <v>0</v>
      </c>
      <c r="GO104" s="80">
        <f>SUMIFS('GSTR 1'!$K$332:$K$448,'GSTR 1'!$M$332:$M$448,Summaries!$A$85,'GSTR 1'!$A$332:$A$448,Summaries!$A104)</f>
        <v>0</v>
      </c>
      <c r="GP104" s="79">
        <f>SUMIFS('GSTR 1'!$E$332:$E$448,'GSTR 1'!$M$332:$M$448,Summaries!$A$86,'GSTR 1'!$A$332:$A$448,Summaries!$A104)</f>
        <v>0</v>
      </c>
      <c r="GQ104" s="79">
        <f>SUMIFS('GSTR 1'!$F$332:$F$448,'GSTR 1'!$M$332:$M$448,Summaries!$A$86,'GSTR 1'!$A$332:$A$448,Summaries!$A104)</f>
        <v>0</v>
      </c>
      <c r="GR104" s="79">
        <f>SUMIFS('GSTR 1'!$G$332:$G$448,'GSTR 1'!$M$332:$M$448,Summaries!$A$86,'GSTR 1'!$A$332:$A$448,Summaries!$A104)</f>
        <v>0</v>
      </c>
      <c r="GS104" s="79">
        <f>SUMIFS('GSTR 1'!$H$332:$H$448,'GSTR 1'!$M$332:$M$448,Summaries!$A$86,'GSTR 1'!$A$332:$A$448,Summaries!$A104)</f>
        <v>0</v>
      </c>
      <c r="GT104" s="79">
        <f>SUMIFS('GSTR 1'!$I$332:$I$448,'GSTR 1'!$M$332:$M$448,Summaries!$A$86,'GSTR 1'!$A$332:$A$448,Summaries!$A104)</f>
        <v>0</v>
      </c>
      <c r="GU104" s="79">
        <f>SUMIFS('GSTR 1'!$J$332:$J$448,'GSTR 1'!$M$332:$M$448,Summaries!$A$86,'GSTR 1'!$A$332:$A$448,Summaries!$A104)</f>
        <v>0</v>
      </c>
      <c r="GV104" s="79">
        <f>SUMIFS('GSTR 1'!$K$332:$K$448,'GSTR 1'!$M$332:$M$448,Summaries!$A$86,'GSTR 1'!$A$332:$A$448,Summaries!$A104)</f>
        <v>0</v>
      </c>
      <c r="GW104" s="80">
        <f>SUMIFS('GSTR 1'!$E$332:$E$448,'GSTR 1'!$M$332:$M$448,Summaries!$A$87,'GSTR 1'!$A$332:$A$448,Summaries!$A104)</f>
        <v>0</v>
      </c>
      <c r="GX104" s="80">
        <f>SUMIFS('GSTR 1'!$F$332:$F$448,'GSTR 1'!$M$332:$M$448,Summaries!$A$87,'GSTR 1'!$A$332:$A$448,Summaries!$A104)</f>
        <v>0</v>
      </c>
      <c r="GY104" s="80">
        <f>SUMIFS('GSTR 1'!$G$332:$G$448,'GSTR 1'!$M$332:$M$448,Summaries!$A$87,'GSTR 1'!$A$332:$A$448,Summaries!$A104)</f>
        <v>0</v>
      </c>
      <c r="GZ104" s="80">
        <f>SUMIFS('GSTR 1'!$H$332:$H$448,'GSTR 1'!$M$332:$M$448,Summaries!$A$87,'GSTR 1'!$A$332:$A$448,Summaries!$A104)</f>
        <v>0</v>
      </c>
      <c r="HA104" s="80">
        <f>SUMIFS('GSTR 1'!$I$332:$I$448,'GSTR 1'!$M$332:$M$448,Summaries!$A$87,'GSTR 1'!$A$332:$A$448,Summaries!$A104)</f>
        <v>0</v>
      </c>
      <c r="HB104" s="80">
        <f>SUMIFS('GSTR 1'!$J$332:$J$448,'GSTR 1'!$M$332:$M$448,Summaries!$A$87,'GSTR 1'!$A$332:$A$448,Summaries!$A104)</f>
        <v>0</v>
      </c>
      <c r="HC104" s="80">
        <f>SUMIFS('GSTR 1'!$K$332:$K$448,'GSTR 1'!$M$332:$M$448,Summaries!$A$87,'GSTR 1'!$A$332:$A$448,Summaries!$A104)</f>
        <v>0</v>
      </c>
    </row>
    <row r="105" spans="1:211" x14ac:dyDescent="0.3">
      <c r="A105" s="78">
        <f>DATE(INT(LEFT($B$3,4)),11,1)</f>
        <v>45962</v>
      </c>
      <c r="B105" s="79">
        <f>SUMIFS('GSTR 1'!$E$332:$E$448,'GSTR 1'!$M$332:$M$448,Summaries!$A$58,'GSTR 1'!$A$332:$A$448,Summaries!A105)</f>
        <v>0</v>
      </c>
      <c r="C105" s="79">
        <f>SUMIFS('GSTR 1'!$F$332:$F$448,'GSTR 1'!$M$332:$M$448,Summaries!$A$58,'GSTR 1'!$A$332:$A$448,Summaries!A105)</f>
        <v>0</v>
      </c>
      <c r="D105" s="79">
        <f>SUMIFS('GSTR 1'!$G$332:$G$448,'GSTR 1'!$M$332:$M$448,Summaries!$A$58,'GSTR 1'!$A$332:$A$448,Summaries!A105)</f>
        <v>0</v>
      </c>
      <c r="E105" s="79">
        <f>SUMIFS('GSTR 1'!$H$332:$H$448,'GSTR 1'!$M$332:$M$448,Summaries!$A$58,'GSTR 1'!$A$332:$A$448,Summaries!A105)</f>
        <v>0</v>
      </c>
      <c r="F105" s="79">
        <f>SUMIFS('GSTR 1'!$I$332:$I$448,'GSTR 1'!$M$332:$M$448,Summaries!$A$58,'GSTR 1'!$A$332:$A$448,Summaries!A105)</f>
        <v>0</v>
      </c>
      <c r="G105" s="79">
        <f>SUMIFS('GSTR 1'!$J$332:$J$448,'GSTR 1'!$M$332:$M$448,Summaries!$A$58,'GSTR 1'!$A$332:$A$448,Summaries!A105)</f>
        <v>0</v>
      </c>
      <c r="H105" s="79">
        <f>SUMIFS('GSTR 1'!$K$332:$K$448,'GSTR 1'!$M$332:$M$448,Summaries!$A$58,'GSTR 1'!$A$332:$A$448,Summaries!A105)</f>
        <v>0</v>
      </c>
      <c r="I105" s="80">
        <f>SUMIFS('GSTR 1'!$E$332:$E$448,'GSTR 1'!$M$332:$M$448,Summaries!$A$59,'GSTR 1'!$A$332:$A$448,Summaries!$A105)</f>
        <v>0</v>
      </c>
      <c r="J105" s="80">
        <f>SUMIFS('GSTR 1'!$F$332:$F$448,'GSTR 1'!$M$332:$M$448,Summaries!$A$59,'GSTR 1'!$A$332:$A$448,Summaries!$A105)</f>
        <v>0</v>
      </c>
      <c r="K105" s="80">
        <f>SUMIFS('GSTR 1'!$G$332:$G$448,'GSTR 1'!$M$332:$M$448,Summaries!$A$59,'GSTR 1'!$A$332:$A$448,Summaries!$A105)</f>
        <v>0</v>
      </c>
      <c r="L105" s="80">
        <f>SUMIFS('GSTR 1'!$H$332:$H$448,'GSTR 1'!$M$332:$M$448,Summaries!$A$59,'GSTR 1'!$A$332:$A$448,Summaries!$A105)</f>
        <v>0</v>
      </c>
      <c r="M105" s="80">
        <f>SUMIFS('GSTR 1'!$I$332:$I$448,'GSTR 1'!$M$332:$M$448,Summaries!$A$59,'GSTR 1'!$A$332:$A$448,Summaries!$A105)</f>
        <v>0</v>
      </c>
      <c r="N105" s="80">
        <f>SUMIFS('GSTR 1'!$J$332:$J$448,'GSTR 1'!$M$332:$M$448,Summaries!$A$59,'GSTR 1'!$A$332:$A$448,Summaries!$A105)</f>
        <v>0</v>
      </c>
      <c r="O105" s="80">
        <f>SUMIFS('GSTR 1'!$K$332:$K$448,'GSTR 1'!$M$332:$M$448,Summaries!$A$59,'GSTR 1'!$A$332:$A$448,Summaries!$A105)</f>
        <v>0</v>
      </c>
      <c r="P105" s="79">
        <f>SUMIFS('GSTR 1'!$E$332:$E$448,'GSTR 1'!$M$332:$M$448,Summaries!$A$60,'GSTR 1'!$A$332:$A$448,Summaries!$A105)</f>
        <v>0</v>
      </c>
      <c r="Q105" s="79">
        <f>SUMIFS('GSTR 1'!$F$332:$F$448,'GSTR 1'!$M$332:$M$448,Summaries!$A$60,'GSTR 1'!$A$332:$A$448,Summaries!$A105)</f>
        <v>0</v>
      </c>
      <c r="R105" s="79">
        <f>SUMIFS('GSTR 1'!$G$332:$G$448,'GSTR 1'!$M$332:$M$448,Summaries!$A$60,'GSTR 1'!$A$332:$A$448,Summaries!$A105)</f>
        <v>0</v>
      </c>
      <c r="S105" s="79">
        <f>SUMIFS('GSTR 1'!$H$332:$H$448,'GSTR 1'!$M$332:$M$448,Summaries!$A$60,'GSTR 1'!$A$332:$A$448,Summaries!$A105)</f>
        <v>0</v>
      </c>
      <c r="T105" s="79">
        <f>SUMIFS('GSTR 1'!$I$332:$I$448,'GSTR 1'!$M$332:$M$448,Summaries!$A$60,'GSTR 1'!$A$332:$A$448,Summaries!$A105)</f>
        <v>0</v>
      </c>
      <c r="U105" s="79">
        <f>SUMIFS('GSTR 1'!$J$332:$J$448,'GSTR 1'!$M$332:$M$448,Summaries!$A$60,'GSTR 1'!$A$332:$A$448,Summaries!$A105)</f>
        <v>0</v>
      </c>
      <c r="V105" s="79">
        <f>SUMIFS('GSTR 1'!$K$332:$K$448,'GSTR 1'!$M$332:$M$448,Summaries!$A$60,'GSTR 1'!$A$332:$A$448,Summaries!$A105)</f>
        <v>0</v>
      </c>
      <c r="W105" s="80">
        <f>SUMIFS('GSTR 1'!$E$332:$E$448,'GSTR 1'!$M$332:$M$448,Summaries!$A$61,'GSTR 1'!$A$332:$A$448,Summaries!$A105)</f>
        <v>0</v>
      </c>
      <c r="X105" s="80">
        <f>SUMIFS('GSTR 1'!$F$332:$F$448,'GSTR 1'!$M$332:$M$448,Summaries!$A$61,'GSTR 1'!$A$332:$A$448,Summaries!$A105)</f>
        <v>0</v>
      </c>
      <c r="Y105" s="80">
        <f>SUMIFS('GSTR 1'!$G$332:$G$448,'GSTR 1'!$M$332:$M$448,Summaries!$A$61,'GSTR 1'!$A$332:$A$448,Summaries!$A105)</f>
        <v>0</v>
      </c>
      <c r="Z105" s="80">
        <f>SUMIFS('GSTR 1'!$H$332:$H$448,'GSTR 1'!$M$332:$M$448,Summaries!$A$61,'GSTR 1'!$A$332:$A$448,Summaries!$A105)</f>
        <v>0</v>
      </c>
      <c r="AA105" s="80">
        <f>SUMIFS('GSTR 1'!$I$332:$I$448,'GSTR 1'!$M$332:$M$448,Summaries!$A$61,'GSTR 1'!$A$332:$A$448,Summaries!$A105)</f>
        <v>0</v>
      </c>
      <c r="AB105" s="80">
        <f>SUMIFS('GSTR 1'!$J$332:$J$448,'GSTR 1'!$M$332:$M$448,Summaries!$A$61,'GSTR 1'!$A$332:$A$448,Summaries!$A105)</f>
        <v>0</v>
      </c>
      <c r="AC105" s="80">
        <f>SUMIFS('GSTR 1'!$K$332:$K$448,'GSTR 1'!$M$332:$M$448,Summaries!$A$61,'GSTR 1'!$A$332:$A$448,Summaries!$A105)</f>
        <v>0</v>
      </c>
      <c r="AD105" s="79">
        <f>SUMIFS('GSTR 1'!$E$332:$E$448,'GSTR 1'!$M$332:$M$448,Summaries!$A$62,'GSTR 1'!$A$332:$A$448,Summaries!$A105)</f>
        <v>0</v>
      </c>
      <c r="AE105" s="79">
        <f>SUMIFS('GSTR 1'!$F$332:$F$448,'GSTR 1'!$M$332:$M$448,Summaries!$A$62,'GSTR 1'!$A$332:$A$448,Summaries!$A105)</f>
        <v>0</v>
      </c>
      <c r="AF105" s="79">
        <f>SUMIFS('GSTR 1'!$G$332:$G$448,'GSTR 1'!$M$332:$M$448,Summaries!$A$62,'GSTR 1'!$A$332:$A$448,Summaries!$A105)</f>
        <v>0</v>
      </c>
      <c r="AG105" s="79">
        <f>SUMIFS('GSTR 1'!$H$332:$H$448,'GSTR 1'!$M$332:$M$448,Summaries!$A$62,'GSTR 1'!$A$332:$A$448,Summaries!$A105)</f>
        <v>0</v>
      </c>
      <c r="AH105" s="79">
        <f>SUMIFS('GSTR 1'!$I$332:$I$448,'GSTR 1'!$M$332:$M$448,Summaries!$A$62,'GSTR 1'!$A$332:$A$448,Summaries!$A105)</f>
        <v>0</v>
      </c>
      <c r="AI105" s="79">
        <f>SUMIFS('GSTR 1'!$J$332:$J$448,'GSTR 1'!$M$332:$M$448,Summaries!$A$62,'GSTR 1'!$A$332:$A$448,Summaries!$A105)</f>
        <v>0</v>
      </c>
      <c r="AJ105" s="79">
        <f>SUMIFS('GSTR 1'!$K$332:$K$448,'GSTR 1'!$M$332:$M$448,Summaries!$A$62,'GSTR 1'!$A$332:$A$448,Summaries!$A105)</f>
        <v>0</v>
      </c>
      <c r="AK105" s="80">
        <f>SUMIFS('GSTR 1'!$E$332:$E$448,'GSTR 1'!$M$332:$M$448,Summaries!$A$63,'GSTR 1'!$A$332:$A$448,Summaries!$A105)</f>
        <v>0</v>
      </c>
      <c r="AL105" s="80">
        <f>SUMIFS('GSTR 1'!$F$332:$F$448,'GSTR 1'!$M$332:$M$448,Summaries!$A$63,'GSTR 1'!$A$332:$A$448,Summaries!$A105)</f>
        <v>0</v>
      </c>
      <c r="AM105" s="80">
        <f>SUMIFS('GSTR 1'!$G$332:$G$448,'GSTR 1'!$M$332:$M$448,Summaries!$A$63,'GSTR 1'!$A$332:$A$448,Summaries!$A105)</f>
        <v>0</v>
      </c>
      <c r="AN105" s="80">
        <f>SUMIFS('GSTR 1'!$H$332:$H$448,'GSTR 1'!$M$332:$M$448,Summaries!$A$63,'GSTR 1'!$A$332:$A$448,Summaries!$A105)</f>
        <v>0</v>
      </c>
      <c r="AO105" s="80">
        <f>SUMIFS('GSTR 1'!$I$332:$I$448,'GSTR 1'!$M$332:$M$448,Summaries!$A$63,'GSTR 1'!$A$332:$A$448,Summaries!$A105)</f>
        <v>0</v>
      </c>
      <c r="AP105" s="80">
        <f>SUMIFS('GSTR 1'!$J$332:$J$448,'GSTR 1'!$M$332:$M$448,Summaries!$A$63,'GSTR 1'!$A$332:$A$448,Summaries!$A105)</f>
        <v>0</v>
      </c>
      <c r="AQ105" s="80">
        <f>SUMIFS('GSTR 1'!$K$332:$K$448,'GSTR 1'!$M$332:$M$448,Summaries!$A$63,'GSTR 1'!$A$332:$A$448,Summaries!$A105)</f>
        <v>0</v>
      </c>
      <c r="AR105" s="79">
        <f>SUMIFS('GSTR 1'!$E$332:$E$448,'GSTR 1'!$M$332:$M$448,Summaries!$A$64,'GSTR 1'!$A$332:$A$448,Summaries!$A105)</f>
        <v>0</v>
      </c>
      <c r="AS105" s="79">
        <f>SUMIFS('GSTR 1'!$F$332:$F$448,'GSTR 1'!$M$332:$M$448,Summaries!$A$64,'GSTR 1'!$A$332:$A$448,Summaries!$A105)</f>
        <v>0</v>
      </c>
      <c r="AT105" s="79">
        <f>SUMIFS('GSTR 1'!$G$332:$G$448,'GSTR 1'!$M$332:$M$448,Summaries!$A$64,'GSTR 1'!$A$332:$A$448,Summaries!$A105)</f>
        <v>0</v>
      </c>
      <c r="AU105" s="79">
        <f>SUMIFS('GSTR 1'!$H$332:$H$448,'GSTR 1'!$M$332:$M$448,Summaries!$A$64,'GSTR 1'!$A$332:$A$448,Summaries!$A105)</f>
        <v>0</v>
      </c>
      <c r="AV105" s="79">
        <f>SUMIFS('GSTR 1'!$I$332:$I$448,'GSTR 1'!$M$332:$M$448,Summaries!$A$64,'GSTR 1'!$A$332:$A$448,Summaries!$A105)</f>
        <v>0</v>
      </c>
      <c r="AW105" s="79">
        <f>SUMIFS('GSTR 1'!$J$332:$J$448,'GSTR 1'!$M$332:$M$448,Summaries!$A$64,'GSTR 1'!$A$332:$A$448,Summaries!$A105)</f>
        <v>0</v>
      </c>
      <c r="AX105" s="79">
        <f>SUMIFS('GSTR 1'!$K$332:$K$448,'GSTR 1'!$M$332:$M$448,Summaries!$A$64,'GSTR 1'!$A$332:$A$448,Summaries!$A105)</f>
        <v>0</v>
      </c>
      <c r="AY105" s="80">
        <f>SUMIFS('GSTR 1'!$E$332:$E$448,'GSTR 1'!$M$332:$M$448,Summaries!$A$65,'GSTR 1'!$A$332:$A$448,Summaries!$A105)</f>
        <v>0</v>
      </c>
      <c r="AZ105" s="80">
        <f>SUMIFS('GSTR 1'!$F$332:$F$448,'GSTR 1'!$M$332:$M$448,Summaries!$A$65,'GSTR 1'!$A$332:$A$448,Summaries!$A105)</f>
        <v>0</v>
      </c>
      <c r="BA105" s="80">
        <f>SUMIFS('GSTR 1'!$G$332:$G$448,'GSTR 1'!$M$332:$M$448,Summaries!$A$65,'GSTR 1'!$A$332:$A$448,Summaries!$A105)</f>
        <v>0</v>
      </c>
      <c r="BB105" s="80">
        <f>SUMIFS('GSTR 1'!$H$332:$H$448,'GSTR 1'!$M$332:$M$448,Summaries!$A$65,'GSTR 1'!$A$332:$A$448,Summaries!$A105)</f>
        <v>0</v>
      </c>
      <c r="BC105" s="80">
        <f>SUMIFS('GSTR 1'!$I$332:$I$448,'GSTR 1'!$M$332:$M$448,Summaries!$A$65,'GSTR 1'!$A$332:$A$448,Summaries!$A105)</f>
        <v>0</v>
      </c>
      <c r="BD105" s="80">
        <f>SUMIFS('GSTR 1'!$J$332:$J$448,'GSTR 1'!$M$332:$M$448,Summaries!$A$65,'GSTR 1'!$A$332:$A$448,Summaries!$A105)</f>
        <v>0</v>
      </c>
      <c r="BE105" s="80">
        <f>SUMIFS('GSTR 1'!$K$332:$K$448,'GSTR 1'!$M$332:$M$448,Summaries!$A$65,'GSTR 1'!$A$332:$A$448,Summaries!$A105)</f>
        <v>0</v>
      </c>
      <c r="BF105" s="79">
        <f>SUMIFS('GSTR 1'!$E$332:$E$448,'GSTR 1'!$M$332:$M$448,Summaries!$A$66,'GSTR 1'!$A$332:$A$448,Summaries!$A105)</f>
        <v>0</v>
      </c>
      <c r="BG105" s="79">
        <f>SUMIFS('GSTR 1'!$F$332:$F$448,'GSTR 1'!$M$332:$M$448,Summaries!$A$66,'GSTR 1'!$A$332:$A$448,Summaries!$A105)</f>
        <v>0</v>
      </c>
      <c r="BH105" s="79">
        <f>SUMIFS('GSTR 1'!$G$332:$G$448,'GSTR 1'!$M$332:$M$448,Summaries!$A$66,'GSTR 1'!$A$332:$A$448,Summaries!$A105)</f>
        <v>0</v>
      </c>
      <c r="BI105" s="79">
        <f>SUMIFS('GSTR 1'!$H$332:$H$448,'GSTR 1'!$M$332:$M$448,Summaries!$A$66,'GSTR 1'!$A$332:$A$448,Summaries!$A105)</f>
        <v>0</v>
      </c>
      <c r="BJ105" s="79">
        <f>SUMIFS('GSTR 1'!$I$332:$I$448,'GSTR 1'!$M$332:$M$448,Summaries!$A$66,'GSTR 1'!$A$332:$A$448,Summaries!$A105)</f>
        <v>0</v>
      </c>
      <c r="BK105" s="79">
        <f>SUMIFS('GSTR 1'!$J$332:$J$448,'GSTR 1'!$M$332:$M$448,Summaries!$A$66,'GSTR 1'!$A$332:$A$448,Summaries!$A105)</f>
        <v>0</v>
      </c>
      <c r="BL105" s="79">
        <f>SUMIFS('GSTR 1'!$K$332:$K$448,'GSTR 1'!$M$332:$M$448,Summaries!$A$66,'GSTR 1'!$A$332:$A$448,Summaries!$A105)</f>
        <v>0</v>
      </c>
      <c r="BM105" s="80">
        <f>SUMIFS('GSTR 1'!$E$332:$E$448,'GSTR 1'!$M$332:$M$448,Summaries!$A$67,'GSTR 1'!$A$332:$A$448,Summaries!$A105)</f>
        <v>0</v>
      </c>
      <c r="BN105" s="80">
        <f>SUMIFS('GSTR 1'!$F$332:$F$448,'GSTR 1'!$M$332:$M$448,Summaries!$A$67,'GSTR 1'!$A$332:$A$448,Summaries!$A105)</f>
        <v>0</v>
      </c>
      <c r="BO105" s="80">
        <f>SUMIFS('GSTR 1'!$G$332:$G$448,'GSTR 1'!$M$332:$M$448,Summaries!$A$67,'GSTR 1'!$A$332:$A$448,Summaries!$A105)</f>
        <v>0</v>
      </c>
      <c r="BP105" s="80">
        <f>SUMIFS('GSTR 1'!$H$332:$H$448,'GSTR 1'!$M$332:$M$448,Summaries!$A$67,'GSTR 1'!$A$332:$A$448,Summaries!$A105)</f>
        <v>0</v>
      </c>
      <c r="BQ105" s="80">
        <f>SUMIFS('GSTR 1'!$I$332:$I$448,'GSTR 1'!$M$332:$M$448,Summaries!$A$67,'GSTR 1'!$A$332:$A$448,Summaries!$A105)</f>
        <v>0</v>
      </c>
      <c r="BR105" s="80">
        <f>SUMIFS('GSTR 1'!$J$332:$J$448,'GSTR 1'!$M$332:$M$448,Summaries!$A$67,'GSTR 1'!$A$332:$A$448,Summaries!$A105)</f>
        <v>0</v>
      </c>
      <c r="BS105" s="80">
        <f>SUMIFS('GSTR 1'!$K$332:$K$448,'GSTR 1'!$M$332:$M$448,Summaries!$A$67,'GSTR 1'!$A$332:$A$448,Summaries!$A105)</f>
        <v>0</v>
      </c>
      <c r="BT105" s="79">
        <f>SUMIFS('GSTR 1'!$E$332:$E$448,'GSTR 1'!$M$332:$M$448,Summaries!$A$68,'GSTR 1'!$A$332:$A$448,Summaries!$A105)</f>
        <v>0</v>
      </c>
      <c r="BU105" s="79">
        <f>SUMIFS('GSTR 1'!$F$332:$F$448,'GSTR 1'!$M$332:$M$448,Summaries!$A$68,'GSTR 1'!$A$332:$A$448,Summaries!$A105)</f>
        <v>0</v>
      </c>
      <c r="BV105" s="79">
        <f>SUMIFS('GSTR 1'!$G$332:$G$448,'GSTR 1'!$M$332:$M$448,Summaries!$A$68,'GSTR 1'!$A$332:$A$448,Summaries!$A105)</f>
        <v>0</v>
      </c>
      <c r="BW105" s="79">
        <f>SUMIFS('GSTR 1'!$H$332:$H$448,'GSTR 1'!$M$332:$M$448,Summaries!$A$68,'GSTR 1'!$A$332:$A$448,Summaries!$A105)</f>
        <v>0</v>
      </c>
      <c r="BX105" s="79">
        <f>SUMIFS('GSTR 1'!$I$332:$I$448,'GSTR 1'!$M$332:$M$448,Summaries!$A$68,'GSTR 1'!$A$332:$A$448,Summaries!$A105)</f>
        <v>0</v>
      </c>
      <c r="BY105" s="79">
        <f>SUMIFS('GSTR 1'!$J$332:$J$448,'GSTR 1'!$M$332:$M$448,Summaries!$A$68,'GSTR 1'!$A$332:$A$448,Summaries!$A105)</f>
        <v>0</v>
      </c>
      <c r="BZ105" s="79">
        <f>SUMIFS('GSTR 1'!$K$332:$K$448,'GSTR 1'!$M$332:$M$448,Summaries!$A$68,'GSTR 1'!$A$332:$A$448,Summaries!$A105)</f>
        <v>0</v>
      </c>
      <c r="CA105" s="80">
        <f>SUMIFS('GSTR 1'!$E$332:$E$448,'GSTR 1'!$M$332:$M$448,Summaries!$A$69,'GSTR 1'!$A$332:$A$448,Summaries!$A105)</f>
        <v>0</v>
      </c>
      <c r="CB105" s="80">
        <f>SUMIFS('GSTR 1'!$F$332:$F$448,'GSTR 1'!$M$332:$M$448,Summaries!$A$69,'GSTR 1'!$A$332:$A$448,Summaries!$A105)</f>
        <v>0</v>
      </c>
      <c r="CC105" s="80">
        <f>SUMIFS('GSTR 1'!$G$332:$G$448,'GSTR 1'!$M$332:$M$448,Summaries!$A$69,'GSTR 1'!$A$332:$A$448,Summaries!$A105)</f>
        <v>0</v>
      </c>
      <c r="CD105" s="80">
        <f>SUMIFS('GSTR 1'!$H$332:$H$448,'GSTR 1'!$M$332:$M$448,Summaries!$A$69,'GSTR 1'!$A$332:$A$448,Summaries!$A105)</f>
        <v>0</v>
      </c>
      <c r="CE105" s="80">
        <f>SUMIFS('GSTR 1'!$I$332:$I$448,'GSTR 1'!$M$332:$M$448,Summaries!$A$69,'GSTR 1'!$A$332:$A$448,Summaries!$A105)</f>
        <v>0</v>
      </c>
      <c r="CF105" s="80">
        <f>SUMIFS('GSTR 1'!$J$332:$J$448,'GSTR 1'!$M$332:$M$448,Summaries!$A$69,'GSTR 1'!$A$332:$A$448,Summaries!$A105)</f>
        <v>0</v>
      </c>
      <c r="CG105" s="80">
        <f>SUMIFS('GSTR 1'!$K$332:$K$448,'GSTR 1'!$M$332:$M$448,Summaries!$A$69,'GSTR 1'!$A$332:$A$448,Summaries!$A105)</f>
        <v>0</v>
      </c>
      <c r="CH105" s="79">
        <f>SUMIFS('GSTR 1'!$E$332:$E$448,'GSTR 1'!$M$332:$M$448,Summaries!$A$70,'GSTR 1'!$A$332:$A$448,Summaries!$A105)</f>
        <v>0</v>
      </c>
      <c r="CI105" s="79">
        <f>SUMIFS('GSTR 1'!$F$332:$F$448,'GSTR 1'!$M$332:$M$448,Summaries!$A$70,'GSTR 1'!$A$332:$A$448,Summaries!$A105)</f>
        <v>0</v>
      </c>
      <c r="CJ105" s="79">
        <f>SUMIFS('GSTR 1'!$G$332:$G$448,'GSTR 1'!$M$332:$M$448,Summaries!$A$70,'GSTR 1'!$A$332:$A$448,Summaries!$A105)</f>
        <v>0</v>
      </c>
      <c r="CK105" s="79">
        <f>SUMIFS('GSTR 1'!$H$332:$H$448,'GSTR 1'!$M$332:$M$448,Summaries!$A$70,'GSTR 1'!$A$332:$A$448,Summaries!$A105)</f>
        <v>0</v>
      </c>
      <c r="CL105" s="79">
        <f>SUMIFS('GSTR 1'!$I$332:$I$448,'GSTR 1'!$M$332:$M$448,Summaries!$A$70,'GSTR 1'!$A$332:$A$448,Summaries!$A105)</f>
        <v>0</v>
      </c>
      <c r="CM105" s="79">
        <f>SUMIFS('GSTR 1'!$J$332:$J$448,'GSTR 1'!$M$332:$M$448,Summaries!$A$70,'GSTR 1'!$A$332:$A$448,Summaries!$A105)</f>
        <v>0</v>
      </c>
      <c r="CN105" s="79">
        <f>SUMIFS('GSTR 1'!$K$332:$K$448,'GSTR 1'!$M$332:$M$448,Summaries!$A$70,'GSTR 1'!$A$332:$A$448,Summaries!$A105)</f>
        <v>0</v>
      </c>
      <c r="CO105" s="80">
        <f>SUMIFS('GSTR 1'!$E$332:$E$448,'GSTR 1'!$M$332:$M$448,Summaries!$A$71,'GSTR 1'!$A$332:$A$448,Summaries!$A105)</f>
        <v>0</v>
      </c>
      <c r="CP105" s="80">
        <f>SUMIFS('GSTR 1'!$F$332:$F$448,'GSTR 1'!$M$332:$M$448,Summaries!$A$71,'GSTR 1'!$A$332:$A$448,Summaries!$A105)</f>
        <v>0</v>
      </c>
      <c r="CQ105" s="80">
        <f>SUMIFS('GSTR 1'!$G$332:$G$448,'GSTR 1'!$M$332:$M$448,Summaries!$A$71,'GSTR 1'!$A$332:$A$448,Summaries!$A105)</f>
        <v>0</v>
      </c>
      <c r="CR105" s="80">
        <f>SUMIFS('GSTR 1'!$H$332:$H$448,'GSTR 1'!$M$332:$M$448,Summaries!$A$71,'GSTR 1'!$A$332:$A$448,Summaries!$A105)</f>
        <v>0</v>
      </c>
      <c r="CS105" s="80">
        <f>SUMIFS('GSTR 1'!$I$332:$I$448,'GSTR 1'!$M$332:$M$448,Summaries!$A$71,'GSTR 1'!$A$332:$A$448,Summaries!$A105)</f>
        <v>0</v>
      </c>
      <c r="CT105" s="80">
        <f>SUMIFS('GSTR 1'!$J$332:$J$448,'GSTR 1'!$M$332:$M$448,Summaries!$A$71,'GSTR 1'!$A$332:$A$448,Summaries!$A105)</f>
        <v>0</v>
      </c>
      <c r="CU105" s="80">
        <f>SUMIFS('GSTR 1'!$K$332:$K$448,'GSTR 1'!$M$332:$M$448,Summaries!$A$71,'GSTR 1'!$A$332:$A$448,Summaries!$A105)</f>
        <v>0</v>
      </c>
      <c r="CV105" s="79">
        <f>SUMIFS('GSTR 1'!$E$332:$E$448,'GSTR 1'!$M$332:$M$448,Summaries!$A$72,'GSTR 1'!$A$332:$A$448,Summaries!$A105)</f>
        <v>0</v>
      </c>
      <c r="CW105" s="79">
        <f>SUMIFS('GSTR 1'!$F$332:$F$448,'GSTR 1'!$M$332:$M$448,Summaries!$A$72,'GSTR 1'!$A$332:$A$448,Summaries!$A105)</f>
        <v>0</v>
      </c>
      <c r="CX105" s="79">
        <f>SUMIFS('GSTR 1'!$G$332:$G$448,'GSTR 1'!$M$332:$M$448,Summaries!$A$72,'GSTR 1'!$A$332:$A$448,Summaries!$A105)</f>
        <v>0</v>
      </c>
      <c r="CY105" s="79">
        <f>SUMIFS('GSTR 1'!$H$332:$H$448,'GSTR 1'!$M$332:$M$448,Summaries!$A$72,'GSTR 1'!$A$332:$A$448,Summaries!$A105)</f>
        <v>0</v>
      </c>
      <c r="CZ105" s="79">
        <f>SUMIFS('GSTR 1'!$I$332:$I$448,'GSTR 1'!$M$332:$M$448,Summaries!$A$72,'GSTR 1'!$A$332:$A$448,Summaries!$A105)</f>
        <v>0</v>
      </c>
      <c r="DA105" s="79">
        <f>SUMIFS('GSTR 1'!$J$332:$J$448,'GSTR 1'!$M$332:$M$448,Summaries!$A$72,'GSTR 1'!$A$332:$A$448,Summaries!$A105)</f>
        <v>0</v>
      </c>
      <c r="DB105" s="79">
        <f>SUMIFS('GSTR 1'!$K$332:$K$448,'GSTR 1'!$M$332:$M$448,Summaries!$A$72,'GSTR 1'!$A$332:$A$448,Summaries!$A105)</f>
        <v>0</v>
      </c>
      <c r="DC105" s="80">
        <f>SUMIFS('GSTR 1'!$E$332:$E$448,'GSTR 1'!$M$332:$M$448,Summaries!$A$73,'GSTR 1'!$A$332:$A$448,Summaries!$A105)</f>
        <v>0</v>
      </c>
      <c r="DD105" s="80">
        <f>SUMIFS('GSTR 1'!$F$332:$F$448,'GSTR 1'!$M$332:$M$448,Summaries!$A$73,'GSTR 1'!$A$332:$A$448,Summaries!$A105)</f>
        <v>0</v>
      </c>
      <c r="DE105" s="80">
        <f>SUMIFS('GSTR 1'!$G$332:$G$448,'GSTR 1'!$M$332:$M$448,Summaries!$A$73,'GSTR 1'!$A$332:$A$448,Summaries!$A105)</f>
        <v>0</v>
      </c>
      <c r="DF105" s="80">
        <f>SUMIFS('GSTR 1'!$H$332:$H$448,'GSTR 1'!$M$332:$M$448,Summaries!$A$73,'GSTR 1'!$A$332:$A$448,Summaries!$A105)</f>
        <v>0</v>
      </c>
      <c r="DG105" s="80">
        <f>SUMIFS('GSTR 1'!$I$332:$I$448,'GSTR 1'!$M$332:$M$448,Summaries!$A$73,'GSTR 1'!$A$332:$A$448,Summaries!$A105)</f>
        <v>0</v>
      </c>
      <c r="DH105" s="80">
        <f>SUMIFS('GSTR 1'!$J$332:$J$448,'GSTR 1'!$M$332:$M$448,Summaries!$A$73,'GSTR 1'!$A$332:$A$448,Summaries!$A105)</f>
        <v>0</v>
      </c>
      <c r="DI105" s="80">
        <f>SUMIFS('GSTR 1'!$K$332:$K$448,'GSTR 1'!$M$332:$M$448,Summaries!$A$73,'GSTR 1'!$A$332:$A$448,Summaries!$A105)</f>
        <v>0</v>
      </c>
      <c r="DJ105" s="79">
        <f>SUMIFS('GSTR 1'!$E$332:$E$448,'GSTR 1'!$M$332:$M$448,Summaries!$A$74,'GSTR 1'!$A$332:$A$448,Summaries!$A105)</f>
        <v>0</v>
      </c>
      <c r="DK105" s="79">
        <f>SUMIFS('GSTR 1'!$F$332:$F$448,'GSTR 1'!$M$332:$M$448,Summaries!$A$74,'GSTR 1'!$A$332:$A$448,Summaries!$A105)</f>
        <v>0</v>
      </c>
      <c r="DL105" s="79">
        <f>SUMIFS('GSTR 1'!$G$332:$G$448,'GSTR 1'!$M$332:$M$448,Summaries!$A$74,'GSTR 1'!$A$332:$A$448,Summaries!$A105)</f>
        <v>0</v>
      </c>
      <c r="DM105" s="79">
        <f>SUMIFS('GSTR 1'!$H$332:$H$448,'GSTR 1'!$M$332:$M$448,Summaries!$A$74,'GSTR 1'!$A$332:$A$448,Summaries!$A105)</f>
        <v>0</v>
      </c>
      <c r="DN105" s="79">
        <f>SUMIFS('GSTR 1'!$I$332:$I$448,'GSTR 1'!$M$332:$M$448,Summaries!$A$74,'GSTR 1'!$A$332:$A$448,Summaries!$A105)</f>
        <v>0</v>
      </c>
      <c r="DO105" s="79">
        <f>SUMIFS('GSTR 1'!$J$332:$J$448,'GSTR 1'!$M$332:$M$448,Summaries!$A$74,'GSTR 1'!$A$332:$A$448,Summaries!$A105)</f>
        <v>0</v>
      </c>
      <c r="DP105" s="79">
        <f>SUMIFS('GSTR 1'!$K$332:$K$448,'GSTR 1'!$M$332:$M$448,Summaries!$A$74,'GSTR 1'!$A$332:$A$448,Summaries!$A105)</f>
        <v>0</v>
      </c>
      <c r="DQ105" s="80">
        <f>SUMIFS('GSTR 1'!$E$332:$E$448,'GSTR 1'!$M$332:$M$448,Summaries!$A$75,'GSTR 1'!$A$332:$A$448,Summaries!$A105)</f>
        <v>0</v>
      </c>
      <c r="DR105" s="80">
        <f>SUMIFS('GSTR 1'!$F$332:$F$448,'GSTR 1'!$M$332:$M$448,Summaries!$A$75,'GSTR 1'!$A$332:$A$448,Summaries!$A105)</f>
        <v>0</v>
      </c>
      <c r="DS105" s="80">
        <f>SUMIFS('GSTR 1'!$G$332:$G$448,'GSTR 1'!$M$332:$M$448,Summaries!$A$75,'GSTR 1'!$A$332:$A$448,Summaries!$A105)</f>
        <v>0</v>
      </c>
      <c r="DT105" s="80">
        <f>SUMIFS('GSTR 1'!$H$332:$H$448,'GSTR 1'!$M$332:$M$448,Summaries!$A$75,'GSTR 1'!$A$332:$A$448,Summaries!$A105)</f>
        <v>0</v>
      </c>
      <c r="DU105" s="80">
        <f>SUMIFS('GSTR 1'!$I$332:$I$448,'GSTR 1'!$M$332:$M$448,Summaries!$A$75,'GSTR 1'!$A$332:$A$448,Summaries!$A105)</f>
        <v>0</v>
      </c>
      <c r="DV105" s="80">
        <f>SUMIFS('GSTR 1'!$J$332:$J$448,'GSTR 1'!$M$332:$M$448,Summaries!$A$75,'GSTR 1'!$A$332:$A$448,Summaries!$A105)</f>
        <v>0</v>
      </c>
      <c r="DW105" s="80">
        <f>SUMIFS('GSTR 1'!$K$332:$K$448,'GSTR 1'!$M$332:$M$448,Summaries!$A$75,'GSTR 1'!$A$332:$A$448,Summaries!$A105)</f>
        <v>0</v>
      </c>
      <c r="DX105" s="79">
        <f>SUMIFS('GSTR 1'!$E$332:$E$448,'GSTR 1'!$M$332:$M$448,Summaries!$A$76,'GSTR 1'!$A$332:$A$448,Summaries!$A105)</f>
        <v>0</v>
      </c>
      <c r="DY105" s="79">
        <f>SUMIFS('GSTR 1'!$F$332:$F$448,'GSTR 1'!$M$332:$M$448,Summaries!$A$76,'GSTR 1'!$A$332:$A$448,Summaries!$A105)</f>
        <v>0</v>
      </c>
      <c r="DZ105" s="79">
        <f>SUMIFS('GSTR 1'!$G$332:$G$448,'GSTR 1'!$M$332:$M$448,Summaries!$A$76,'GSTR 1'!$A$332:$A$448,Summaries!$A105)</f>
        <v>0</v>
      </c>
      <c r="EA105" s="79">
        <f>SUMIFS('GSTR 1'!$H$332:$H$448,'GSTR 1'!$M$332:$M$448,Summaries!$A$76,'GSTR 1'!$A$332:$A$448,Summaries!$A105)</f>
        <v>0</v>
      </c>
      <c r="EB105" s="79">
        <f>SUMIFS('GSTR 1'!$I$332:$I$448,'GSTR 1'!$M$332:$M$448,Summaries!$A$76,'GSTR 1'!$A$332:$A$448,Summaries!$A105)</f>
        <v>0</v>
      </c>
      <c r="EC105" s="79">
        <f>SUMIFS('GSTR 1'!$J$332:$J$448,'GSTR 1'!$M$332:$M$448,Summaries!$A$76,'GSTR 1'!$A$332:$A$448,Summaries!$A105)</f>
        <v>0</v>
      </c>
      <c r="ED105" s="79">
        <f>SUMIFS('GSTR 1'!$K$332:$K$448,'GSTR 1'!$M$332:$M$448,Summaries!$A$76,'GSTR 1'!$A$332:$A$448,Summaries!$A105)</f>
        <v>0</v>
      </c>
      <c r="EE105" s="80">
        <f>SUMIFS('GSTR 1'!$E$332:$E$448,'GSTR 1'!$M$332:$M$448,Summaries!$A$77,'GSTR 1'!$A$332:$A$448,Summaries!$A105)</f>
        <v>0</v>
      </c>
      <c r="EF105" s="80">
        <f>SUMIFS('GSTR 1'!$F$332:$F$448,'GSTR 1'!$M$332:$M$448,Summaries!$A$77,'GSTR 1'!$A$332:$A$448,Summaries!$A105)</f>
        <v>0</v>
      </c>
      <c r="EG105" s="80">
        <f>SUMIFS('GSTR 1'!$G$332:$G$448,'GSTR 1'!$M$332:$M$448,Summaries!$A$77,'GSTR 1'!$A$332:$A$448,Summaries!$A105)</f>
        <v>0</v>
      </c>
      <c r="EH105" s="80">
        <f>SUMIFS('GSTR 1'!$H$332:$H$448,'GSTR 1'!$M$332:$M$448,Summaries!$A$77,'GSTR 1'!$A$332:$A$448,Summaries!$A105)</f>
        <v>0</v>
      </c>
      <c r="EI105" s="80">
        <f>SUMIFS('GSTR 1'!$I$332:$I$448,'GSTR 1'!$M$332:$M$448,Summaries!$A$77,'GSTR 1'!$A$332:$A$448,Summaries!$A105)</f>
        <v>0</v>
      </c>
      <c r="EJ105" s="80">
        <f>SUMIFS('GSTR 1'!$J$332:$J$448,'GSTR 1'!$M$332:$M$448,Summaries!$A$77,'GSTR 1'!$A$332:$A$448,Summaries!$A105)</f>
        <v>0</v>
      </c>
      <c r="EK105" s="80">
        <f>SUMIFS('GSTR 1'!$K$332:$K$448,'GSTR 1'!$M$332:$M$448,Summaries!$A$77,'GSTR 1'!$A$332:$A$448,Summaries!$A105)</f>
        <v>0</v>
      </c>
      <c r="EL105" s="79">
        <f>SUMIFS('GSTR 1'!$E$332:$E$448,'GSTR 1'!$M$332:$M$448,Summaries!$A$78,'GSTR 1'!$A$332:$A$448,Summaries!$A105)</f>
        <v>0</v>
      </c>
      <c r="EM105" s="79">
        <f>SUMIFS('GSTR 1'!$F$332:$F$448,'GSTR 1'!$M$332:$M$448,Summaries!$A$78,'GSTR 1'!$A$332:$A$448,Summaries!$A105)</f>
        <v>0</v>
      </c>
      <c r="EN105" s="79">
        <f>SUMIFS('GSTR 1'!$G$332:$G$448,'GSTR 1'!$M$332:$M$448,Summaries!$A$78,'GSTR 1'!$A$332:$A$448,Summaries!$A105)</f>
        <v>0</v>
      </c>
      <c r="EO105" s="79">
        <f>SUMIFS('GSTR 1'!$H$332:$H$448,'GSTR 1'!$M$332:$M$448,Summaries!$A$78,'GSTR 1'!$A$332:$A$448,Summaries!$A105)</f>
        <v>0</v>
      </c>
      <c r="EP105" s="79">
        <f>SUMIFS('GSTR 1'!$I$332:$I$448,'GSTR 1'!$M$332:$M$448,Summaries!$A$78,'GSTR 1'!$A$332:$A$448,Summaries!$A105)</f>
        <v>0</v>
      </c>
      <c r="EQ105" s="79">
        <f>SUMIFS('GSTR 1'!$J$332:$J$448,'GSTR 1'!$M$332:$M$448,Summaries!$A$78,'GSTR 1'!$A$332:$A$448,Summaries!$A105)</f>
        <v>0</v>
      </c>
      <c r="ER105" s="79">
        <f>SUMIFS('GSTR 1'!$K$332:$K$448,'GSTR 1'!$M$332:$M$448,Summaries!$A$78,'GSTR 1'!$A$332:$A$448,Summaries!$A105)</f>
        <v>0</v>
      </c>
      <c r="ES105" s="80">
        <f>SUMIFS('GSTR 1'!$E$332:$E$448,'GSTR 1'!$M$332:$M$448,Summaries!$A$79,'GSTR 1'!$A$332:$A$448,Summaries!$A105)</f>
        <v>0</v>
      </c>
      <c r="ET105" s="80">
        <f>SUMIFS('GSTR 1'!$F$332:$F$448,'GSTR 1'!$M$332:$M$448,Summaries!$A$79,'GSTR 1'!$A$332:$A$448,Summaries!$A105)</f>
        <v>0</v>
      </c>
      <c r="EU105" s="80">
        <f>SUMIFS('GSTR 1'!$G$332:$G$448,'GSTR 1'!$M$332:$M$448,Summaries!$A$79,'GSTR 1'!$A$332:$A$448,Summaries!$A105)</f>
        <v>0</v>
      </c>
      <c r="EV105" s="80">
        <f>SUMIFS('GSTR 1'!$H$332:$H$448,'GSTR 1'!$M$332:$M$448,Summaries!$A$79,'GSTR 1'!$A$332:$A$448,Summaries!$A105)</f>
        <v>0</v>
      </c>
      <c r="EW105" s="80">
        <f>SUMIFS('GSTR 1'!$I$332:$I$448,'GSTR 1'!$M$332:$M$448,Summaries!$A$79,'GSTR 1'!$A$332:$A$448,Summaries!$A105)</f>
        <v>0</v>
      </c>
      <c r="EX105" s="80">
        <f>SUMIFS('GSTR 1'!$J$332:$J$448,'GSTR 1'!$M$332:$M$448,Summaries!$A$79,'GSTR 1'!$A$332:$A$448,Summaries!$A105)</f>
        <v>0</v>
      </c>
      <c r="EY105" s="80">
        <f>SUMIFS('GSTR 1'!$K$332:$K$448,'GSTR 1'!$M$332:$M$448,Summaries!$A$79,'GSTR 1'!$A$332:$A$448,Summaries!$A105)</f>
        <v>0</v>
      </c>
      <c r="EZ105" s="79">
        <f>SUMIFS('GSTR 1'!$E$332:$E$448,'GSTR 1'!$M$332:$M$448,Summaries!$A$80,'GSTR 1'!$A$332:$A$448,Summaries!$A105)</f>
        <v>0</v>
      </c>
      <c r="FA105" s="79">
        <f>SUMIFS('GSTR 1'!$F$332:$F$448,'GSTR 1'!$M$332:$M$448,Summaries!$A$80,'GSTR 1'!$A$332:$A$448,Summaries!$A105)</f>
        <v>0</v>
      </c>
      <c r="FB105" s="79">
        <f>SUMIFS('GSTR 1'!$G$332:$G$448,'GSTR 1'!$M$332:$M$448,Summaries!$A$80,'GSTR 1'!$A$332:$A$448,Summaries!$A105)</f>
        <v>0</v>
      </c>
      <c r="FC105" s="79">
        <f>SUMIFS('GSTR 1'!$H$332:$H$448,'GSTR 1'!$M$332:$M$448,Summaries!$A$80,'GSTR 1'!$A$332:$A$448,Summaries!$A105)</f>
        <v>0</v>
      </c>
      <c r="FD105" s="79">
        <f>SUMIFS('GSTR 1'!$I$332:$I$448,'GSTR 1'!$M$332:$M$448,Summaries!$A$80,'GSTR 1'!$A$332:$A$448,Summaries!$A105)</f>
        <v>0</v>
      </c>
      <c r="FE105" s="79">
        <f>SUMIFS('GSTR 1'!$J$332:$J$448,'GSTR 1'!$M$332:$M$448,Summaries!$A$80,'GSTR 1'!$A$332:$A$448,Summaries!$A105)</f>
        <v>0</v>
      </c>
      <c r="FF105" s="79">
        <f>SUMIFS('GSTR 1'!$K$332:$K$448,'GSTR 1'!$M$332:$M$448,Summaries!$A$80,'GSTR 1'!$A$332:$A$448,Summaries!$A105)</f>
        <v>0</v>
      </c>
      <c r="FG105" s="80">
        <f>SUMIFS('GSTR 1'!$E$332:$E$448,'GSTR 1'!$M$332:$M$448,Summaries!$A$81,'GSTR 1'!$A$332:$A$448,Summaries!$A105)</f>
        <v>0</v>
      </c>
      <c r="FH105" s="80">
        <f>SUMIFS('GSTR 1'!$F$332:$F$448,'GSTR 1'!$M$332:$M$448,Summaries!$A$81,'GSTR 1'!$A$332:$A$448,Summaries!$A105)</f>
        <v>0</v>
      </c>
      <c r="FI105" s="80">
        <f>SUMIFS('GSTR 1'!$G$332:$G$448,'GSTR 1'!$M$332:$M$448,Summaries!$A$81,'GSTR 1'!$A$332:$A$448,Summaries!$A105)</f>
        <v>0</v>
      </c>
      <c r="FJ105" s="80">
        <f>SUMIFS('GSTR 1'!$H$332:$H$448,'GSTR 1'!$M$332:$M$448,Summaries!$A$81,'GSTR 1'!$A$332:$A$448,Summaries!$A105)</f>
        <v>0</v>
      </c>
      <c r="FK105" s="80">
        <f>SUMIFS('GSTR 1'!$I$332:$I$448,'GSTR 1'!$M$332:$M$448,Summaries!$A$81,'GSTR 1'!$A$332:$A$448,Summaries!$A105)</f>
        <v>0</v>
      </c>
      <c r="FL105" s="80">
        <f>SUMIFS('GSTR 1'!$J$332:$J$448,'GSTR 1'!$M$332:$M$448,Summaries!$A$81,'GSTR 1'!$A$332:$A$448,Summaries!$A105)</f>
        <v>0</v>
      </c>
      <c r="FM105" s="80">
        <f>SUMIFS('GSTR 1'!$K$332:$K$448,'GSTR 1'!$M$332:$M$448,Summaries!$A$81,'GSTR 1'!$A$332:$A$448,Summaries!$A105)</f>
        <v>0</v>
      </c>
      <c r="FN105" s="79">
        <f>SUMIFS('GSTR 1'!$E$332:$E$448,'GSTR 1'!$M$332:$M$448,Summaries!$A$82,'GSTR 1'!$A$332:$A$448,Summaries!$A105)</f>
        <v>0</v>
      </c>
      <c r="FO105" s="79">
        <f>SUMIFS('GSTR 1'!$F$332:$F$448,'GSTR 1'!$M$332:$M$448,Summaries!$A$82,'GSTR 1'!$A$332:$A$448,Summaries!$A105)</f>
        <v>0</v>
      </c>
      <c r="FP105" s="79">
        <f>SUMIFS('GSTR 1'!$G$332:$G$448,'GSTR 1'!$M$332:$M$448,Summaries!$A$82,'GSTR 1'!$A$332:$A$448,Summaries!$A105)</f>
        <v>0</v>
      </c>
      <c r="FQ105" s="79">
        <f>SUMIFS('GSTR 1'!$H$332:$H$448,'GSTR 1'!$M$332:$M$448,Summaries!$A$82,'GSTR 1'!$A$332:$A$448,Summaries!$A105)</f>
        <v>0</v>
      </c>
      <c r="FR105" s="79">
        <f>SUMIFS('GSTR 1'!$I$332:$I$448,'GSTR 1'!$M$332:$M$448,Summaries!$A$82,'GSTR 1'!$A$332:$A$448,Summaries!$A105)</f>
        <v>0</v>
      </c>
      <c r="FS105" s="79">
        <f>SUMIFS('GSTR 1'!$J$332:$J$448,'GSTR 1'!$M$332:$M$448,Summaries!$A$82,'GSTR 1'!$A$332:$A$448,Summaries!$A105)</f>
        <v>0</v>
      </c>
      <c r="FT105" s="79">
        <f>SUMIFS('GSTR 1'!$K$332:$K$448,'GSTR 1'!$M$332:$M$448,Summaries!$A$82,'GSTR 1'!$A$332:$A$448,Summaries!$A105)</f>
        <v>0</v>
      </c>
      <c r="FU105" s="80">
        <f>SUMIFS('GSTR 1'!$E$332:$E$448,'GSTR 1'!$M$332:$M$448,Summaries!$A$83,'GSTR 1'!$A$332:$A$448,Summaries!$A105)</f>
        <v>0</v>
      </c>
      <c r="FV105" s="80">
        <f>SUMIFS('GSTR 1'!$F$332:$F$448,'GSTR 1'!$M$332:$M$448,Summaries!$A$83,'GSTR 1'!$A$332:$A$448,Summaries!$A105)</f>
        <v>0</v>
      </c>
      <c r="FW105" s="80">
        <f>SUMIFS('GSTR 1'!$G$332:$G$448,'GSTR 1'!$M$332:$M$448,Summaries!$A$83,'GSTR 1'!$A$332:$A$448,Summaries!$A105)</f>
        <v>0</v>
      </c>
      <c r="FX105" s="80">
        <f>SUMIFS('GSTR 1'!$H$332:$H$448,'GSTR 1'!$M$332:$M$448,Summaries!$A$83,'GSTR 1'!$A$332:$A$448,Summaries!$A105)</f>
        <v>0</v>
      </c>
      <c r="FY105" s="80">
        <f>SUMIFS('GSTR 1'!$I$332:$I$448,'GSTR 1'!$M$332:$M$448,Summaries!$A$83,'GSTR 1'!$A$332:$A$448,Summaries!$A105)</f>
        <v>0</v>
      </c>
      <c r="FZ105" s="80">
        <f>SUMIFS('GSTR 1'!$J$332:$J$448,'GSTR 1'!$M$332:$M$448,Summaries!$A$83,'GSTR 1'!$A$332:$A$448,Summaries!$A105)</f>
        <v>0</v>
      </c>
      <c r="GA105" s="80">
        <f>SUMIFS('GSTR 1'!$K$332:$K$448,'GSTR 1'!$M$332:$M$448,Summaries!$A$83,'GSTR 1'!$A$332:$A$448,Summaries!$A105)</f>
        <v>0</v>
      </c>
      <c r="GB105" s="79">
        <f>SUMIFS('GSTR 1'!$E$332:$E$448,'GSTR 1'!$M$332:$M$448,Summaries!$A$84,'GSTR 1'!$A$332:$A$448,Summaries!$A105)</f>
        <v>0</v>
      </c>
      <c r="GC105" s="79">
        <f>SUMIFS('GSTR 1'!$F$332:$F$448,'GSTR 1'!$M$332:$M$448,Summaries!$A$84,'GSTR 1'!$A$332:$A$448,Summaries!$A105)</f>
        <v>0</v>
      </c>
      <c r="GD105" s="79">
        <f>SUMIFS('GSTR 1'!$G$332:$G$448,'GSTR 1'!$M$332:$M$448,Summaries!$A$84,'GSTR 1'!$A$332:$A$448,Summaries!$A105)</f>
        <v>0</v>
      </c>
      <c r="GE105" s="79">
        <f>SUMIFS('GSTR 1'!$H$332:$H$448,'GSTR 1'!$M$332:$M$448,Summaries!$A$84,'GSTR 1'!$A$332:$A$448,Summaries!$A105)</f>
        <v>0</v>
      </c>
      <c r="GF105" s="79">
        <f>SUMIFS('GSTR 1'!$I$332:$I$448,'GSTR 1'!$M$332:$M$448,Summaries!$A$84,'GSTR 1'!$A$332:$A$448,Summaries!$A105)</f>
        <v>0</v>
      </c>
      <c r="GG105" s="79">
        <f>SUMIFS('GSTR 1'!$J$332:$J$448,'GSTR 1'!$M$332:$M$448,Summaries!$A$84,'GSTR 1'!$A$332:$A$448,Summaries!$A105)</f>
        <v>0</v>
      </c>
      <c r="GH105" s="79">
        <f>SUMIFS('GSTR 1'!$K$332:$K$448,'GSTR 1'!$M$332:$M$448,Summaries!$A$84,'GSTR 1'!$A$332:$A$448,Summaries!$A105)</f>
        <v>0</v>
      </c>
      <c r="GI105" s="80">
        <f>SUMIFS('GSTR 1'!$E$332:$E$448,'GSTR 1'!$M$332:$M$448,Summaries!$A$85,'GSTR 1'!$A$332:$A$448,Summaries!$A105)</f>
        <v>0</v>
      </c>
      <c r="GJ105" s="80">
        <f>SUMIFS('GSTR 1'!$F$332:$F$448,'GSTR 1'!$M$332:$M$448,Summaries!$A$85,'GSTR 1'!$A$332:$A$448,Summaries!$A105)</f>
        <v>0</v>
      </c>
      <c r="GK105" s="80">
        <f>SUMIFS('GSTR 1'!$G$332:$G$448,'GSTR 1'!$M$332:$M$448,Summaries!$A$85,'GSTR 1'!$A$332:$A$448,Summaries!$A105)</f>
        <v>0</v>
      </c>
      <c r="GL105" s="80">
        <f>SUMIFS('GSTR 1'!$H$332:$H$448,'GSTR 1'!$M$332:$M$448,Summaries!$A$85,'GSTR 1'!$A$332:$A$448,Summaries!$A105)</f>
        <v>0</v>
      </c>
      <c r="GM105" s="80">
        <f>SUMIFS('GSTR 1'!$I$332:$I$448,'GSTR 1'!$M$332:$M$448,Summaries!$A$85,'GSTR 1'!$A$332:$A$448,Summaries!$A105)</f>
        <v>0</v>
      </c>
      <c r="GN105" s="80">
        <f>SUMIFS('GSTR 1'!$J$332:$J$448,'GSTR 1'!$M$332:$M$448,Summaries!$A$85,'GSTR 1'!$A$332:$A$448,Summaries!$A105)</f>
        <v>0</v>
      </c>
      <c r="GO105" s="80">
        <f>SUMIFS('GSTR 1'!$K$332:$K$448,'GSTR 1'!$M$332:$M$448,Summaries!$A$85,'GSTR 1'!$A$332:$A$448,Summaries!$A105)</f>
        <v>0</v>
      </c>
      <c r="GP105" s="79">
        <f>SUMIFS('GSTR 1'!$E$332:$E$448,'GSTR 1'!$M$332:$M$448,Summaries!$A$86,'GSTR 1'!$A$332:$A$448,Summaries!$A105)</f>
        <v>0</v>
      </c>
      <c r="GQ105" s="79">
        <f>SUMIFS('GSTR 1'!$F$332:$F$448,'GSTR 1'!$M$332:$M$448,Summaries!$A$86,'GSTR 1'!$A$332:$A$448,Summaries!$A105)</f>
        <v>0</v>
      </c>
      <c r="GR105" s="79">
        <f>SUMIFS('GSTR 1'!$G$332:$G$448,'GSTR 1'!$M$332:$M$448,Summaries!$A$86,'GSTR 1'!$A$332:$A$448,Summaries!$A105)</f>
        <v>0</v>
      </c>
      <c r="GS105" s="79">
        <f>SUMIFS('GSTR 1'!$H$332:$H$448,'GSTR 1'!$M$332:$M$448,Summaries!$A$86,'GSTR 1'!$A$332:$A$448,Summaries!$A105)</f>
        <v>0</v>
      </c>
      <c r="GT105" s="79">
        <f>SUMIFS('GSTR 1'!$I$332:$I$448,'GSTR 1'!$M$332:$M$448,Summaries!$A$86,'GSTR 1'!$A$332:$A$448,Summaries!$A105)</f>
        <v>0</v>
      </c>
      <c r="GU105" s="79">
        <f>SUMIFS('GSTR 1'!$J$332:$J$448,'GSTR 1'!$M$332:$M$448,Summaries!$A$86,'GSTR 1'!$A$332:$A$448,Summaries!$A105)</f>
        <v>0</v>
      </c>
      <c r="GV105" s="79">
        <f>SUMIFS('GSTR 1'!$K$332:$K$448,'GSTR 1'!$M$332:$M$448,Summaries!$A$86,'GSTR 1'!$A$332:$A$448,Summaries!$A105)</f>
        <v>0</v>
      </c>
      <c r="GW105" s="80">
        <f>SUMIFS('GSTR 1'!$E$332:$E$448,'GSTR 1'!$M$332:$M$448,Summaries!$A$87,'GSTR 1'!$A$332:$A$448,Summaries!$A105)</f>
        <v>0</v>
      </c>
      <c r="GX105" s="80">
        <f>SUMIFS('GSTR 1'!$F$332:$F$448,'GSTR 1'!$M$332:$M$448,Summaries!$A$87,'GSTR 1'!$A$332:$A$448,Summaries!$A105)</f>
        <v>0</v>
      </c>
      <c r="GY105" s="80">
        <f>SUMIFS('GSTR 1'!$G$332:$G$448,'GSTR 1'!$M$332:$M$448,Summaries!$A$87,'GSTR 1'!$A$332:$A$448,Summaries!$A105)</f>
        <v>0</v>
      </c>
      <c r="GZ105" s="80">
        <f>SUMIFS('GSTR 1'!$H$332:$H$448,'GSTR 1'!$M$332:$M$448,Summaries!$A$87,'GSTR 1'!$A$332:$A$448,Summaries!$A105)</f>
        <v>0</v>
      </c>
      <c r="HA105" s="80">
        <f>SUMIFS('GSTR 1'!$I$332:$I$448,'GSTR 1'!$M$332:$M$448,Summaries!$A$87,'GSTR 1'!$A$332:$A$448,Summaries!$A105)</f>
        <v>0</v>
      </c>
      <c r="HB105" s="80">
        <f>SUMIFS('GSTR 1'!$J$332:$J$448,'GSTR 1'!$M$332:$M$448,Summaries!$A$87,'GSTR 1'!$A$332:$A$448,Summaries!$A105)</f>
        <v>0</v>
      </c>
      <c r="HC105" s="80">
        <f>SUMIFS('GSTR 1'!$K$332:$K$448,'GSTR 1'!$M$332:$M$448,Summaries!$A$87,'GSTR 1'!$A$332:$A$448,Summaries!$A105)</f>
        <v>0</v>
      </c>
    </row>
    <row r="106" spans="1:211" x14ac:dyDescent="0.3">
      <c r="A106" s="78">
        <f>DATE(INT(LEFT($B$3,4)),12,1)</f>
        <v>45992</v>
      </c>
      <c r="B106" s="79">
        <f>SUMIFS('GSTR 1'!$E$332:$E$448,'GSTR 1'!$M$332:$M$448,Summaries!$A$58,'GSTR 1'!$A$332:$A$448,Summaries!A106)</f>
        <v>0</v>
      </c>
      <c r="C106" s="79">
        <f>SUMIFS('GSTR 1'!$F$332:$F$448,'GSTR 1'!$M$332:$M$448,Summaries!$A$58,'GSTR 1'!$A$332:$A$448,Summaries!A106)</f>
        <v>0</v>
      </c>
      <c r="D106" s="79">
        <f>SUMIFS('GSTR 1'!$G$332:$G$448,'GSTR 1'!$M$332:$M$448,Summaries!$A$58,'GSTR 1'!$A$332:$A$448,Summaries!A106)</f>
        <v>0</v>
      </c>
      <c r="E106" s="79">
        <f>SUMIFS('GSTR 1'!$H$332:$H$448,'GSTR 1'!$M$332:$M$448,Summaries!$A$58,'GSTR 1'!$A$332:$A$448,Summaries!A106)</f>
        <v>0</v>
      </c>
      <c r="F106" s="79">
        <f>SUMIFS('GSTR 1'!$I$332:$I$448,'GSTR 1'!$M$332:$M$448,Summaries!$A$58,'GSTR 1'!$A$332:$A$448,Summaries!A106)</f>
        <v>0</v>
      </c>
      <c r="G106" s="79">
        <f>SUMIFS('GSTR 1'!$J$332:$J$448,'GSTR 1'!$M$332:$M$448,Summaries!$A$58,'GSTR 1'!$A$332:$A$448,Summaries!A106)</f>
        <v>0</v>
      </c>
      <c r="H106" s="79">
        <f>SUMIFS('GSTR 1'!$K$332:$K$448,'GSTR 1'!$M$332:$M$448,Summaries!$A$58,'GSTR 1'!$A$332:$A$448,Summaries!A106)</f>
        <v>0</v>
      </c>
      <c r="I106" s="80">
        <f>SUMIFS('GSTR 1'!$E$332:$E$448,'GSTR 1'!$M$332:$M$448,Summaries!$A$59,'GSTR 1'!$A$332:$A$448,Summaries!$A106)</f>
        <v>0</v>
      </c>
      <c r="J106" s="80">
        <f>SUMIFS('GSTR 1'!$F$332:$F$448,'GSTR 1'!$M$332:$M$448,Summaries!$A$59,'GSTR 1'!$A$332:$A$448,Summaries!$A106)</f>
        <v>0</v>
      </c>
      <c r="K106" s="80">
        <f>SUMIFS('GSTR 1'!$G$332:$G$448,'GSTR 1'!$M$332:$M$448,Summaries!$A$59,'GSTR 1'!$A$332:$A$448,Summaries!$A106)</f>
        <v>0</v>
      </c>
      <c r="L106" s="80">
        <f>SUMIFS('GSTR 1'!$H$332:$H$448,'GSTR 1'!$M$332:$M$448,Summaries!$A$59,'GSTR 1'!$A$332:$A$448,Summaries!$A106)</f>
        <v>0</v>
      </c>
      <c r="M106" s="80">
        <f>SUMIFS('GSTR 1'!$I$332:$I$448,'GSTR 1'!$M$332:$M$448,Summaries!$A$59,'GSTR 1'!$A$332:$A$448,Summaries!$A106)</f>
        <v>0</v>
      </c>
      <c r="N106" s="80">
        <f>SUMIFS('GSTR 1'!$J$332:$J$448,'GSTR 1'!$M$332:$M$448,Summaries!$A$59,'GSTR 1'!$A$332:$A$448,Summaries!$A106)</f>
        <v>0</v>
      </c>
      <c r="O106" s="80">
        <f>SUMIFS('GSTR 1'!$K$332:$K$448,'GSTR 1'!$M$332:$M$448,Summaries!$A$59,'GSTR 1'!$A$332:$A$448,Summaries!$A106)</f>
        <v>0</v>
      </c>
      <c r="P106" s="79">
        <f>SUMIFS('GSTR 1'!$E$332:$E$448,'GSTR 1'!$M$332:$M$448,Summaries!$A$60,'GSTR 1'!$A$332:$A$448,Summaries!$A106)</f>
        <v>0</v>
      </c>
      <c r="Q106" s="79">
        <f>SUMIFS('GSTR 1'!$F$332:$F$448,'GSTR 1'!$M$332:$M$448,Summaries!$A$60,'GSTR 1'!$A$332:$A$448,Summaries!$A106)</f>
        <v>0</v>
      </c>
      <c r="R106" s="79">
        <f>SUMIFS('GSTR 1'!$G$332:$G$448,'GSTR 1'!$M$332:$M$448,Summaries!$A$60,'GSTR 1'!$A$332:$A$448,Summaries!$A106)</f>
        <v>0</v>
      </c>
      <c r="S106" s="79">
        <f>SUMIFS('GSTR 1'!$H$332:$H$448,'GSTR 1'!$M$332:$M$448,Summaries!$A$60,'GSTR 1'!$A$332:$A$448,Summaries!$A106)</f>
        <v>0</v>
      </c>
      <c r="T106" s="79">
        <f>SUMIFS('GSTR 1'!$I$332:$I$448,'GSTR 1'!$M$332:$M$448,Summaries!$A$60,'GSTR 1'!$A$332:$A$448,Summaries!$A106)</f>
        <v>0</v>
      </c>
      <c r="U106" s="79">
        <f>SUMIFS('GSTR 1'!$J$332:$J$448,'GSTR 1'!$M$332:$M$448,Summaries!$A$60,'GSTR 1'!$A$332:$A$448,Summaries!$A106)</f>
        <v>0</v>
      </c>
      <c r="V106" s="79">
        <f>SUMIFS('GSTR 1'!$K$332:$K$448,'GSTR 1'!$M$332:$M$448,Summaries!$A$60,'GSTR 1'!$A$332:$A$448,Summaries!$A106)</f>
        <v>0</v>
      </c>
      <c r="W106" s="80">
        <f>SUMIFS('GSTR 1'!$E$332:$E$448,'GSTR 1'!$M$332:$M$448,Summaries!$A$61,'GSTR 1'!$A$332:$A$448,Summaries!$A106)</f>
        <v>0</v>
      </c>
      <c r="X106" s="80">
        <f>SUMIFS('GSTR 1'!$F$332:$F$448,'GSTR 1'!$M$332:$M$448,Summaries!$A$61,'GSTR 1'!$A$332:$A$448,Summaries!$A106)</f>
        <v>0</v>
      </c>
      <c r="Y106" s="80">
        <f>SUMIFS('GSTR 1'!$G$332:$G$448,'GSTR 1'!$M$332:$M$448,Summaries!$A$61,'GSTR 1'!$A$332:$A$448,Summaries!$A106)</f>
        <v>0</v>
      </c>
      <c r="Z106" s="80">
        <f>SUMIFS('GSTR 1'!$H$332:$H$448,'GSTR 1'!$M$332:$M$448,Summaries!$A$61,'GSTR 1'!$A$332:$A$448,Summaries!$A106)</f>
        <v>0</v>
      </c>
      <c r="AA106" s="80">
        <f>SUMIFS('GSTR 1'!$I$332:$I$448,'GSTR 1'!$M$332:$M$448,Summaries!$A$61,'GSTR 1'!$A$332:$A$448,Summaries!$A106)</f>
        <v>0</v>
      </c>
      <c r="AB106" s="80">
        <f>SUMIFS('GSTR 1'!$J$332:$J$448,'GSTR 1'!$M$332:$M$448,Summaries!$A$61,'GSTR 1'!$A$332:$A$448,Summaries!$A106)</f>
        <v>0</v>
      </c>
      <c r="AC106" s="80">
        <f>SUMIFS('GSTR 1'!$K$332:$K$448,'GSTR 1'!$M$332:$M$448,Summaries!$A$61,'GSTR 1'!$A$332:$A$448,Summaries!$A106)</f>
        <v>0</v>
      </c>
      <c r="AD106" s="79">
        <f>SUMIFS('GSTR 1'!$E$332:$E$448,'GSTR 1'!$M$332:$M$448,Summaries!$A$62,'GSTR 1'!$A$332:$A$448,Summaries!$A106)</f>
        <v>0</v>
      </c>
      <c r="AE106" s="79">
        <f>SUMIFS('GSTR 1'!$F$332:$F$448,'GSTR 1'!$M$332:$M$448,Summaries!$A$62,'GSTR 1'!$A$332:$A$448,Summaries!$A106)</f>
        <v>0</v>
      </c>
      <c r="AF106" s="79">
        <f>SUMIFS('GSTR 1'!$G$332:$G$448,'GSTR 1'!$M$332:$M$448,Summaries!$A$62,'GSTR 1'!$A$332:$A$448,Summaries!$A106)</f>
        <v>0</v>
      </c>
      <c r="AG106" s="79">
        <f>SUMIFS('GSTR 1'!$H$332:$H$448,'GSTR 1'!$M$332:$M$448,Summaries!$A$62,'GSTR 1'!$A$332:$A$448,Summaries!$A106)</f>
        <v>0</v>
      </c>
      <c r="AH106" s="79">
        <f>SUMIFS('GSTR 1'!$I$332:$I$448,'GSTR 1'!$M$332:$M$448,Summaries!$A$62,'GSTR 1'!$A$332:$A$448,Summaries!$A106)</f>
        <v>0</v>
      </c>
      <c r="AI106" s="79">
        <f>SUMIFS('GSTR 1'!$J$332:$J$448,'GSTR 1'!$M$332:$M$448,Summaries!$A$62,'GSTR 1'!$A$332:$A$448,Summaries!$A106)</f>
        <v>0</v>
      </c>
      <c r="AJ106" s="79">
        <f>SUMIFS('GSTR 1'!$K$332:$K$448,'GSTR 1'!$M$332:$M$448,Summaries!$A$62,'GSTR 1'!$A$332:$A$448,Summaries!$A106)</f>
        <v>0</v>
      </c>
      <c r="AK106" s="80">
        <f>SUMIFS('GSTR 1'!$E$332:$E$448,'GSTR 1'!$M$332:$M$448,Summaries!$A$63,'GSTR 1'!$A$332:$A$448,Summaries!$A106)</f>
        <v>0</v>
      </c>
      <c r="AL106" s="80">
        <f>SUMIFS('GSTR 1'!$F$332:$F$448,'GSTR 1'!$M$332:$M$448,Summaries!$A$63,'GSTR 1'!$A$332:$A$448,Summaries!$A106)</f>
        <v>0</v>
      </c>
      <c r="AM106" s="80">
        <f>SUMIFS('GSTR 1'!$G$332:$G$448,'GSTR 1'!$M$332:$M$448,Summaries!$A$63,'GSTR 1'!$A$332:$A$448,Summaries!$A106)</f>
        <v>0</v>
      </c>
      <c r="AN106" s="80">
        <f>SUMIFS('GSTR 1'!$H$332:$H$448,'GSTR 1'!$M$332:$M$448,Summaries!$A$63,'GSTR 1'!$A$332:$A$448,Summaries!$A106)</f>
        <v>0</v>
      </c>
      <c r="AO106" s="80">
        <f>SUMIFS('GSTR 1'!$I$332:$I$448,'GSTR 1'!$M$332:$M$448,Summaries!$A$63,'GSTR 1'!$A$332:$A$448,Summaries!$A106)</f>
        <v>0</v>
      </c>
      <c r="AP106" s="80">
        <f>SUMIFS('GSTR 1'!$J$332:$J$448,'GSTR 1'!$M$332:$M$448,Summaries!$A$63,'GSTR 1'!$A$332:$A$448,Summaries!$A106)</f>
        <v>0</v>
      </c>
      <c r="AQ106" s="80">
        <f>SUMIFS('GSTR 1'!$K$332:$K$448,'GSTR 1'!$M$332:$M$448,Summaries!$A$63,'GSTR 1'!$A$332:$A$448,Summaries!$A106)</f>
        <v>0</v>
      </c>
      <c r="AR106" s="79">
        <f>SUMIFS('GSTR 1'!$E$332:$E$448,'GSTR 1'!$M$332:$M$448,Summaries!$A$64,'GSTR 1'!$A$332:$A$448,Summaries!$A106)</f>
        <v>0</v>
      </c>
      <c r="AS106" s="79">
        <f>SUMIFS('GSTR 1'!$F$332:$F$448,'GSTR 1'!$M$332:$M$448,Summaries!$A$64,'GSTR 1'!$A$332:$A$448,Summaries!$A106)</f>
        <v>0</v>
      </c>
      <c r="AT106" s="79">
        <f>SUMIFS('GSTR 1'!$G$332:$G$448,'GSTR 1'!$M$332:$M$448,Summaries!$A$64,'GSTR 1'!$A$332:$A$448,Summaries!$A106)</f>
        <v>0</v>
      </c>
      <c r="AU106" s="79">
        <f>SUMIFS('GSTR 1'!$H$332:$H$448,'GSTR 1'!$M$332:$M$448,Summaries!$A$64,'GSTR 1'!$A$332:$A$448,Summaries!$A106)</f>
        <v>0</v>
      </c>
      <c r="AV106" s="79">
        <f>SUMIFS('GSTR 1'!$I$332:$I$448,'GSTR 1'!$M$332:$M$448,Summaries!$A$64,'GSTR 1'!$A$332:$A$448,Summaries!$A106)</f>
        <v>0</v>
      </c>
      <c r="AW106" s="79">
        <f>SUMIFS('GSTR 1'!$J$332:$J$448,'GSTR 1'!$M$332:$M$448,Summaries!$A$64,'GSTR 1'!$A$332:$A$448,Summaries!$A106)</f>
        <v>0</v>
      </c>
      <c r="AX106" s="79">
        <f>SUMIFS('GSTR 1'!$K$332:$K$448,'GSTR 1'!$M$332:$M$448,Summaries!$A$64,'GSTR 1'!$A$332:$A$448,Summaries!$A106)</f>
        <v>0</v>
      </c>
      <c r="AY106" s="80">
        <f>SUMIFS('GSTR 1'!$E$332:$E$448,'GSTR 1'!$M$332:$M$448,Summaries!$A$65,'GSTR 1'!$A$332:$A$448,Summaries!$A106)</f>
        <v>0</v>
      </c>
      <c r="AZ106" s="80">
        <f>SUMIFS('GSTR 1'!$F$332:$F$448,'GSTR 1'!$M$332:$M$448,Summaries!$A$65,'GSTR 1'!$A$332:$A$448,Summaries!$A106)</f>
        <v>0</v>
      </c>
      <c r="BA106" s="80">
        <f>SUMIFS('GSTR 1'!$G$332:$G$448,'GSTR 1'!$M$332:$M$448,Summaries!$A$65,'GSTR 1'!$A$332:$A$448,Summaries!$A106)</f>
        <v>0</v>
      </c>
      <c r="BB106" s="80">
        <f>SUMIFS('GSTR 1'!$H$332:$H$448,'GSTR 1'!$M$332:$M$448,Summaries!$A$65,'GSTR 1'!$A$332:$A$448,Summaries!$A106)</f>
        <v>0</v>
      </c>
      <c r="BC106" s="80">
        <f>SUMIFS('GSTR 1'!$I$332:$I$448,'GSTR 1'!$M$332:$M$448,Summaries!$A$65,'GSTR 1'!$A$332:$A$448,Summaries!$A106)</f>
        <v>0</v>
      </c>
      <c r="BD106" s="80">
        <f>SUMIFS('GSTR 1'!$J$332:$J$448,'GSTR 1'!$M$332:$M$448,Summaries!$A$65,'GSTR 1'!$A$332:$A$448,Summaries!$A106)</f>
        <v>0</v>
      </c>
      <c r="BE106" s="80">
        <f>SUMIFS('GSTR 1'!$K$332:$K$448,'GSTR 1'!$M$332:$M$448,Summaries!$A$65,'GSTR 1'!$A$332:$A$448,Summaries!$A106)</f>
        <v>0</v>
      </c>
      <c r="BF106" s="79">
        <f>SUMIFS('GSTR 1'!$E$332:$E$448,'GSTR 1'!$M$332:$M$448,Summaries!$A$66,'GSTR 1'!$A$332:$A$448,Summaries!$A106)</f>
        <v>0</v>
      </c>
      <c r="BG106" s="79">
        <f>SUMIFS('GSTR 1'!$F$332:$F$448,'GSTR 1'!$M$332:$M$448,Summaries!$A$66,'GSTR 1'!$A$332:$A$448,Summaries!$A106)</f>
        <v>0</v>
      </c>
      <c r="BH106" s="79">
        <f>SUMIFS('GSTR 1'!$G$332:$G$448,'GSTR 1'!$M$332:$M$448,Summaries!$A$66,'GSTR 1'!$A$332:$A$448,Summaries!$A106)</f>
        <v>0</v>
      </c>
      <c r="BI106" s="79">
        <f>SUMIFS('GSTR 1'!$H$332:$H$448,'GSTR 1'!$M$332:$M$448,Summaries!$A$66,'GSTR 1'!$A$332:$A$448,Summaries!$A106)</f>
        <v>0</v>
      </c>
      <c r="BJ106" s="79">
        <f>SUMIFS('GSTR 1'!$I$332:$I$448,'GSTR 1'!$M$332:$M$448,Summaries!$A$66,'GSTR 1'!$A$332:$A$448,Summaries!$A106)</f>
        <v>0</v>
      </c>
      <c r="BK106" s="79">
        <f>SUMIFS('GSTR 1'!$J$332:$J$448,'GSTR 1'!$M$332:$M$448,Summaries!$A$66,'GSTR 1'!$A$332:$A$448,Summaries!$A106)</f>
        <v>0</v>
      </c>
      <c r="BL106" s="79">
        <f>SUMIFS('GSTR 1'!$K$332:$K$448,'GSTR 1'!$M$332:$M$448,Summaries!$A$66,'GSTR 1'!$A$332:$A$448,Summaries!$A106)</f>
        <v>0</v>
      </c>
      <c r="BM106" s="80">
        <f>SUMIFS('GSTR 1'!$E$332:$E$448,'GSTR 1'!$M$332:$M$448,Summaries!$A$67,'GSTR 1'!$A$332:$A$448,Summaries!$A106)</f>
        <v>0</v>
      </c>
      <c r="BN106" s="80">
        <f>SUMIFS('GSTR 1'!$F$332:$F$448,'GSTR 1'!$M$332:$M$448,Summaries!$A$67,'GSTR 1'!$A$332:$A$448,Summaries!$A106)</f>
        <v>0</v>
      </c>
      <c r="BO106" s="80">
        <f>SUMIFS('GSTR 1'!$G$332:$G$448,'GSTR 1'!$M$332:$M$448,Summaries!$A$67,'GSTR 1'!$A$332:$A$448,Summaries!$A106)</f>
        <v>0</v>
      </c>
      <c r="BP106" s="80">
        <f>SUMIFS('GSTR 1'!$H$332:$H$448,'GSTR 1'!$M$332:$M$448,Summaries!$A$67,'GSTR 1'!$A$332:$A$448,Summaries!$A106)</f>
        <v>0</v>
      </c>
      <c r="BQ106" s="80">
        <f>SUMIFS('GSTR 1'!$I$332:$I$448,'GSTR 1'!$M$332:$M$448,Summaries!$A$67,'GSTR 1'!$A$332:$A$448,Summaries!$A106)</f>
        <v>0</v>
      </c>
      <c r="BR106" s="80">
        <f>SUMIFS('GSTR 1'!$J$332:$J$448,'GSTR 1'!$M$332:$M$448,Summaries!$A$67,'GSTR 1'!$A$332:$A$448,Summaries!$A106)</f>
        <v>0</v>
      </c>
      <c r="BS106" s="80">
        <f>SUMIFS('GSTR 1'!$K$332:$K$448,'GSTR 1'!$M$332:$M$448,Summaries!$A$67,'GSTR 1'!$A$332:$A$448,Summaries!$A106)</f>
        <v>0</v>
      </c>
      <c r="BT106" s="79">
        <f>SUMIFS('GSTR 1'!$E$332:$E$448,'GSTR 1'!$M$332:$M$448,Summaries!$A$68,'GSTR 1'!$A$332:$A$448,Summaries!$A106)</f>
        <v>0</v>
      </c>
      <c r="BU106" s="79">
        <f>SUMIFS('GSTR 1'!$F$332:$F$448,'GSTR 1'!$M$332:$M$448,Summaries!$A$68,'GSTR 1'!$A$332:$A$448,Summaries!$A106)</f>
        <v>0</v>
      </c>
      <c r="BV106" s="79">
        <f>SUMIFS('GSTR 1'!$G$332:$G$448,'GSTR 1'!$M$332:$M$448,Summaries!$A$68,'GSTR 1'!$A$332:$A$448,Summaries!$A106)</f>
        <v>0</v>
      </c>
      <c r="BW106" s="79">
        <f>SUMIFS('GSTR 1'!$H$332:$H$448,'GSTR 1'!$M$332:$M$448,Summaries!$A$68,'GSTR 1'!$A$332:$A$448,Summaries!$A106)</f>
        <v>0</v>
      </c>
      <c r="BX106" s="79">
        <f>SUMIFS('GSTR 1'!$I$332:$I$448,'GSTR 1'!$M$332:$M$448,Summaries!$A$68,'GSTR 1'!$A$332:$A$448,Summaries!$A106)</f>
        <v>0</v>
      </c>
      <c r="BY106" s="79">
        <f>SUMIFS('GSTR 1'!$J$332:$J$448,'GSTR 1'!$M$332:$M$448,Summaries!$A$68,'GSTR 1'!$A$332:$A$448,Summaries!$A106)</f>
        <v>0</v>
      </c>
      <c r="BZ106" s="79">
        <f>SUMIFS('GSTR 1'!$K$332:$K$448,'GSTR 1'!$M$332:$M$448,Summaries!$A$68,'GSTR 1'!$A$332:$A$448,Summaries!$A106)</f>
        <v>0</v>
      </c>
      <c r="CA106" s="80">
        <f>SUMIFS('GSTR 1'!$E$332:$E$448,'GSTR 1'!$M$332:$M$448,Summaries!$A$69,'GSTR 1'!$A$332:$A$448,Summaries!$A106)</f>
        <v>0</v>
      </c>
      <c r="CB106" s="80">
        <f>SUMIFS('GSTR 1'!$F$332:$F$448,'GSTR 1'!$M$332:$M$448,Summaries!$A$69,'GSTR 1'!$A$332:$A$448,Summaries!$A106)</f>
        <v>0</v>
      </c>
      <c r="CC106" s="80">
        <f>SUMIFS('GSTR 1'!$G$332:$G$448,'GSTR 1'!$M$332:$M$448,Summaries!$A$69,'GSTR 1'!$A$332:$A$448,Summaries!$A106)</f>
        <v>0</v>
      </c>
      <c r="CD106" s="80">
        <f>SUMIFS('GSTR 1'!$H$332:$H$448,'GSTR 1'!$M$332:$M$448,Summaries!$A$69,'GSTR 1'!$A$332:$A$448,Summaries!$A106)</f>
        <v>0</v>
      </c>
      <c r="CE106" s="80">
        <f>SUMIFS('GSTR 1'!$I$332:$I$448,'GSTR 1'!$M$332:$M$448,Summaries!$A$69,'GSTR 1'!$A$332:$A$448,Summaries!$A106)</f>
        <v>0</v>
      </c>
      <c r="CF106" s="80">
        <f>SUMIFS('GSTR 1'!$J$332:$J$448,'GSTR 1'!$M$332:$M$448,Summaries!$A$69,'GSTR 1'!$A$332:$A$448,Summaries!$A106)</f>
        <v>0</v>
      </c>
      <c r="CG106" s="80">
        <f>SUMIFS('GSTR 1'!$K$332:$K$448,'GSTR 1'!$M$332:$M$448,Summaries!$A$69,'GSTR 1'!$A$332:$A$448,Summaries!$A106)</f>
        <v>0</v>
      </c>
      <c r="CH106" s="79">
        <f>SUMIFS('GSTR 1'!$E$332:$E$448,'GSTR 1'!$M$332:$M$448,Summaries!$A$70,'GSTR 1'!$A$332:$A$448,Summaries!$A106)</f>
        <v>0</v>
      </c>
      <c r="CI106" s="79">
        <f>SUMIFS('GSTR 1'!$F$332:$F$448,'GSTR 1'!$M$332:$M$448,Summaries!$A$70,'GSTR 1'!$A$332:$A$448,Summaries!$A106)</f>
        <v>0</v>
      </c>
      <c r="CJ106" s="79">
        <f>SUMIFS('GSTR 1'!$G$332:$G$448,'GSTR 1'!$M$332:$M$448,Summaries!$A$70,'GSTR 1'!$A$332:$A$448,Summaries!$A106)</f>
        <v>0</v>
      </c>
      <c r="CK106" s="79">
        <f>SUMIFS('GSTR 1'!$H$332:$H$448,'GSTR 1'!$M$332:$M$448,Summaries!$A$70,'GSTR 1'!$A$332:$A$448,Summaries!$A106)</f>
        <v>0</v>
      </c>
      <c r="CL106" s="79">
        <f>SUMIFS('GSTR 1'!$I$332:$I$448,'GSTR 1'!$M$332:$M$448,Summaries!$A$70,'GSTR 1'!$A$332:$A$448,Summaries!$A106)</f>
        <v>0</v>
      </c>
      <c r="CM106" s="79">
        <f>SUMIFS('GSTR 1'!$J$332:$J$448,'GSTR 1'!$M$332:$M$448,Summaries!$A$70,'GSTR 1'!$A$332:$A$448,Summaries!$A106)</f>
        <v>0</v>
      </c>
      <c r="CN106" s="79">
        <f>SUMIFS('GSTR 1'!$K$332:$K$448,'GSTR 1'!$M$332:$M$448,Summaries!$A$70,'GSTR 1'!$A$332:$A$448,Summaries!$A106)</f>
        <v>0</v>
      </c>
      <c r="CO106" s="80">
        <f>SUMIFS('GSTR 1'!$E$332:$E$448,'GSTR 1'!$M$332:$M$448,Summaries!$A$71,'GSTR 1'!$A$332:$A$448,Summaries!$A106)</f>
        <v>0</v>
      </c>
      <c r="CP106" s="80">
        <f>SUMIFS('GSTR 1'!$F$332:$F$448,'GSTR 1'!$M$332:$M$448,Summaries!$A$71,'GSTR 1'!$A$332:$A$448,Summaries!$A106)</f>
        <v>0</v>
      </c>
      <c r="CQ106" s="80">
        <f>SUMIFS('GSTR 1'!$G$332:$G$448,'GSTR 1'!$M$332:$M$448,Summaries!$A$71,'GSTR 1'!$A$332:$A$448,Summaries!$A106)</f>
        <v>0</v>
      </c>
      <c r="CR106" s="80">
        <f>SUMIFS('GSTR 1'!$H$332:$H$448,'GSTR 1'!$M$332:$M$448,Summaries!$A$71,'GSTR 1'!$A$332:$A$448,Summaries!$A106)</f>
        <v>0</v>
      </c>
      <c r="CS106" s="80">
        <f>SUMIFS('GSTR 1'!$I$332:$I$448,'GSTR 1'!$M$332:$M$448,Summaries!$A$71,'GSTR 1'!$A$332:$A$448,Summaries!$A106)</f>
        <v>0</v>
      </c>
      <c r="CT106" s="80">
        <f>SUMIFS('GSTR 1'!$J$332:$J$448,'GSTR 1'!$M$332:$M$448,Summaries!$A$71,'GSTR 1'!$A$332:$A$448,Summaries!$A106)</f>
        <v>0</v>
      </c>
      <c r="CU106" s="80">
        <f>SUMIFS('GSTR 1'!$K$332:$K$448,'GSTR 1'!$M$332:$M$448,Summaries!$A$71,'GSTR 1'!$A$332:$A$448,Summaries!$A106)</f>
        <v>0</v>
      </c>
      <c r="CV106" s="79">
        <f>SUMIFS('GSTR 1'!$E$332:$E$448,'GSTR 1'!$M$332:$M$448,Summaries!$A$72,'GSTR 1'!$A$332:$A$448,Summaries!$A106)</f>
        <v>0</v>
      </c>
      <c r="CW106" s="79">
        <f>SUMIFS('GSTR 1'!$F$332:$F$448,'GSTR 1'!$M$332:$M$448,Summaries!$A$72,'GSTR 1'!$A$332:$A$448,Summaries!$A106)</f>
        <v>0</v>
      </c>
      <c r="CX106" s="79">
        <f>SUMIFS('GSTR 1'!$G$332:$G$448,'GSTR 1'!$M$332:$M$448,Summaries!$A$72,'GSTR 1'!$A$332:$A$448,Summaries!$A106)</f>
        <v>0</v>
      </c>
      <c r="CY106" s="79">
        <f>SUMIFS('GSTR 1'!$H$332:$H$448,'GSTR 1'!$M$332:$M$448,Summaries!$A$72,'GSTR 1'!$A$332:$A$448,Summaries!$A106)</f>
        <v>0</v>
      </c>
      <c r="CZ106" s="79">
        <f>SUMIFS('GSTR 1'!$I$332:$I$448,'GSTR 1'!$M$332:$M$448,Summaries!$A$72,'GSTR 1'!$A$332:$A$448,Summaries!$A106)</f>
        <v>0</v>
      </c>
      <c r="DA106" s="79">
        <f>SUMIFS('GSTR 1'!$J$332:$J$448,'GSTR 1'!$M$332:$M$448,Summaries!$A$72,'GSTR 1'!$A$332:$A$448,Summaries!$A106)</f>
        <v>0</v>
      </c>
      <c r="DB106" s="79">
        <f>SUMIFS('GSTR 1'!$K$332:$K$448,'GSTR 1'!$M$332:$M$448,Summaries!$A$72,'GSTR 1'!$A$332:$A$448,Summaries!$A106)</f>
        <v>0</v>
      </c>
      <c r="DC106" s="80">
        <f>SUMIFS('GSTR 1'!$E$332:$E$448,'GSTR 1'!$M$332:$M$448,Summaries!$A$73,'GSTR 1'!$A$332:$A$448,Summaries!$A106)</f>
        <v>0</v>
      </c>
      <c r="DD106" s="80">
        <f>SUMIFS('GSTR 1'!$F$332:$F$448,'GSTR 1'!$M$332:$M$448,Summaries!$A$73,'GSTR 1'!$A$332:$A$448,Summaries!$A106)</f>
        <v>0</v>
      </c>
      <c r="DE106" s="80">
        <f>SUMIFS('GSTR 1'!$G$332:$G$448,'GSTR 1'!$M$332:$M$448,Summaries!$A$73,'GSTR 1'!$A$332:$A$448,Summaries!$A106)</f>
        <v>0</v>
      </c>
      <c r="DF106" s="80">
        <f>SUMIFS('GSTR 1'!$H$332:$H$448,'GSTR 1'!$M$332:$M$448,Summaries!$A$73,'GSTR 1'!$A$332:$A$448,Summaries!$A106)</f>
        <v>0</v>
      </c>
      <c r="DG106" s="80">
        <f>SUMIFS('GSTR 1'!$I$332:$I$448,'GSTR 1'!$M$332:$M$448,Summaries!$A$73,'GSTR 1'!$A$332:$A$448,Summaries!$A106)</f>
        <v>0</v>
      </c>
      <c r="DH106" s="80">
        <f>SUMIFS('GSTR 1'!$J$332:$J$448,'GSTR 1'!$M$332:$M$448,Summaries!$A$73,'GSTR 1'!$A$332:$A$448,Summaries!$A106)</f>
        <v>0</v>
      </c>
      <c r="DI106" s="80">
        <f>SUMIFS('GSTR 1'!$K$332:$K$448,'GSTR 1'!$M$332:$M$448,Summaries!$A$73,'GSTR 1'!$A$332:$A$448,Summaries!$A106)</f>
        <v>0</v>
      </c>
      <c r="DJ106" s="79">
        <f>SUMIFS('GSTR 1'!$E$332:$E$448,'GSTR 1'!$M$332:$M$448,Summaries!$A$74,'GSTR 1'!$A$332:$A$448,Summaries!$A106)</f>
        <v>0</v>
      </c>
      <c r="DK106" s="79">
        <f>SUMIFS('GSTR 1'!$F$332:$F$448,'GSTR 1'!$M$332:$M$448,Summaries!$A$74,'GSTR 1'!$A$332:$A$448,Summaries!$A106)</f>
        <v>0</v>
      </c>
      <c r="DL106" s="79">
        <f>SUMIFS('GSTR 1'!$G$332:$G$448,'GSTR 1'!$M$332:$M$448,Summaries!$A$74,'GSTR 1'!$A$332:$A$448,Summaries!$A106)</f>
        <v>0</v>
      </c>
      <c r="DM106" s="79">
        <f>SUMIFS('GSTR 1'!$H$332:$H$448,'GSTR 1'!$M$332:$M$448,Summaries!$A$74,'GSTR 1'!$A$332:$A$448,Summaries!$A106)</f>
        <v>0</v>
      </c>
      <c r="DN106" s="79">
        <f>SUMIFS('GSTR 1'!$I$332:$I$448,'GSTR 1'!$M$332:$M$448,Summaries!$A$74,'GSTR 1'!$A$332:$A$448,Summaries!$A106)</f>
        <v>0</v>
      </c>
      <c r="DO106" s="79">
        <f>SUMIFS('GSTR 1'!$J$332:$J$448,'GSTR 1'!$M$332:$M$448,Summaries!$A$74,'GSTR 1'!$A$332:$A$448,Summaries!$A106)</f>
        <v>0</v>
      </c>
      <c r="DP106" s="79">
        <f>SUMIFS('GSTR 1'!$K$332:$K$448,'GSTR 1'!$M$332:$M$448,Summaries!$A$74,'GSTR 1'!$A$332:$A$448,Summaries!$A106)</f>
        <v>0</v>
      </c>
      <c r="DQ106" s="80">
        <f>SUMIFS('GSTR 1'!$E$332:$E$448,'GSTR 1'!$M$332:$M$448,Summaries!$A$75,'GSTR 1'!$A$332:$A$448,Summaries!$A106)</f>
        <v>0</v>
      </c>
      <c r="DR106" s="80">
        <f>SUMIFS('GSTR 1'!$F$332:$F$448,'GSTR 1'!$M$332:$M$448,Summaries!$A$75,'GSTR 1'!$A$332:$A$448,Summaries!$A106)</f>
        <v>0</v>
      </c>
      <c r="DS106" s="80">
        <f>SUMIFS('GSTR 1'!$G$332:$G$448,'GSTR 1'!$M$332:$M$448,Summaries!$A$75,'GSTR 1'!$A$332:$A$448,Summaries!$A106)</f>
        <v>0</v>
      </c>
      <c r="DT106" s="80">
        <f>SUMIFS('GSTR 1'!$H$332:$H$448,'GSTR 1'!$M$332:$M$448,Summaries!$A$75,'GSTR 1'!$A$332:$A$448,Summaries!$A106)</f>
        <v>0</v>
      </c>
      <c r="DU106" s="80">
        <f>SUMIFS('GSTR 1'!$I$332:$I$448,'GSTR 1'!$M$332:$M$448,Summaries!$A$75,'GSTR 1'!$A$332:$A$448,Summaries!$A106)</f>
        <v>0</v>
      </c>
      <c r="DV106" s="80">
        <f>SUMIFS('GSTR 1'!$J$332:$J$448,'GSTR 1'!$M$332:$M$448,Summaries!$A$75,'GSTR 1'!$A$332:$A$448,Summaries!$A106)</f>
        <v>0</v>
      </c>
      <c r="DW106" s="80">
        <f>SUMIFS('GSTR 1'!$K$332:$K$448,'GSTR 1'!$M$332:$M$448,Summaries!$A$75,'GSTR 1'!$A$332:$A$448,Summaries!$A106)</f>
        <v>0</v>
      </c>
      <c r="DX106" s="79">
        <f>SUMIFS('GSTR 1'!$E$332:$E$448,'GSTR 1'!$M$332:$M$448,Summaries!$A$76,'GSTR 1'!$A$332:$A$448,Summaries!$A106)</f>
        <v>0</v>
      </c>
      <c r="DY106" s="79">
        <f>SUMIFS('GSTR 1'!$F$332:$F$448,'GSTR 1'!$M$332:$M$448,Summaries!$A$76,'GSTR 1'!$A$332:$A$448,Summaries!$A106)</f>
        <v>0</v>
      </c>
      <c r="DZ106" s="79">
        <f>SUMIFS('GSTR 1'!$G$332:$G$448,'GSTR 1'!$M$332:$M$448,Summaries!$A$76,'GSTR 1'!$A$332:$A$448,Summaries!$A106)</f>
        <v>0</v>
      </c>
      <c r="EA106" s="79">
        <f>SUMIFS('GSTR 1'!$H$332:$H$448,'GSTR 1'!$M$332:$M$448,Summaries!$A$76,'GSTR 1'!$A$332:$A$448,Summaries!$A106)</f>
        <v>0</v>
      </c>
      <c r="EB106" s="79">
        <f>SUMIFS('GSTR 1'!$I$332:$I$448,'GSTR 1'!$M$332:$M$448,Summaries!$A$76,'GSTR 1'!$A$332:$A$448,Summaries!$A106)</f>
        <v>0</v>
      </c>
      <c r="EC106" s="79">
        <f>SUMIFS('GSTR 1'!$J$332:$J$448,'GSTR 1'!$M$332:$M$448,Summaries!$A$76,'GSTR 1'!$A$332:$A$448,Summaries!$A106)</f>
        <v>0</v>
      </c>
      <c r="ED106" s="79">
        <f>SUMIFS('GSTR 1'!$K$332:$K$448,'GSTR 1'!$M$332:$M$448,Summaries!$A$76,'GSTR 1'!$A$332:$A$448,Summaries!$A106)</f>
        <v>0</v>
      </c>
      <c r="EE106" s="80">
        <f>SUMIFS('GSTR 1'!$E$332:$E$448,'GSTR 1'!$M$332:$M$448,Summaries!$A$77,'GSTR 1'!$A$332:$A$448,Summaries!$A106)</f>
        <v>0</v>
      </c>
      <c r="EF106" s="80">
        <f>SUMIFS('GSTR 1'!$F$332:$F$448,'GSTR 1'!$M$332:$M$448,Summaries!$A$77,'GSTR 1'!$A$332:$A$448,Summaries!$A106)</f>
        <v>0</v>
      </c>
      <c r="EG106" s="80">
        <f>SUMIFS('GSTR 1'!$G$332:$G$448,'GSTR 1'!$M$332:$M$448,Summaries!$A$77,'GSTR 1'!$A$332:$A$448,Summaries!$A106)</f>
        <v>0</v>
      </c>
      <c r="EH106" s="80">
        <f>SUMIFS('GSTR 1'!$H$332:$H$448,'GSTR 1'!$M$332:$M$448,Summaries!$A$77,'GSTR 1'!$A$332:$A$448,Summaries!$A106)</f>
        <v>0</v>
      </c>
      <c r="EI106" s="80">
        <f>SUMIFS('GSTR 1'!$I$332:$I$448,'GSTR 1'!$M$332:$M$448,Summaries!$A$77,'GSTR 1'!$A$332:$A$448,Summaries!$A106)</f>
        <v>0</v>
      </c>
      <c r="EJ106" s="80">
        <f>SUMIFS('GSTR 1'!$J$332:$J$448,'GSTR 1'!$M$332:$M$448,Summaries!$A$77,'GSTR 1'!$A$332:$A$448,Summaries!$A106)</f>
        <v>0</v>
      </c>
      <c r="EK106" s="80">
        <f>SUMIFS('GSTR 1'!$K$332:$K$448,'GSTR 1'!$M$332:$M$448,Summaries!$A$77,'GSTR 1'!$A$332:$A$448,Summaries!$A106)</f>
        <v>0</v>
      </c>
      <c r="EL106" s="79">
        <f>SUMIFS('GSTR 1'!$E$332:$E$448,'GSTR 1'!$M$332:$M$448,Summaries!$A$78,'GSTR 1'!$A$332:$A$448,Summaries!$A106)</f>
        <v>0</v>
      </c>
      <c r="EM106" s="79">
        <f>SUMIFS('GSTR 1'!$F$332:$F$448,'GSTR 1'!$M$332:$M$448,Summaries!$A$78,'GSTR 1'!$A$332:$A$448,Summaries!$A106)</f>
        <v>0</v>
      </c>
      <c r="EN106" s="79">
        <f>SUMIFS('GSTR 1'!$G$332:$G$448,'GSTR 1'!$M$332:$M$448,Summaries!$A$78,'GSTR 1'!$A$332:$A$448,Summaries!$A106)</f>
        <v>0</v>
      </c>
      <c r="EO106" s="79">
        <f>SUMIFS('GSTR 1'!$H$332:$H$448,'GSTR 1'!$M$332:$M$448,Summaries!$A$78,'GSTR 1'!$A$332:$A$448,Summaries!$A106)</f>
        <v>0</v>
      </c>
      <c r="EP106" s="79">
        <f>SUMIFS('GSTR 1'!$I$332:$I$448,'GSTR 1'!$M$332:$M$448,Summaries!$A$78,'GSTR 1'!$A$332:$A$448,Summaries!$A106)</f>
        <v>0</v>
      </c>
      <c r="EQ106" s="79">
        <f>SUMIFS('GSTR 1'!$J$332:$J$448,'GSTR 1'!$M$332:$M$448,Summaries!$A$78,'GSTR 1'!$A$332:$A$448,Summaries!$A106)</f>
        <v>0</v>
      </c>
      <c r="ER106" s="79">
        <f>SUMIFS('GSTR 1'!$K$332:$K$448,'GSTR 1'!$M$332:$M$448,Summaries!$A$78,'GSTR 1'!$A$332:$A$448,Summaries!$A106)</f>
        <v>0</v>
      </c>
      <c r="ES106" s="80">
        <f>SUMIFS('GSTR 1'!$E$332:$E$448,'GSTR 1'!$M$332:$M$448,Summaries!$A$79,'GSTR 1'!$A$332:$A$448,Summaries!$A106)</f>
        <v>0</v>
      </c>
      <c r="ET106" s="80">
        <f>SUMIFS('GSTR 1'!$F$332:$F$448,'GSTR 1'!$M$332:$M$448,Summaries!$A$79,'GSTR 1'!$A$332:$A$448,Summaries!$A106)</f>
        <v>0</v>
      </c>
      <c r="EU106" s="80">
        <f>SUMIFS('GSTR 1'!$G$332:$G$448,'GSTR 1'!$M$332:$M$448,Summaries!$A$79,'GSTR 1'!$A$332:$A$448,Summaries!$A106)</f>
        <v>0</v>
      </c>
      <c r="EV106" s="80">
        <f>SUMIFS('GSTR 1'!$H$332:$H$448,'GSTR 1'!$M$332:$M$448,Summaries!$A$79,'GSTR 1'!$A$332:$A$448,Summaries!$A106)</f>
        <v>0</v>
      </c>
      <c r="EW106" s="80">
        <f>SUMIFS('GSTR 1'!$I$332:$I$448,'GSTR 1'!$M$332:$M$448,Summaries!$A$79,'GSTR 1'!$A$332:$A$448,Summaries!$A106)</f>
        <v>0</v>
      </c>
      <c r="EX106" s="80">
        <f>SUMIFS('GSTR 1'!$J$332:$J$448,'GSTR 1'!$M$332:$M$448,Summaries!$A$79,'GSTR 1'!$A$332:$A$448,Summaries!$A106)</f>
        <v>0</v>
      </c>
      <c r="EY106" s="80">
        <f>SUMIFS('GSTR 1'!$K$332:$K$448,'GSTR 1'!$M$332:$M$448,Summaries!$A$79,'GSTR 1'!$A$332:$A$448,Summaries!$A106)</f>
        <v>0</v>
      </c>
      <c r="EZ106" s="79">
        <f>SUMIFS('GSTR 1'!$E$332:$E$448,'GSTR 1'!$M$332:$M$448,Summaries!$A$80,'GSTR 1'!$A$332:$A$448,Summaries!$A106)</f>
        <v>0</v>
      </c>
      <c r="FA106" s="79">
        <f>SUMIFS('GSTR 1'!$F$332:$F$448,'GSTR 1'!$M$332:$M$448,Summaries!$A$80,'GSTR 1'!$A$332:$A$448,Summaries!$A106)</f>
        <v>0</v>
      </c>
      <c r="FB106" s="79">
        <f>SUMIFS('GSTR 1'!$G$332:$G$448,'GSTR 1'!$M$332:$M$448,Summaries!$A$80,'GSTR 1'!$A$332:$A$448,Summaries!$A106)</f>
        <v>0</v>
      </c>
      <c r="FC106" s="79">
        <f>SUMIFS('GSTR 1'!$H$332:$H$448,'GSTR 1'!$M$332:$M$448,Summaries!$A$80,'GSTR 1'!$A$332:$A$448,Summaries!$A106)</f>
        <v>0</v>
      </c>
      <c r="FD106" s="79">
        <f>SUMIFS('GSTR 1'!$I$332:$I$448,'GSTR 1'!$M$332:$M$448,Summaries!$A$80,'GSTR 1'!$A$332:$A$448,Summaries!$A106)</f>
        <v>0</v>
      </c>
      <c r="FE106" s="79">
        <f>SUMIFS('GSTR 1'!$J$332:$J$448,'GSTR 1'!$M$332:$M$448,Summaries!$A$80,'GSTR 1'!$A$332:$A$448,Summaries!$A106)</f>
        <v>0</v>
      </c>
      <c r="FF106" s="79">
        <f>SUMIFS('GSTR 1'!$K$332:$K$448,'GSTR 1'!$M$332:$M$448,Summaries!$A$80,'GSTR 1'!$A$332:$A$448,Summaries!$A106)</f>
        <v>0</v>
      </c>
      <c r="FG106" s="80">
        <f>SUMIFS('GSTR 1'!$E$332:$E$448,'GSTR 1'!$M$332:$M$448,Summaries!$A$81,'GSTR 1'!$A$332:$A$448,Summaries!$A106)</f>
        <v>0</v>
      </c>
      <c r="FH106" s="80">
        <f>SUMIFS('GSTR 1'!$F$332:$F$448,'GSTR 1'!$M$332:$M$448,Summaries!$A$81,'GSTR 1'!$A$332:$A$448,Summaries!$A106)</f>
        <v>0</v>
      </c>
      <c r="FI106" s="80">
        <f>SUMIFS('GSTR 1'!$G$332:$G$448,'GSTR 1'!$M$332:$M$448,Summaries!$A$81,'GSTR 1'!$A$332:$A$448,Summaries!$A106)</f>
        <v>0</v>
      </c>
      <c r="FJ106" s="80">
        <f>SUMIFS('GSTR 1'!$H$332:$H$448,'GSTR 1'!$M$332:$M$448,Summaries!$A$81,'GSTR 1'!$A$332:$A$448,Summaries!$A106)</f>
        <v>0</v>
      </c>
      <c r="FK106" s="80">
        <f>SUMIFS('GSTR 1'!$I$332:$I$448,'GSTR 1'!$M$332:$M$448,Summaries!$A$81,'GSTR 1'!$A$332:$A$448,Summaries!$A106)</f>
        <v>0</v>
      </c>
      <c r="FL106" s="80">
        <f>SUMIFS('GSTR 1'!$J$332:$J$448,'GSTR 1'!$M$332:$M$448,Summaries!$A$81,'GSTR 1'!$A$332:$A$448,Summaries!$A106)</f>
        <v>0</v>
      </c>
      <c r="FM106" s="80">
        <f>SUMIFS('GSTR 1'!$K$332:$K$448,'GSTR 1'!$M$332:$M$448,Summaries!$A$81,'GSTR 1'!$A$332:$A$448,Summaries!$A106)</f>
        <v>0</v>
      </c>
      <c r="FN106" s="79">
        <f>SUMIFS('GSTR 1'!$E$332:$E$448,'GSTR 1'!$M$332:$M$448,Summaries!$A$82,'GSTR 1'!$A$332:$A$448,Summaries!$A106)</f>
        <v>0</v>
      </c>
      <c r="FO106" s="79">
        <f>SUMIFS('GSTR 1'!$F$332:$F$448,'GSTR 1'!$M$332:$M$448,Summaries!$A$82,'GSTR 1'!$A$332:$A$448,Summaries!$A106)</f>
        <v>0</v>
      </c>
      <c r="FP106" s="79">
        <f>SUMIFS('GSTR 1'!$G$332:$G$448,'GSTR 1'!$M$332:$M$448,Summaries!$A$82,'GSTR 1'!$A$332:$A$448,Summaries!$A106)</f>
        <v>0</v>
      </c>
      <c r="FQ106" s="79">
        <f>SUMIFS('GSTR 1'!$H$332:$H$448,'GSTR 1'!$M$332:$M$448,Summaries!$A$82,'GSTR 1'!$A$332:$A$448,Summaries!$A106)</f>
        <v>0</v>
      </c>
      <c r="FR106" s="79">
        <f>SUMIFS('GSTR 1'!$I$332:$I$448,'GSTR 1'!$M$332:$M$448,Summaries!$A$82,'GSTR 1'!$A$332:$A$448,Summaries!$A106)</f>
        <v>0</v>
      </c>
      <c r="FS106" s="79">
        <f>SUMIFS('GSTR 1'!$J$332:$J$448,'GSTR 1'!$M$332:$M$448,Summaries!$A$82,'GSTR 1'!$A$332:$A$448,Summaries!$A106)</f>
        <v>0</v>
      </c>
      <c r="FT106" s="79">
        <f>SUMIFS('GSTR 1'!$K$332:$K$448,'GSTR 1'!$M$332:$M$448,Summaries!$A$82,'GSTR 1'!$A$332:$A$448,Summaries!$A106)</f>
        <v>0</v>
      </c>
      <c r="FU106" s="80">
        <f>SUMIFS('GSTR 1'!$E$332:$E$448,'GSTR 1'!$M$332:$M$448,Summaries!$A$83,'GSTR 1'!$A$332:$A$448,Summaries!$A106)</f>
        <v>0</v>
      </c>
      <c r="FV106" s="80">
        <f>SUMIFS('GSTR 1'!$F$332:$F$448,'GSTR 1'!$M$332:$M$448,Summaries!$A$83,'GSTR 1'!$A$332:$A$448,Summaries!$A106)</f>
        <v>0</v>
      </c>
      <c r="FW106" s="80">
        <f>SUMIFS('GSTR 1'!$G$332:$G$448,'GSTR 1'!$M$332:$M$448,Summaries!$A$83,'GSTR 1'!$A$332:$A$448,Summaries!$A106)</f>
        <v>0</v>
      </c>
      <c r="FX106" s="80">
        <f>SUMIFS('GSTR 1'!$H$332:$H$448,'GSTR 1'!$M$332:$M$448,Summaries!$A$83,'GSTR 1'!$A$332:$A$448,Summaries!$A106)</f>
        <v>0</v>
      </c>
      <c r="FY106" s="80">
        <f>SUMIFS('GSTR 1'!$I$332:$I$448,'GSTR 1'!$M$332:$M$448,Summaries!$A$83,'GSTR 1'!$A$332:$A$448,Summaries!$A106)</f>
        <v>0</v>
      </c>
      <c r="FZ106" s="80">
        <f>SUMIFS('GSTR 1'!$J$332:$J$448,'GSTR 1'!$M$332:$M$448,Summaries!$A$83,'GSTR 1'!$A$332:$A$448,Summaries!$A106)</f>
        <v>0</v>
      </c>
      <c r="GA106" s="80">
        <f>SUMIFS('GSTR 1'!$K$332:$K$448,'GSTR 1'!$M$332:$M$448,Summaries!$A$83,'GSTR 1'!$A$332:$A$448,Summaries!$A106)</f>
        <v>0</v>
      </c>
      <c r="GB106" s="79">
        <f>SUMIFS('GSTR 1'!$E$332:$E$448,'GSTR 1'!$M$332:$M$448,Summaries!$A$84,'GSTR 1'!$A$332:$A$448,Summaries!$A106)</f>
        <v>0</v>
      </c>
      <c r="GC106" s="79">
        <f>SUMIFS('GSTR 1'!$F$332:$F$448,'GSTR 1'!$M$332:$M$448,Summaries!$A$84,'GSTR 1'!$A$332:$A$448,Summaries!$A106)</f>
        <v>0</v>
      </c>
      <c r="GD106" s="79">
        <f>SUMIFS('GSTR 1'!$G$332:$G$448,'GSTR 1'!$M$332:$M$448,Summaries!$A$84,'GSTR 1'!$A$332:$A$448,Summaries!$A106)</f>
        <v>0</v>
      </c>
      <c r="GE106" s="79">
        <f>SUMIFS('GSTR 1'!$H$332:$H$448,'GSTR 1'!$M$332:$M$448,Summaries!$A$84,'GSTR 1'!$A$332:$A$448,Summaries!$A106)</f>
        <v>0</v>
      </c>
      <c r="GF106" s="79">
        <f>SUMIFS('GSTR 1'!$I$332:$I$448,'GSTR 1'!$M$332:$M$448,Summaries!$A$84,'GSTR 1'!$A$332:$A$448,Summaries!$A106)</f>
        <v>0</v>
      </c>
      <c r="GG106" s="79">
        <f>SUMIFS('GSTR 1'!$J$332:$J$448,'GSTR 1'!$M$332:$M$448,Summaries!$A$84,'GSTR 1'!$A$332:$A$448,Summaries!$A106)</f>
        <v>0</v>
      </c>
      <c r="GH106" s="79">
        <f>SUMIFS('GSTR 1'!$K$332:$K$448,'GSTR 1'!$M$332:$M$448,Summaries!$A$84,'GSTR 1'!$A$332:$A$448,Summaries!$A106)</f>
        <v>0</v>
      </c>
      <c r="GI106" s="80">
        <f>SUMIFS('GSTR 1'!$E$332:$E$448,'GSTR 1'!$M$332:$M$448,Summaries!$A$85,'GSTR 1'!$A$332:$A$448,Summaries!$A106)</f>
        <v>0</v>
      </c>
      <c r="GJ106" s="80">
        <f>SUMIFS('GSTR 1'!$F$332:$F$448,'GSTR 1'!$M$332:$M$448,Summaries!$A$85,'GSTR 1'!$A$332:$A$448,Summaries!$A106)</f>
        <v>0</v>
      </c>
      <c r="GK106" s="80">
        <f>SUMIFS('GSTR 1'!$G$332:$G$448,'GSTR 1'!$M$332:$M$448,Summaries!$A$85,'GSTR 1'!$A$332:$A$448,Summaries!$A106)</f>
        <v>0</v>
      </c>
      <c r="GL106" s="80">
        <f>SUMIFS('GSTR 1'!$H$332:$H$448,'GSTR 1'!$M$332:$M$448,Summaries!$A$85,'GSTR 1'!$A$332:$A$448,Summaries!$A106)</f>
        <v>0</v>
      </c>
      <c r="GM106" s="80">
        <f>SUMIFS('GSTR 1'!$I$332:$I$448,'GSTR 1'!$M$332:$M$448,Summaries!$A$85,'GSTR 1'!$A$332:$A$448,Summaries!$A106)</f>
        <v>0</v>
      </c>
      <c r="GN106" s="80">
        <f>SUMIFS('GSTR 1'!$J$332:$J$448,'GSTR 1'!$M$332:$M$448,Summaries!$A$85,'GSTR 1'!$A$332:$A$448,Summaries!$A106)</f>
        <v>0</v>
      </c>
      <c r="GO106" s="80">
        <f>SUMIFS('GSTR 1'!$K$332:$K$448,'GSTR 1'!$M$332:$M$448,Summaries!$A$85,'GSTR 1'!$A$332:$A$448,Summaries!$A106)</f>
        <v>0</v>
      </c>
      <c r="GP106" s="79">
        <f>SUMIFS('GSTR 1'!$E$332:$E$448,'GSTR 1'!$M$332:$M$448,Summaries!$A$86,'GSTR 1'!$A$332:$A$448,Summaries!$A106)</f>
        <v>0</v>
      </c>
      <c r="GQ106" s="79">
        <f>SUMIFS('GSTR 1'!$F$332:$F$448,'GSTR 1'!$M$332:$M$448,Summaries!$A$86,'GSTR 1'!$A$332:$A$448,Summaries!$A106)</f>
        <v>0</v>
      </c>
      <c r="GR106" s="79">
        <f>SUMIFS('GSTR 1'!$G$332:$G$448,'GSTR 1'!$M$332:$M$448,Summaries!$A$86,'GSTR 1'!$A$332:$A$448,Summaries!$A106)</f>
        <v>0</v>
      </c>
      <c r="GS106" s="79">
        <f>SUMIFS('GSTR 1'!$H$332:$H$448,'GSTR 1'!$M$332:$M$448,Summaries!$A$86,'GSTR 1'!$A$332:$A$448,Summaries!$A106)</f>
        <v>0</v>
      </c>
      <c r="GT106" s="79">
        <f>SUMIFS('GSTR 1'!$I$332:$I$448,'GSTR 1'!$M$332:$M$448,Summaries!$A$86,'GSTR 1'!$A$332:$A$448,Summaries!$A106)</f>
        <v>0</v>
      </c>
      <c r="GU106" s="79">
        <f>SUMIFS('GSTR 1'!$J$332:$J$448,'GSTR 1'!$M$332:$M$448,Summaries!$A$86,'GSTR 1'!$A$332:$A$448,Summaries!$A106)</f>
        <v>0</v>
      </c>
      <c r="GV106" s="79">
        <f>SUMIFS('GSTR 1'!$K$332:$K$448,'GSTR 1'!$M$332:$M$448,Summaries!$A$86,'GSTR 1'!$A$332:$A$448,Summaries!$A106)</f>
        <v>0</v>
      </c>
      <c r="GW106" s="80">
        <f>SUMIFS('GSTR 1'!$E$332:$E$448,'GSTR 1'!$M$332:$M$448,Summaries!$A$87,'GSTR 1'!$A$332:$A$448,Summaries!$A106)</f>
        <v>0</v>
      </c>
      <c r="GX106" s="80">
        <f>SUMIFS('GSTR 1'!$F$332:$F$448,'GSTR 1'!$M$332:$M$448,Summaries!$A$87,'GSTR 1'!$A$332:$A$448,Summaries!$A106)</f>
        <v>0</v>
      </c>
      <c r="GY106" s="80">
        <f>SUMIFS('GSTR 1'!$G$332:$G$448,'GSTR 1'!$M$332:$M$448,Summaries!$A$87,'GSTR 1'!$A$332:$A$448,Summaries!$A106)</f>
        <v>0</v>
      </c>
      <c r="GZ106" s="80">
        <f>SUMIFS('GSTR 1'!$H$332:$H$448,'GSTR 1'!$M$332:$M$448,Summaries!$A$87,'GSTR 1'!$A$332:$A$448,Summaries!$A106)</f>
        <v>0</v>
      </c>
      <c r="HA106" s="80">
        <f>SUMIFS('GSTR 1'!$I$332:$I$448,'GSTR 1'!$M$332:$M$448,Summaries!$A$87,'GSTR 1'!$A$332:$A$448,Summaries!$A106)</f>
        <v>0</v>
      </c>
      <c r="HB106" s="80">
        <f>SUMIFS('GSTR 1'!$J$332:$J$448,'GSTR 1'!$M$332:$M$448,Summaries!$A$87,'GSTR 1'!$A$332:$A$448,Summaries!$A106)</f>
        <v>0</v>
      </c>
      <c r="HC106" s="80">
        <f>SUMIFS('GSTR 1'!$K$332:$K$448,'GSTR 1'!$M$332:$M$448,Summaries!$A$87,'GSTR 1'!$A$332:$A$448,Summaries!$A106)</f>
        <v>0</v>
      </c>
    </row>
    <row r="107" spans="1:211" x14ac:dyDescent="0.3">
      <c r="A107" s="78">
        <f>DATE(INT(LEFT($B$3,4))+1,1,1)</f>
        <v>46023</v>
      </c>
      <c r="B107" s="79">
        <f>SUMIFS('GSTR 1'!$E$332:$E$448,'GSTR 1'!$M$332:$M$448,Summaries!$A$58,'GSTR 1'!$A$332:$A$448,Summaries!A107)</f>
        <v>0</v>
      </c>
      <c r="C107" s="79">
        <f>SUMIFS('GSTR 1'!$F$332:$F$448,'GSTR 1'!$M$332:$M$448,Summaries!$A$58,'GSTR 1'!$A$332:$A$448,Summaries!A107)</f>
        <v>0</v>
      </c>
      <c r="D107" s="79">
        <f>SUMIFS('GSTR 1'!$G$332:$G$448,'GSTR 1'!$M$332:$M$448,Summaries!$A$58,'GSTR 1'!$A$332:$A$448,Summaries!A107)</f>
        <v>0</v>
      </c>
      <c r="E107" s="79">
        <f>SUMIFS('GSTR 1'!$H$332:$H$448,'GSTR 1'!$M$332:$M$448,Summaries!$A$58,'GSTR 1'!$A$332:$A$448,Summaries!A107)</f>
        <v>0</v>
      </c>
      <c r="F107" s="79">
        <f>SUMIFS('GSTR 1'!$I$332:$I$448,'GSTR 1'!$M$332:$M$448,Summaries!$A$58,'GSTR 1'!$A$332:$A$448,Summaries!A107)</f>
        <v>0</v>
      </c>
      <c r="G107" s="79">
        <f>SUMIFS('GSTR 1'!$J$332:$J$448,'GSTR 1'!$M$332:$M$448,Summaries!$A$58,'GSTR 1'!$A$332:$A$448,Summaries!A107)</f>
        <v>0</v>
      </c>
      <c r="H107" s="79">
        <f>SUMIFS('GSTR 1'!$K$332:$K$448,'GSTR 1'!$M$332:$M$448,Summaries!$A$58,'GSTR 1'!$A$332:$A$448,Summaries!A107)</f>
        <v>0</v>
      </c>
      <c r="I107" s="80">
        <f>SUMIFS('GSTR 1'!$E$332:$E$448,'GSTR 1'!$M$332:$M$448,Summaries!$A$59,'GSTR 1'!$A$332:$A$448,Summaries!$A107)</f>
        <v>0</v>
      </c>
      <c r="J107" s="80">
        <f>SUMIFS('GSTR 1'!$F$332:$F$448,'GSTR 1'!$M$332:$M$448,Summaries!$A$59,'GSTR 1'!$A$332:$A$448,Summaries!$A107)</f>
        <v>0</v>
      </c>
      <c r="K107" s="80">
        <f>SUMIFS('GSTR 1'!$G$332:$G$448,'GSTR 1'!$M$332:$M$448,Summaries!$A$59,'GSTR 1'!$A$332:$A$448,Summaries!$A107)</f>
        <v>0</v>
      </c>
      <c r="L107" s="80">
        <f>SUMIFS('GSTR 1'!$H$332:$H$448,'GSTR 1'!$M$332:$M$448,Summaries!$A$59,'GSTR 1'!$A$332:$A$448,Summaries!$A107)</f>
        <v>0</v>
      </c>
      <c r="M107" s="80">
        <f>SUMIFS('GSTR 1'!$I$332:$I$448,'GSTR 1'!$M$332:$M$448,Summaries!$A$59,'GSTR 1'!$A$332:$A$448,Summaries!$A107)</f>
        <v>0</v>
      </c>
      <c r="N107" s="80">
        <f>SUMIFS('GSTR 1'!$J$332:$J$448,'GSTR 1'!$M$332:$M$448,Summaries!$A$59,'GSTR 1'!$A$332:$A$448,Summaries!$A107)</f>
        <v>0</v>
      </c>
      <c r="O107" s="80">
        <f>SUMIFS('GSTR 1'!$K$332:$K$448,'GSTR 1'!$M$332:$M$448,Summaries!$A$59,'GSTR 1'!$A$332:$A$448,Summaries!$A107)</f>
        <v>0</v>
      </c>
      <c r="P107" s="79">
        <f>SUMIFS('GSTR 1'!$E$332:$E$448,'GSTR 1'!$M$332:$M$448,Summaries!$A$60,'GSTR 1'!$A$332:$A$448,Summaries!$A107)</f>
        <v>0</v>
      </c>
      <c r="Q107" s="79">
        <f>SUMIFS('GSTR 1'!$F$332:$F$448,'GSTR 1'!$M$332:$M$448,Summaries!$A$60,'GSTR 1'!$A$332:$A$448,Summaries!$A107)</f>
        <v>0</v>
      </c>
      <c r="R107" s="79">
        <f>SUMIFS('GSTR 1'!$G$332:$G$448,'GSTR 1'!$M$332:$M$448,Summaries!$A$60,'GSTR 1'!$A$332:$A$448,Summaries!$A107)</f>
        <v>0</v>
      </c>
      <c r="S107" s="79">
        <f>SUMIFS('GSTR 1'!$H$332:$H$448,'GSTR 1'!$M$332:$M$448,Summaries!$A$60,'GSTR 1'!$A$332:$A$448,Summaries!$A107)</f>
        <v>0</v>
      </c>
      <c r="T107" s="79">
        <f>SUMIFS('GSTR 1'!$I$332:$I$448,'GSTR 1'!$M$332:$M$448,Summaries!$A$60,'GSTR 1'!$A$332:$A$448,Summaries!$A107)</f>
        <v>0</v>
      </c>
      <c r="U107" s="79">
        <f>SUMIFS('GSTR 1'!$J$332:$J$448,'GSTR 1'!$M$332:$M$448,Summaries!$A$60,'GSTR 1'!$A$332:$A$448,Summaries!$A107)</f>
        <v>0</v>
      </c>
      <c r="V107" s="79">
        <f>SUMIFS('GSTR 1'!$K$332:$K$448,'GSTR 1'!$M$332:$M$448,Summaries!$A$60,'GSTR 1'!$A$332:$A$448,Summaries!$A107)</f>
        <v>0</v>
      </c>
      <c r="W107" s="80">
        <f>SUMIFS('GSTR 1'!$E$332:$E$448,'GSTR 1'!$M$332:$M$448,Summaries!$A$61,'GSTR 1'!$A$332:$A$448,Summaries!$A107)</f>
        <v>0</v>
      </c>
      <c r="X107" s="80">
        <f>SUMIFS('GSTR 1'!$F$332:$F$448,'GSTR 1'!$M$332:$M$448,Summaries!$A$61,'GSTR 1'!$A$332:$A$448,Summaries!$A107)</f>
        <v>0</v>
      </c>
      <c r="Y107" s="80">
        <f>SUMIFS('GSTR 1'!$G$332:$G$448,'GSTR 1'!$M$332:$M$448,Summaries!$A$61,'GSTR 1'!$A$332:$A$448,Summaries!$A107)</f>
        <v>0</v>
      </c>
      <c r="Z107" s="80">
        <f>SUMIFS('GSTR 1'!$H$332:$H$448,'GSTR 1'!$M$332:$M$448,Summaries!$A$61,'GSTR 1'!$A$332:$A$448,Summaries!$A107)</f>
        <v>0</v>
      </c>
      <c r="AA107" s="80">
        <f>SUMIFS('GSTR 1'!$I$332:$I$448,'GSTR 1'!$M$332:$M$448,Summaries!$A$61,'GSTR 1'!$A$332:$A$448,Summaries!$A107)</f>
        <v>0</v>
      </c>
      <c r="AB107" s="80">
        <f>SUMIFS('GSTR 1'!$J$332:$J$448,'GSTR 1'!$M$332:$M$448,Summaries!$A$61,'GSTR 1'!$A$332:$A$448,Summaries!$A107)</f>
        <v>0</v>
      </c>
      <c r="AC107" s="80">
        <f>SUMIFS('GSTR 1'!$K$332:$K$448,'GSTR 1'!$M$332:$M$448,Summaries!$A$61,'GSTR 1'!$A$332:$A$448,Summaries!$A107)</f>
        <v>0</v>
      </c>
      <c r="AD107" s="79">
        <f>SUMIFS('GSTR 1'!$E$332:$E$448,'GSTR 1'!$M$332:$M$448,Summaries!$A$62,'GSTR 1'!$A$332:$A$448,Summaries!$A107)</f>
        <v>0</v>
      </c>
      <c r="AE107" s="79">
        <f>SUMIFS('GSTR 1'!$F$332:$F$448,'GSTR 1'!$M$332:$M$448,Summaries!$A$62,'GSTR 1'!$A$332:$A$448,Summaries!$A107)</f>
        <v>0</v>
      </c>
      <c r="AF107" s="79">
        <f>SUMIFS('GSTR 1'!$G$332:$G$448,'GSTR 1'!$M$332:$M$448,Summaries!$A$62,'GSTR 1'!$A$332:$A$448,Summaries!$A107)</f>
        <v>0</v>
      </c>
      <c r="AG107" s="79">
        <f>SUMIFS('GSTR 1'!$H$332:$H$448,'GSTR 1'!$M$332:$M$448,Summaries!$A$62,'GSTR 1'!$A$332:$A$448,Summaries!$A107)</f>
        <v>0</v>
      </c>
      <c r="AH107" s="79">
        <f>SUMIFS('GSTR 1'!$I$332:$I$448,'GSTR 1'!$M$332:$M$448,Summaries!$A$62,'GSTR 1'!$A$332:$A$448,Summaries!$A107)</f>
        <v>0</v>
      </c>
      <c r="AI107" s="79">
        <f>SUMIFS('GSTR 1'!$J$332:$J$448,'GSTR 1'!$M$332:$M$448,Summaries!$A$62,'GSTR 1'!$A$332:$A$448,Summaries!$A107)</f>
        <v>0</v>
      </c>
      <c r="AJ107" s="79">
        <f>SUMIFS('GSTR 1'!$K$332:$K$448,'GSTR 1'!$M$332:$M$448,Summaries!$A$62,'GSTR 1'!$A$332:$A$448,Summaries!$A107)</f>
        <v>0</v>
      </c>
      <c r="AK107" s="80">
        <f>SUMIFS('GSTR 1'!$E$332:$E$448,'GSTR 1'!$M$332:$M$448,Summaries!$A$63,'GSTR 1'!$A$332:$A$448,Summaries!$A107)</f>
        <v>0</v>
      </c>
      <c r="AL107" s="80">
        <f>SUMIFS('GSTR 1'!$F$332:$F$448,'GSTR 1'!$M$332:$M$448,Summaries!$A$63,'GSTR 1'!$A$332:$A$448,Summaries!$A107)</f>
        <v>0</v>
      </c>
      <c r="AM107" s="80">
        <f>SUMIFS('GSTR 1'!$G$332:$G$448,'GSTR 1'!$M$332:$M$448,Summaries!$A$63,'GSTR 1'!$A$332:$A$448,Summaries!$A107)</f>
        <v>0</v>
      </c>
      <c r="AN107" s="80">
        <f>SUMIFS('GSTR 1'!$H$332:$H$448,'GSTR 1'!$M$332:$M$448,Summaries!$A$63,'GSTR 1'!$A$332:$A$448,Summaries!$A107)</f>
        <v>0</v>
      </c>
      <c r="AO107" s="80">
        <f>SUMIFS('GSTR 1'!$I$332:$I$448,'GSTR 1'!$M$332:$M$448,Summaries!$A$63,'GSTR 1'!$A$332:$A$448,Summaries!$A107)</f>
        <v>0</v>
      </c>
      <c r="AP107" s="80">
        <f>SUMIFS('GSTR 1'!$J$332:$J$448,'GSTR 1'!$M$332:$M$448,Summaries!$A$63,'GSTR 1'!$A$332:$A$448,Summaries!$A107)</f>
        <v>0</v>
      </c>
      <c r="AQ107" s="80">
        <f>SUMIFS('GSTR 1'!$K$332:$K$448,'GSTR 1'!$M$332:$M$448,Summaries!$A$63,'GSTR 1'!$A$332:$A$448,Summaries!$A107)</f>
        <v>0</v>
      </c>
      <c r="AR107" s="79">
        <f>SUMIFS('GSTR 1'!$E$332:$E$448,'GSTR 1'!$M$332:$M$448,Summaries!$A$64,'GSTR 1'!$A$332:$A$448,Summaries!$A107)</f>
        <v>0</v>
      </c>
      <c r="AS107" s="79">
        <f>SUMIFS('GSTR 1'!$F$332:$F$448,'GSTR 1'!$M$332:$M$448,Summaries!$A$64,'GSTR 1'!$A$332:$A$448,Summaries!$A107)</f>
        <v>0</v>
      </c>
      <c r="AT107" s="79">
        <f>SUMIFS('GSTR 1'!$G$332:$G$448,'GSTR 1'!$M$332:$M$448,Summaries!$A$64,'GSTR 1'!$A$332:$A$448,Summaries!$A107)</f>
        <v>0</v>
      </c>
      <c r="AU107" s="79">
        <f>SUMIFS('GSTR 1'!$H$332:$H$448,'GSTR 1'!$M$332:$M$448,Summaries!$A$64,'GSTR 1'!$A$332:$A$448,Summaries!$A107)</f>
        <v>0</v>
      </c>
      <c r="AV107" s="79">
        <f>SUMIFS('GSTR 1'!$I$332:$I$448,'GSTR 1'!$M$332:$M$448,Summaries!$A$64,'GSTR 1'!$A$332:$A$448,Summaries!$A107)</f>
        <v>0</v>
      </c>
      <c r="AW107" s="79">
        <f>SUMIFS('GSTR 1'!$J$332:$J$448,'GSTR 1'!$M$332:$M$448,Summaries!$A$64,'GSTR 1'!$A$332:$A$448,Summaries!$A107)</f>
        <v>0</v>
      </c>
      <c r="AX107" s="79">
        <f>SUMIFS('GSTR 1'!$K$332:$K$448,'GSTR 1'!$M$332:$M$448,Summaries!$A$64,'GSTR 1'!$A$332:$A$448,Summaries!$A107)</f>
        <v>0</v>
      </c>
      <c r="AY107" s="80">
        <f>SUMIFS('GSTR 1'!$E$332:$E$448,'GSTR 1'!$M$332:$M$448,Summaries!$A$65,'GSTR 1'!$A$332:$A$448,Summaries!$A107)</f>
        <v>0</v>
      </c>
      <c r="AZ107" s="80">
        <f>SUMIFS('GSTR 1'!$F$332:$F$448,'GSTR 1'!$M$332:$M$448,Summaries!$A$65,'GSTR 1'!$A$332:$A$448,Summaries!$A107)</f>
        <v>0</v>
      </c>
      <c r="BA107" s="80">
        <f>SUMIFS('GSTR 1'!$G$332:$G$448,'GSTR 1'!$M$332:$M$448,Summaries!$A$65,'GSTR 1'!$A$332:$A$448,Summaries!$A107)</f>
        <v>0</v>
      </c>
      <c r="BB107" s="80">
        <f>SUMIFS('GSTR 1'!$H$332:$H$448,'GSTR 1'!$M$332:$M$448,Summaries!$A$65,'GSTR 1'!$A$332:$A$448,Summaries!$A107)</f>
        <v>0</v>
      </c>
      <c r="BC107" s="80">
        <f>SUMIFS('GSTR 1'!$I$332:$I$448,'GSTR 1'!$M$332:$M$448,Summaries!$A$65,'GSTR 1'!$A$332:$A$448,Summaries!$A107)</f>
        <v>0</v>
      </c>
      <c r="BD107" s="80">
        <f>SUMIFS('GSTR 1'!$J$332:$J$448,'GSTR 1'!$M$332:$M$448,Summaries!$A$65,'GSTR 1'!$A$332:$A$448,Summaries!$A107)</f>
        <v>0</v>
      </c>
      <c r="BE107" s="80">
        <f>SUMIFS('GSTR 1'!$K$332:$K$448,'GSTR 1'!$M$332:$M$448,Summaries!$A$65,'GSTR 1'!$A$332:$A$448,Summaries!$A107)</f>
        <v>0</v>
      </c>
      <c r="BF107" s="79">
        <f>SUMIFS('GSTR 1'!$E$332:$E$448,'GSTR 1'!$M$332:$M$448,Summaries!$A$66,'GSTR 1'!$A$332:$A$448,Summaries!$A107)</f>
        <v>0</v>
      </c>
      <c r="BG107" s="79">
        <f>SUMIFS('GSTR 1'!$F$332:$F$448,'GSTR 1'!$M$332:$M$448,Summaries!$A$66,'GSTR 1'!$A$332:$A$448,Summaries!$A107)</f>
        <v>0</v>
      </c>
      <c r="BH107" s="79">
        <f>SUMIFS('GSTR 1'!$G$332:$G$448,'GSTR 1'!$M$332:$M$448,Summaries!$A$66,'GSTR 1'!$A$332:$A$448,Summaries!$A107)</f>
        <v>0</v>
      </c>
      <c r="BI107" s="79">
        <f>SUMIFS('GSTR 1'!$H$332:$H$448,'GSTR 1'!$M$332:$M$448,Summaries!$A$66,'GSTR 1'!$A$332:$A$448,Summaries!$A107)</f>
        <v>0</v>
      </c>
      <c r="BJ107" s="79">
        <f>SUMIFS('GSTR 1'!$I$332:$I$448,'GSTR 1'!$M$332:$M$448,Summaries!$A$66,'GSTR 1'!$A$332:$A$448,Summaries!$A107)</f>
        <v>0</v>
      </c>
      <c r="BK107" s="79">
        <f>SUMIFS('GSTR 1'!$J$332:$J$448,'GSTR 1'!$M$332:$M$448,Summaries!$A$66,'GSTR 1'!$A$332:$A$448,Summaries!$A107)</f>
        <v>0</v>
      </c>
      <c r="BL107" s="79">
        <f>SUMIFS('GSTR 1'!$K$332:$K$448,'GSTR 1'!$M$332:$M$448,Summaries!$A$66,'GSTR 1'!$A$332:$A$448,Summaries!$A107)</f>
        <v>0</v>
      </c>
      <c r="BM107" s="80">
        <f>SUMIFS('GSTR 1'!$E$332:$E$448,'GSTR 1'!$M$332:$M$448,Summaries!$A$67,'GSTR 1'!$A$332:$A$448,Summaries!$A107)</f>
        <v>0</v>
      </c>
      <c r="BN107" s="80">
        <f>SUMIFS('GSTR 1'!$F$332:$F$448,'GSTR 1'!$M$332:$M$448,Summaries!$A$67,'GSTR 1'!$A$332:$A$448,Summaries!$A107)</f>
        <v>0</v>
      </c>
      <c r="BO107" s="80">
        <f>SUMIFS('GSTR 1'!$G$332:$G$448,'GSTR 1'!$M$332:$M$448,Summaries!$A$67,'GSTR 1'!$A$332:$A$448,Summaries!$A107)</f>
        <v>0</v>
      </c>
      <c r="BP107" s="80">
        <f>SUMIFS('GSTR 1'!$H$332:$H$448,'GSTR 1'!$M$332:$M$448,Summaries!$A$67,'GSTR 1'!$A$332:$A$448,Summaries!$A107)</f>
        <v>0</v>
      </c>
      <c r="BQ107" s="80">
        <f>SUMIFS('GSTR 1'!$I$332:$I$448,'GSTR 1'!$M$332:$M$448,Summaries!$A$67,'GSTR 1'!$A$332:$A$448,Summaries!$A107)</f>
        <v>0</v>
      </c>
      <c r="BR107" s="80">
        <f>SUMIFS('GSTR 1'!$J$332:$J$448,'GSTR 1'!$M$332:$M$448,Summaries!$A$67,'GSTR 1'!$A$332:$A$448,Summaries!$A107)</f>
        <v>0</v>
      </c>
      <c r="BS107" s="80">
        <f>SUMIFS('GSTR 1'!$K$332:$K$448,'GSTR 1'!$M$332:$M$448,Summaries!$A$67,'GSTR 1'!$A$332:$A$448,Summaries!$A107)</f>
        <v>0</v>
      </c>
      <c r="BT107" s="79">
        <f>SUMIFS('GSTR 1'!$E$332:$E$448,'GSTR 1'!$M$332:$M$448,Summaries!$A$68,'GSTR 1'!$A$332:$A$448,Summaries!$A107)</f>
        <v>0</v>
      </c>
      <c r="BU107" s="79">
        <f>SUMIFS('GSTR 1'!$F$332:$F$448,'GSTR 1'!$M$332:$M$448,Summaries!$A$68,'GSTR 1'!$A$332:$A$448,Summaries!$A107)</f>
        <v>0</v>
      </c>
      <c r="BV107" s="79">
        <f>SUMIFS('GSTR 1'!$G$332:$G$448,'GSTR 1'!$M$332:$M$448,Summaries!$A$68,'GSTR 1'!$A$332:$A$448,Summaries!$A107)</f>
        <v>0</v>
      </c>
      <c r="BW107" s="79">
        <f>SUMIFS('GSTR 1'!$H$332:$H$448,'GSTR 1'!$M$332:$M$448,Summaries!$A$68,'GSTR 1'!$A$332:$A$448,Summaries!$A107)</f>
        <v>0</v>
      </c>
      <c r="BX107" s="79">
        <f>SUMIFS('GSTR 1'!$I$332:$I$448,'GSTR 1'!$M$332:$M$448,Summaries!$A$68,'GSTR 1'!$A$332:$A$448,Summaries!$A107)</f>
        <v>0</v>
      </c>
      <c r="BY107" s="79">
        <f>SUMIFS('GSTR 1'!$J$332:$J$448,'GSTR 1'!$M$332:$M$448,Summaries!$A$68,'GSTR 1'!$A$332:$A$448,Summaries!$A107)</f>
        <v>0</v>
      </c>
      <c r="BZ107" s="79">
        <f>SUMIFS('GSTR 1'!$K$332:$K$448,'GSTR 1'!$M$332:$M$448,Summaries!$A$68,'GSTR 1'!$A$332:$A$448,Summaries!$A107)</f>
        <v>0</v>
      </c>
      <c r="CA107" s="80">
        <f>SUMIFS('GSTR 1'!$E$332:$E$448,'GSTR 1'!$M$332:$M$448,Summaries!$A$69,'GSTR 1'!$A$332:$A$448,Summaries!$A107)</f>
        <v>0</v>
      </c>
      <c r="CB107" s="80">
        <f>SUMIFS('GSTR 1'!$F$332:$F$448,'GSTR 1'!$M$332:$M$448,Summaries!$A$69,'GSTR 1'!$A$332:$A$448,Summaries!$A107)</f>
        <v>0</v>
      </c>
      <c r="CC107" s="80">
        <f>SUMIFS('GSTR 1'!$G$332:$G$448,'GSTR 1'!$M$332:$M$448,Summaries!$A$69,'GSTR 1'!$A$332:$A$448,Summaries!$A107)</f>
        <v>0</v>
      </c>
      <c r="CD107" s="80">
        <f>SUMIFS('GSTR 1'!$H$332:$H$448,'GSTR 1'!$M$332:$M$448,Summaries!$A$69,'GSTR 1'!$A$332:$A$448,Summaries!$A107)</f>
        <v>0</v>
      </c>
      <c r="CE107" s="80">
        <f>SUMIFS('GSTR 1'!$I$332:$I$448,'GSTR 1'!$M$332:$M$448,Summaries!$A$69,'GSTR 1'!$A$332:$A$448,Summaries!$A107)</f>
        <v>0</v>
      </c>
      <c r="CF107" s="80">
        <f>SUMIFS('GSTR 1'!$J$332:$J$448,'GSTR 1'!$M$332:$M$448,Summaries!$A$69,'GSTR 1'!$A$332:$A$448,Summaries!$A107)</f>
        <v>0</v>
      </c>
      <c r="CG107" s="80">
        <f>SUMIFS('GSTR 1'!$K$332:$K$448,'GSTR 1'!$M$332:$M$448,Summaries!$A$69,'GSTR 1'!$A$332:$A$448,Summaries!$A107)</f>
        <v>0</v>
      </c>
      <c r="CH107" s="79">
        <f>SUMIFS('GSTR 1'!$E$332:$E$448,'GSTR 1'!$M$332:$M$448,Summaries!$A$70,'GSTR 1'!$A$332:$A$448,Summaries!$A107)</f>
        <v>0</v>
      </c>
      <c r="CI107" s="79">
        <f>SUMIFS('GSTR 1'!$F$332:$F$448,'GSTR 1'!$M$332:$M$448,Summaries!$A$70,'GSTR 1'!$A$332:$A$448,Summaries!$A107)</f>
        <v>0</v>
      </c>
      <c r="CJ107" s="79">
        <f>SUMIFS('GSTR 1'!$G$332:$G$448,'GSTR 1'!$M$332:$M$448,Summaries!$A$70,'GSTR 1'!$A$332:$A$448,Summaries!$A107)</f>
        <v>0</v>
      </c>
      <c r="CK107" s="79">
        <f>SUMIFS('GSTR 1'!$H$332:$H$448,'GSTR 1'!$M$332:$M$448,Summaries!$A$70,'GSTR 1'!$A$332:$A$448,Summaries!$A107)</f>
        <v>0</v>
      </c>
      <c r="CL107" s="79">
        <f>SUMIFS('GSTR 1'!$I$332:$I$448,'GSTR 1'!$M$332:$M$448,Summaries!$A$70,'GSTR 1'!$A$332:$A$448,Summaries!$A107)</f>
        <v>0</v>
      </c>
      <c r="CM107" s="79">
        <f>SUMIFS('GSTR 1'!$J$332:$J$448,'GSTR 1'!$M$332:$M$448,Summaries!$A$70,'GSTR 1'!$A$332:$A$448,Summaries!$A107)</f>
        <v>0</v>
      </c>
      <c r="CN107" s="79">
        <f>SUMIFS('GSTR 1'!$K$332:$K$448,'GSTR 1'!$M$332:$M$448,Summaries!$A$70,'GSTR 1'!$A$332:$A$448,Summaries!$A107)</f>
        <v>0</v>
      </c>
      <c r="CO107" s="80">
        <f>SUMIFS('GSTR 1'!$E$332:$E$448,'GSTR 1'!$M$332:$M$448,Summaries!$A$71,'GSTR 1'!$A$332:$A$448,Summaries!$A107)</f>
        <v>0</v>
      </c>
      <c r="CP107" s="80">
        <f>SUMIFS('GSTR 1'!$F$332:$F$448,'GSTR 1'!$M$332:$M$448,Summaries!$A$71,'GSTR 1'!$A$332:$A$448,Summaries!$A107)</f>
        <v>0</v>
      </c>
      <c r="CQ107" s="80">
        <f>SUMIFS('GSTR 1'!$G$332:$G$448,'GSTR 1'!$M$332:$M$448,Summaries!$A$71,'GSTR 1'!$A$332:$A$448,Summaries!$A107)</f>
        <v>0</v>
      </c>
      <c r="CR107" s="80">
        <f>SUMIFS('GSTR 1'!$H$332:$H$448,'GSTR 1'!$M$332:$M$448,Summaries!$A$71,'GSTR 1'!$A$332:$A$448,Summaries!$A107)</f>
        <v>0</v>
      </c>
      <c r="CS107" s="80">
        <f>SUMIFS('GSTR 1'!$I$332:$I$448,'GSTR 1'!$M$332:$M$448,Summaries!$A$71,'GSTR 1'!$A$332:$A$448,Summaries!$A107)</f>
        <v>0</v>
      </c>
      <c r="CT107" s="80">
        <f>SUMIFS('GSTR 1'!$J$332:$J$448,'GSTR 1'!$M$332:$M$448,Summaries!$A$71,'GSTR 1'!$A$332:$A$448,Summaries!$A107)</f>
        <v>0</v>
      </c>
      <c r="CU107" s="80">
        <f>SUMIFS('GSTR 1'!$K$332:$K$448,'GSTR 1'!$M$332:$M$448,Summaries!$A$71,'GSTR 1'!$A$332:$A$448,Summaries!$A107)</f>
        <v>0</v>
      </c>
      <c r="CV107" s="79">
        <f>SUMIFS('GSTR 1'!$E$332:$E$448,'GSTR 1'!$M$332:$M$448,Summaries!$A$72,'GSTR 1'!$A$332:$A$448,Summaries!$A107)</f>
        <v>0</v>
      </c>
      <c r="CW107" s="79">
        <f>SUMIFS('GSTR 1'!$F$332:$F$448,'GSTR 1'!$M$332:$M$448,Summaries!$A$72,'GSTR 1'!$A$332:$A$448,Summaries!$A107)</f>
        <v>0</v>
      </c>
      <c r="CX107" s="79">
        <f>SUMIFS('GSTR 1'!$G$332:$G$448,'GSTR 1'!$M$332:$M$448,Summaries!$A$72,'GSTR 1'!$A$332:$A$448,Summaries!$A107)</f>
        <v>0</v>
      </c>
      <c r="CY107" s="79">
        <f>SUMIFS('GSTR 1'!$H$332:$H$448,'GSTR 1'!$M$332:$M$448,Summaries!$A$72,'GSTR 1'!$A$332:$A$448,Summaries!$A107)</f>
        <v>0</v>
      </c>
      <c r="CZ107" s="79">
        <f>SUMIFS('GSTR 1'!$I$332:$I$448,'GSTR 1'!$M$332:$M$448,Summaries!$A$72,'GSTR 1'!$A$332:$A$448,Summaries!$A107)</f>
        <v>0</v>
      </c>
      <c r="DA107" s="79">
        <f>SUMIFS('GSTR 1'!$J$332:$J$448,'GSTR 1'!$M$332:$M$448,Summaries!$A$72,'GSTR 1'!$A$332:$A$448,Summaries!$A107)</f>
        <v>0</v>
      </c>
      <c r="DB107" s="79">
        <f>SUMIFS('GSTR 1'!$K$332:$K$448,'GSTR 1'!$M$332:$M$448,Summaries!$A$72,'GSTR 1'!$A$332:$A$448,Summaries!$A107)</f>
        <v>0</v>
      </c>
      <c r="DC107" s="80">
        <f>SUMIFS('GSTR 1'!$E$332:$E$448,'GSTR 1'!$M$332:$M$448,Summaries!$A$73,'GSTR 1'!$A$332:$A$448,Summaries!$A107)</f>
        <v>0</v>
      </c>
      <c r="DD107" s="80">
        <f>SUMIFS('GSTR 1'!$F$332:$F$448,'GSTR 1'!$M$332:$M$448,Summaries!$A$73,'GSTR 1'!$A$332:$A$448,Summaries!$A107)</f>
        <v>0</v>
      </c>
      <c r="DE107" s="80">
        <f>SUMIFS('GSTR 1'!$G$332:$G$448,'GSTR 1'!$M$332:$M$448,Summaries!$A$73,'GSTR 1'!$A$332:$A$448,Summaries!$A107)</f>
        <v>0</v>
      </c>
      <c r="DF107" s="80">
        <f>SUMIFS('GSTR 1'!$H$332:$H$448,'GSTR 1'!$M$332:$M$448,Summaries!$A$73,'GSTR 1'!$A$332:$A$448,Summaries!$A107)</f>
        <v>0</v>
      </c>
      <c r="DG107" s="80">
        <f>SUMIFS('GSTR 1'!$I$332:$I$448,'GSTR 1'!$M$332:$M$448,Summaries!$A$73,'GSTR 1'!$A$332:$A$448,Summaries!$A107)</f>
        <v>0</v>
      </c>
      <c r="DH107" s="80">
        <f>SUMIFS('GSTR 1'!$J$332:$J$448,'GSTR 1'!$M$332:$M$448,Summaries!$A$73,'GSTR 1'!$A$332:$A$448,Summaries!$A107)</f>
        <v>0</v>
      </c>
      <c r="DI107" s="80">
        <f>SUMIFS('GSTR 1'!$K$332:$K$448,'GSTR 1'!$M$332:$M$448,Summaries!$A$73,'GSTR 1'!$A$332:$A$448,Summaries!$A107)</f>
        <v>0</v>
      </c>
      <c r="DJ107" s="79">
        <f>SUMIFS('GSTR 1'!$E$332:$E$448,'GSTR 1'!$M$332:$M$448,Summaries!$A$74,'GSTR 1'!$A$332:$A$448,Summaries!$A107)</f>
        <v>0</v>
      </c>
      <c r="DK107" s="79">
        <f>SUMIFS('GSTR 1'!$F$332:$F$448,'GSTR 1'!$M$332:$M$448,Summaries!$A$74,'GSTR 1'!$A$332:$A$448,Summaries!$A107)</f>
        <v>0</v>
      </c>
      <c r="DL107" s="79">
        <f>SUMIFS('GSTR 1'!$G$332:$G$448,'GSTR 1'!$M$332:$M$448,Summaries!$A$74,'GSTR 1'!$A$332:$A$448,Summaries!$A107)</f>
        <v>0</v>
      </c>
      <c r="DM107" s="79">
        <f>SUMIFS('GSTR 1'!$H$332:$H$448,'GSTR 1'!$M$332:$M$448,Summaries!$A$74,'GSTR 1'!$A$332:$A$448,Summaries!$A107)</f>
        <v>0</v>
      </c>
      <c r="DN107" s="79">
        <f>SUMIFS('GSTR 1'!$I$332:$I$448,'GSTR 1'!$M$332:$M$448,Summaries!$A$74,'GSTR 1'!$A$332:$A$448,Summaries!$A107)</f>
        <v>0</v>
      </c>
      <c r="DO107" s="79">
        <f>SUMIFS('GSTR 1'!$J$332:$J$448,'GSTR 1'!$M$332:$M$448,Summaries!$A$74,'GSTR 1'!$A$332:$A$448,Summaries!$A107)</f>
        <v>0</v>
      </c>
      <c r="DP107" s="79">
        <f>SUMIFS('GSTR 1'!$K$332:$K$448,'GSTR 1'!$M$332:$M$448,Summaries!$A$74,'GSTR 1'!$A$332:$A$448,Summaries!$A107)</f>
        <v>0</v>
      </c>
      <c r="DQ107" s="80">
        <f>SUMIFS('GSTR 1'!$E$332:$E$448,'GSTR 1'!$M$332:$M$448,Summaries!$A$75,'GSTR 1'!$A$332:$A$448,Summaries!$A107)</f>
        <v>0</v>
      </c>
      <c r="DR107" s="80">
        <f>SUMIFS('GSTR 1'!$F$332:$F$448,'GSTR 1'!$M$332:$M$448,Summaries!$A$75,'GSTR 1'!$A$332:$A$448,Summaries!$A107)</f>
        <v>0</v>
      </c>
      <c r="DS107" s="80">
        <f>SUMIFS('GSTR 1'!$G$332:$G$448,'GSTR 1'!$M$332:$M$448,Summaries!$A$75,'GSTR 1'!$A$332:$A$448,Summaries!$A107)</f>
        <v>0</v>
      </c>
      <c r="DT107" s="80">
        <f>SUMIFS('GSTR 1'!$H$332:$H$448,'GSTR 1'!$M$332:$M$448,Summaries!$A$75,'GSTR 1'!$A$332:$A$448,Summaries!$A107)</f>
        <v>0</v>
      </c>
      <c r="DU107" s="80">
        <f>SUMIFS('GSTR 1'!$I$332:$I$448,'GSTR 1'!$M$332:$M$448,Summaries!$A$75,'GSTR 1'!$A$332:$A$448,Summaries!$A107)</f>
        <v>0</v>
      </c>
      <c r="DV107" s="80">
        <f>SUMIFS('GSTR 1'!$J$332:$J$448,'GSTR 1'!$M$332:$M$448,Summaries!$A$75,'GSTR 1'!$A$332:$A$448,Summaries!$A107)</f>
        <v>0</v>
      </c>
      <c r="DW107" s="80">
        <f>SUMIFS('GSTR 1'!$K$332:$K$448,'GSTR 1'!$M$332:$M$448,Summaries!$A$75,'GSTR 1'!$A$332:$A$448,Summaries!$A107)</f>
        <v>0</v>
      </c>
      <c r="DX107" s="79">
        <f>SUMIFS('GSTR 1'!$E$332:$E$448,'GSTR 1'!$M$332:$M$448,Summaries!$A$76,'GSTR 1'!$A$332:$A$448,Summaries!$A107)</f>
        <v>0</v>
      </c>
      <c r="DY107" s="79">
        <f>SUMIFS('GSTR 1'!$F$332:$F$448,'GSTR 1'!$M$332:$M$448,Summaries!$A$76,'GSTR 1'!$A$332:$A$448,Summaries!$A107)</f>
        <v>0</v>
      </c>
      <c r="DZ107" s="79">
        <f>SUMIFS('GSTR 1'!$G$332:$G$448,'GSTR 1'!$M$332:$M$448,Summaries!$A$76,'GSTR 1'!$A$332:$A$448,Summaries!$A107)</f>
        <v>0</v>
      </c>
      <c r="EA107" s="79">
        <f>SUMIFS('GSTR 1'!$H$332:$H$448,'GSTR 1'!$M$332:$M$448,Summaries!$A$76,'GSTR 1'!$A$332:$A$448,Summaries!$A107)</f>
        <v>0</v>
      </c>
      <c r="EB107" s="79">
        <f>SUMIFS('GSTR 1'!$I$332:$I$448,'GSTR 1'!$M$332:$M$448,Summaries!$A$76,'GSTR 1'!$A$332:$A$448,Summaries!$A107)</f>
        <v>0</v>
      </c>
      <c r="EC107" s="79">
        <f>SUMIFS('GSTR 1'!$J$332:$J$448,'GSTR 1'!$M$332:$M$448,Summaries!$A$76,'GSTR 1'!$A$332:$A$448,Summaries!$A107)</f>
        <v>0</v>
      </c>
      <c r="ED107" s="79">
        <f>SUMIFS('GSTR 1'!$K$332:$K$448,'GSTR 1'!$M$332:$M$448,Summaries!$A$76,'GSTR 1'!$A$332:$A$448,Summaries!$A107)</f>
        <v>0</v>
      </c>
      <c r="EE107" s="80">
        <f>SUMIFS('GSTR 1'!$E$332:$E$448,'GSTR 1'!$M$332:$M$448,Summaries!$A$77,'GSTR 1'!$A$332:$A$448,Summaries!$A107)</f>
        <v>0</v>
      </c>
      <c r="EF107" s="80">
        <f>SUMIFS('GSTR 1'!$F$332:$F$448,'GSTR 1'!$M$332:$M$448,Summaries!$A$77,'GSTR 1'!$A$332:$A$448,Summaries!$A107)</f>
        <v>0</v>
      </c>
      <c r="EG107" s="80">
        <f>SUMIFS('GSTR 1'!$G$332:$G$448,'GSTR 1'!$M$332:$M$448,Summaries!$A$77,'GSTR 1'!$A$332:$A$448,Summaries!$A107)</f>
        <v>0</v>
      </c>
      <c r="EH107" s="80">
        <f>SUMIFS('GSTR 1'!$H$332:$H$448,'GSTR 1'!$M$332:$M$448,Summaries!$A$77,'GSTR 1'!$A$332:$A$448,Summaries!$A107)</f>
        <v>0</v>
      </c>
      <c r="EI107" s="80">
        <f>SUMIFS('GSTR 1'!$I$332:$I$448,'GSTR 1'!$M$332:$M$448,Summaries!$A$77,'GSTR 1'!$A$332:$A$448,Summaries!$A107)</f>
        <v>0</v>
      </c>
      <c r="EJ107" s="80">
        <f>SUMIFS('GSTR 1'!$J$332:$J$448,'GSTR 1'!$M$332:$M$448,Summaries!$A$77,'GSTR 1'!$A$332:$A$448,Summaries!$A107)</f>
        <v>0</v>
      </c>
      <c r="EK107" s="80">
        <f>SUMIFS('GSTR 1'!$K$332:$K$448,'GSTR 1'!$M$332:$M$448,Summaries!$A$77,'GSTR 1'!$A$332:$A$448,Summaries!$A107)</f>
        <v>0</v>
      </c>
      <c r="EL107" s="79">
        <f>SUMIFS('GSTR 1'!$E$332:$E$448,'GSTR 1'!$M$332:$M$448,Summaries!$A$78,'GSTR 1'!$A$332:$A$448,Summaries!$A107)</f>
        <v>0</v>
      </c>
      <c r="EM107" s="79">
        <f>SUMIFS('GSTR 1'!$F$332:$F$448,'GSTR 1'!$M$332:$M$448,Summaries!$A$78,'GSTR 1'!$A$332:$A$448,Summaries!$A107)</f>
        <v>0</v>
      </c>
      <c r="EN107" s="79">
        <f>SUMIFS('GSTR 1'!$G$332:$G$448,'GSTR 1'!$M$332:$M$448,Summaries!$A$78,'GSTR 1'!$A$332:$A$448,Summaries!$A107)</f>
        <v>0</v>
      </c>
      <c r="EO107" s="79">
        <f>SUMIFS('GSTR 1'!$H$332:$H$448,'GSTR 1'!$M$332:$M$448,Summaries!$A$78,'GSTR 1'!$A$332:$A$448,Summaries!$A107)</f>
        <v>0</v>
      </c>
      <c r="EP107" s="79">
        <f>SUMIFS('GSTR 1'!$I$332:$I$448,'GSTR 1'!$M$332:$M$448,Summaries!$A$78,'GSTR 1'!$A$332:$A$448,Summaries!$A107)</f>
        <v>0</v>
      </c>
      <c r="EQ107" s="79">
        <f>SUMIFS('GSTR 1'!$J$332:$J$448,'GSTR 1'!$M$332:$M$448,Summaries!$A$78,'GSTR 1'!$A$332:$A$448,Summaries!$A107)</f>
        <v>0</v>
      </c>
      <c r="ER107" s="79">
        <f>SUMIFS('GSTR 1'!$K$332:$K$448,'GSTR 1'!$M$332:$M$448,Summaries!$A$78,'GSTR 1'!$A$332:$A$448,Summaries!$A107)</f>
        <v>0</v>
      </c>
      <c r="ES107" s="80">
        <f>SUMIFS('GSTR 1'!$E$332:$E$448,'GSTR 1'!$M$332:$M$448,Summaries!$A$79,'GSTR 1'!$A$332:$A$448,Summaries!$A107)</f>
        <v>0</v>
      </c>
      <c r="ET107" s="80">
        <f>SUMIFS('GSTR 1'!$F$332:$F$448,'GSTR 1'!$M$332:$M$448,Summaries!$A$79,'GSTR 1'!$A$332:$A$448,Summaries!$A107)</f>
        <v>0</v>
      </c>
      <c r="EU107" s="80">
        <f>SUMIFS('GSTR 1'!$G$332:$G$448,'GSTR 1'!$M$332:$M$448,Summaries!$A$79,'GSTR 1'!$A$332:$A$448,Summaries!$A107)</f>
        <v>0</v>
      </c>
      <c r="EV107" s="80">
        <f>SUMIFS('GSTR 1'!$H$332:$H$448,'GSTR 1'!$M$332:$M$448,Summaries!$A$79,'GSTR 1'!$A$332:$A$448,Summaries!$A107)</f>
        <v>0</v>
      </c>
      <c r="EW107" s="80">
        <f>SUMIFS('GSTR 1'!$I$332:$I$448,'GSTR 1'!$M$332:$M$448,Summaries!$A$79,'GSTR 1'!$A$332:$A$448,Summaries!$A107)</f>
        <v>0</v>
      </c>
      <c r="EX107" s="80">
        <f>SUMIFS('GSTR 1'!$J$332:$J$448,'GSTR 1'!$M$332:$M$448,Summaries!$A$79,'GSTR 1'!$A$332:$A$448,Summaries!$A107)</f>
        <v>0</v>
      </c>
      <c r="EY107" s="80">
        <f>SUMIFS('GSTR 1'!$K$332:$K$448,'GSTR 1'!$M$332:$M$448,Summaries!$A$79,'GSTR 1'!$A$332:$A$448,Summaries!$A107)</f>
        <v>0</v>
      </c>
      <c r="EZ107" s="79">
        <f>SUMIFS('GSTR 1'!$E$332:$E$448,'GSTR 1'!$M$332:$M$448,Summaries!$A$80,'GSTR 1'!$A$332:$A$448,Summaries!$A107)</f>
        <v>0</v>
      </c>
      <c r="FA107" s="79">
        <f>SUMIFS('GSTR 1'!$F$332:$F$448,'GSTR 1'!$M$332:$M$448,Summaries!$A$80,'GSTR 1'!$A$332:$A$448,Summaries!$A107)</f>
        <v>0</v>
      </c>
      <c r="FB107" s="79">
        <f>SUMIFS('GSTR 1'!$G$332:$G$448,'GSTR 1'!$M$332:$M$448,Summaries!$A$80,'GSTR 1'!$A$332:$A$448,Summaries!$A107)</f>
        <v>0</v>
      </c>
      <c r="FC107" s="79">
        <f>SUMIFS('GSTR 1'!$H$332:$H$448,'GSTR 1'!$M$332:$M$448,Summaries!$A$80,'GSTR 1'!$A$332:$A$448,Summaries!$A107)</f>
        <v>0</v>
      </c>
      <c r="FD107" s="79">
        <f>SUMIFS('GSTR 1'!$I$332:$I$448,'GSTR 1'!$M$332:$M$448,Summaries!$A$80,'GSTR 1'!$A$332:$A$448,Summaries!$A107)</f>
        <v>0</v>
      </c>
      <c r="FE107" s="79">
        <f>SUMIFS('GSTR 1'!$J$332:$J$448,'GSTR 1'!$M$332:$M$448,Summaries!$A$80,'GSTR 1'!$A$332:$A$448,Summaries!$A107)</f>
        <v>0</v>
      </c>
      <c r="FF107" s="79">
        <f>SUMIFS('GSTR 1'!$K$332:$K$448,'GSTR 1'!$M$332:$M$448,Summaries!$A$80,'GSTR 1'!$A$332:$A$448,Summaries!$A107)</f>
        <v>0</v>
      </c>
      <c r="FG107" s="80">
        <f>SUMIFS('GSTR 1'!$E$332:$E$448,'GSTR 1'!$M$332:$M$448,Summaries!$A$81,'GSTR 1'!$A$332:$A$448,Summaries!$A107)</f>
        <v>0</v>
      </c>
      <c r="FH107" s="80">
        <f>SUMIFS('GSTR 1'!$F$332:$F$448,'GSTR 1'!$M$332:$M$448,Summaries!$A$81,'GSTR 1'!$A$332:$A$448,Summaries!$A107)</f>
        <v>0</v>
      </c>
      <c r="FI107" s="80">
        <f>SUMIFS('GSTR 1'!$G$332:$G$448,'GSTR 1'!$M$332:$M$448,Summaries!$A$81,'GSTR 1'!$A$332:$A$448,Summaries!$A107)</f>
        <v>0</v>
      </c>
      <c r="FJ107" s="80">
        <f>SUMIFS('GSTR 1'!$H$332:$H$448,'GSTR 1'!$M$332:$M$448,Summaries!$A$81,'GSTR 1'!$A$332:$A$448,Summaries!$A107)</f>
        <v>0</v>
      </c>
      <c r="FK107" s="80">
        <f>SUMIFS('GSTR 1'!$I$332:$I$448,'GSTR 1'!$M$332:$M$448,Summaries!$A$81,'GSTR 1'!$A$332:$A$448,Summaries!$A107)</f>
        <v>0</v>
      </c>
      <c r="FL107" s="80">
        <f>SUMIFS('GSTR 1'!$J$332:$J$448,'GSTR 1'!$M$332:$M$448,Summaries!$A$81,'GSTR 1'!$A$332:$A$448,Summaries!$A107)</f>
        <v>0</v>
      </c>
      <c r="FM107" s="80">
        <f>SUMIFS('GSTR 1'!$K$332:$K$448,'GSTR 1'!$M$332:$M$448,Summaries!$A$81,'GSTR 1'!$A$332:$A$448,Summaries!$A107)</f>
        <v>0</v>
      </c>
      <c r="FN107" s="79">
        <f>SUMIFS('GSTR 1'!$E$332:$E$448,'GSTR 1'!$M$332:$M$448,Summaries!$A$82,'GSTR 1'!$A$332:$A$448,Summaries!$A107)</f>
        <v>0</v>
      </c>
      <c r="FO107" s="79">
        <f>SUMIFS('GSTR 1'!$F$332:$F$448,'GSTR 1'!$M$332:$M$448,Summaries!$A$82,'GSTR 1'!$A$332:$A$448,Summaries!$A107)</f>
        <v>0</v>
      </c>
      <c r="FP107" s="79">
        <f>SUMIFS('GSTR 1'!$G$332:$G$448,'GSTR 1'!$M$332:$M$448,Summaries!$A$82,'GSTR 1'!$A$332:$A$448,Summaries!$A107)</f>
        <v>0</v>
      </c>
      <c r="FQ107" s="79">
        <f>SUMIFS('GSTR 1'!$H$332:$H$448,'GSTR 1'!$M$332:$M$448,Summaries!$A$82,'GSTR 1'!$A$332:$A$448,Summaries!$A107)</f>
        <v>0</v>
      </c>
      <c r="FR107" s="79">
        <f>SUMIFS('GSTR 1'!$I$332:$I$448,'GSTR 1'!$M$332:$M$448,Summaries!$A$82,'GSTR 1'!$A$332:$A$448,Summaries!$A107)</f>
        <v>0</v>
      </c>
      <c r="FS107" s="79">
        <f>SUMIFS('GSTR 1'!$J$332:$J$448,'GSTR 1'!$M$332:$M$448,Summaries!$A$82,'GSTR 1'!$A$332:$A$448,Summaries!$A107)</f>
        <v>0</v>
      </c>
      <c r="FT107" s="79">
        <f>SUMIFS('GSTR 1'!$K$332:$K$448,'GSTR 1'!$M$332:$M$448,Summaries!$A$82,'GSTR 1'!$A$332:$A$448,Summaries!$A107)</f>
        <v>0</v>
      </c>
      <c r="FU107" s="80">
        <f>SUMIFS('GSTR 1'!$E$332:$E$448,'GSTR 1'!$M$332:$M$448,Summaries!$A$83,'GSTR 1'!$A$332:$A$448,Summaries!$A107)</f>
        <v>0</v>
      </c>
      <c r="FV107" s="80">
        <f>SUMIFS('GSTR 1'!$F$332:$F$448,'GSTR 1'!$M$332:$M$448,Summaries!$A$83,'GSTR 1'!$A$332:$A$448,Summaries!$A107)</f>
        <v>0</v>
      </c>
      <c r="FW107" s="80">
        <f>SUMIFS('GSTR 1'!$G$332:$G$448,'GSTR 1'!$M$332:$M$448,Summaries!$A$83,'GSTR 1'!$A$332:$A$448,Summaries!$A107)</f>
        <v>0</v>
      </c>
      <c r="FX107" s="80">
        <f>SUMIFS('GSTR 1'!$H$332:$H$448,'GSTR 1'!$M$332:$M$448,Summaries!$A$83,'GSTR 1'!$A$332:$A$448,Summaries!$A107)</f>
        <v>0</v>
      </c>
      <c r="FY107" s="80">
        <f>SUMIFS('GSTR 1'!$I$332:$I$448,'GSTR 1'!$M$332:$M$448,Summaries!$A$83,'GSTR 1'!$A$332:$A$448,Summaries!$A107)</f>
        <v>0</v>
      </c>
      <c r="FZ107" s="80">
        <f>SUMIFS('GSTR 1'!$J$332:$J$448,'GSTR 1'!$M$332:$M$448,Summaries!$A$83,'GSTR 1'!$A$332:$A$448,Summaries!$A107)</f>
        <v>0</v>
      </c>
      <c r="GA107" s="80">
        <f>SUMIFS('GSTR 1'!$K$332:$K$448,'GSTR 1'!$M$332:$M$448,Summaries!$A$83,'GSTR 1'!$A$332:$A$448,Summaries!$A107)</f>
        <v>0</v>
      </c>
      <c r="GB107" s="79">
        <f>SUMIFS('GSTR 1'!$E$332:$E$448,'GSTR 1'!$M$332:$M$448,Summaries!$A$84,'GSTR 1'!$A$332:$A$448,Summaries!$A107)</f>
        <v>0</v>
      </c>
      <c r="GC107" s="79">
        <f>SUMIFS('GSTR 1'!$F$332:$F$448,'GSTR 1'!$M$332:$M$448,Summaries!$A$84,'GSTR 1'!$A$332:$A$448,Summaries!$A107)</f>
        <v>0</v>
      </c>
      <c r="GD107" s="79">
        <f>SUMIFS('GSTR 1'!$G$332:$G$448,'GSTR 1'!$M$332:$M$448,Summaries!$A$84,'GSTR 1'!$A$332:$A$448,Summaries!$A107)</f>
        <v>0</v>
      </c>
      <c r="GE107" s="79">
        <f>SUMIFS('GSTR 1'!$H$332:$H$448,'GSTR 1'!$M$332:$M$448,Summaries!$A$84,'GSTR 1'!$A$332:$A$448,Summaries!$A107)</f>
        <v>0</v>
      </c>
      <c r="GF107" s="79">
        <f>SUMIFS('GSTR 1'!$I$332:$I$448,'GSTR 1'!$M$332:$M$448,Summaries!$A$84,'GSTR 1'!$A$332:$A$448,Summaries!$A107)</f>
        <v>0</v>
      </c>
      <c r="GG107" s="79">
        <f>SUMIFS('GSTR 1'!$J$332:$J$448,'GSTR 1'!$M$332:$M$448,Summaries!$A$84,'GSTR 1'!$A$332:$A$448,Summaries!$A107)</f>
        <v>0</v>
      </c>
      <c r="GH107" s="79">
        <f>SUMIFS('GSTR 1'!$K$332:$K$448,'GSTR 1'!$M$332:$M$448,Summaries!$A$84,'GSTR 1'!$A$332:$A$448,Summaries!$A107)</f>
        <v>0</v>
      </c>
      <c r="GI107" s="80">
        <f>SUMIFS('GSTR 1'!$E$332:$E$448,'GSTR 1'!$M$332:$M$448,Summaries!$A$85,'GSTR 1'!$A$332:$A$448,Summaries!$A107)</f>
        <v>0</v>
      </c>
      <c r="GJ107" s="80">
        <f>SUMIFS('GSTR 1'!$F$332:$F$448,'GSTR 1'!$M$332:$M$448,Summaries!$A$85,'GSTR 1'!$A$332:$A$448,Summaries!$A107)</f>
        <v>0</v>
      </c>
      <c r="GK107" s="80">
        <f>SUMIFS('GSTR 1'!$G$332:$G$448,'GSTR 1'!$M$332:$M$448,Summaries!$A$85,'GSTR 1'!$A$332:$A$448,Summaries!$A107)</f>
        <v>0</v>
      </c>
      <c r="GL107" s="80">
        <f>SUMIFS('GSTR 1'!$H$332:$H$448,'GSTR 1'!$M$332:$M$448,Summaries!$A$85,'GSTR 1'!$A$332:$A$448,Summaries!$A107)</f>
        <v>0</v>
      </c>
      <c r="GM107" s="80">
        <f>SUMIFS('GSTR 1'!$I$332:$I$448,'GSTR 1'!$M$332:$M$448,Summaries!$A$85,'GSTR 1'!$A$332:$A$448,Summaries!$A107)</f>
        <v>0</v>
      </c>
      <c r="GN107" s="80">
        <f>SUMIFS('GSTR 1'!$J$332:$J$448,'GSTR 1'!$M$332:$M$448,Summaries!$A$85,'GSTR 1'!$A$332:$A$448,Summaries!$A107)</f>
        <v>0</v>
      </c>
      <c r="GO107" s="80">
        <f>SUMIFS('GSTR 1'!$K$332:$K$448,'GSTR 1'!$M$332:$M$448,Summaries!$A$85,'GSTR 1'!$A$332:$A$448,Summaries!$A107)</f>
        <v>0</v>
      </c>
      <c r="GP107" s="79">
        <f>SUMIFS('GSTR 1'!$E$332:$E$448,'GSTR 1'!$M$332:$M$448,Summaries!$A$86,'GSTR 1'!$A$332:$A$448,Summaries!$A107)</f>
        <v>0</v>
      </c>
      <c r="GQ107" s="79">
        <f>SUMIFS('GSTR 1'!$F$332:$F$448,'GSTR 1'!$M$332:$M$448,Summaries!$A$86,'GSTR 1'!$A$332:$A$448,Summaries!$A107)</f>
        <v>0</v>
      </c>
      <c r="GR107" s="79">
        <f>SUMIFS('GSTR 1'!$G$332:$G$448,'GSTR 1'!$M$332:$M$448,Summaries!$A$86,'GSTR 1'!$A$332:$A$448,Summaries!$A107)</f>
        <v>0</v>
      </c>
      <c r="GS107" s="79">
        <f>SUMIFS('GSTR 1'!$H$332:$H$448,'GSTR 1'!$M$332:$M$448,Summaries!$A$86,'GSTR 1'!$A$332:$A$448,Summaries!$A107)</f>
        <v>0</v>
      </c>
      <c r="GT107" s="79">
        <f>SUMIFS('GSTR 1'!$I$332:$I$448,'GSTR 1'!$M$332:$M$448,Summaries!$A$86,'GSTR 1'!$A$332:$A$448,Summaries!$A107)</f>
        <v>0</v>
      </c>
      <c r="GU107" s="79">
        <f>SUMIFS('GSTR 1'!$J$332:$J$448,'GSTR 1'!$M$332:$M$448,Summaries!$A$86,'GSTR 1'!$A$332:$A$448,Summaries!$A107)</f>
        <v>0</v>
      </c>
      <c r="GV107" s="79">
        <f>SUMIFS('GSTR 1'!$K$332:$K$448,'GSTR 1'!$M$332:$M$448,Summaries!$A$86,'GSTR 1'!$A$332:$A$448,Summaries!$A107)</f>
        <v>0</v>
      </c>
      <c r="GW107" s="80">
        <f>SUMIFS('GSTR 1'!$E$332:$E$448,'GSTR 1'!$M$332:$M$448,Summaries!$A$87,'GSTR 1'!$A$332:$A$448,Summaries!$A107)</f>
        <v>0</v>
      </c>
      <c r="GX107" s="80">
        <f>SUMIFS('GSTR 1'!$F$332:$F$448,'GSTR 1'!$M$332:$M$448,Summaries!$A$87,'GSTR 1'!$A$332:$A$448,Summaries!$A107)</f>
        <v>0</v>
      </c>
      <c r="GY107" s="80">
        <f>SUMIFS('GSTR 1'!$G$332:$G$448,'GSTR 1'!$M$332:$M$448,Summaries!$A$87,'GSTR 1'!$A$332:$A$448,Summaries!$A107)</f>
        <v>0</v>
      </c>
      <c r="GZ107" s="80">
        <f>SUMIFS('GSTR 1'!$H$332:$H$448,'GSTR 1'!$M$332:$M$448,Summaries!$A$87,'GSTR 1'!$A$332:$A$448,Summaries!$A107)</f>
        <v>0</v>
      </c>
      <c r="HA107" s="80">
        <f>SUMIFS('GSTR 1'!$I$332:$I$448,'GSTR 1'!$M$332:$M$448,Summaries!$A$87,'GSTR 1'!$A$332:$A$448,Summaries!$A107)</f>
        <v>0</v>
      </c>
      <c r="HB107" s="80">
        <f>SUMIFS('GSTR 1'!$J$332:$J$448,'GSTR 1'!$M$332:$M$448,Summaries!$A$87,'GSTR 1'!$A$332:$A$448,Summaries!$A107)</f>
        <v>0</v>
      </c>
      <c r="HC107" s="80">
        <f>SUMIFS('GSTR 1'!$K$332:$K$448,'GSTR 1'!$M$332:$M$448,Summaries!$A$87,'GSTR 1'!$A$332:$A$448,Summaries!$A107)</f>
        <v>0</v>
      </c>
    </row>
    <row r="108" spans="1:211" x14ac:dyDescent="0.3">
      <c r="A108" s="78">
        <f>DATE(INT(LEFT($B$3,4))+1,2,1)</f>
        <v>46054</v>
      </c>
      <c r="B108" s="79">
        <f>SUMIFS('GSTR 1'!$E$332:$E$448,'GSTR 1'!$M$332:$M$448,Summaries!$A$58,'GSTR 1'!$A$332:$A$448,Summaries!A108)</f>
        <v>0</v>
      </c>
      <c r="C108" s="79">
        <f>SUMIFS('GSTR 1'!$F$332:$F$448,'GSTR 1'!$M$332:$M$448,Summaries!$A$58,'GSTR 1'!$A$332:$A$448,Summaries!A108)</f>
        <v>0</v>
      </c>
      <c r="D108" s="79">
        <f>SUMIFS('GSTR 1'!$G$332:$G$448,'GSTR 1'!$M$332:$M$448,Summaries!$A$58,'GSTR 1'!$A$332:$A$448,Summaries!A108)</f>
        <v>0</v>
      </c>
      <c r="E108" s="79">
        <f>SUMIFS('GSTR 1'!$H$332:$H$448,'GSTR 1'!$M$332:$M$448,Summaries!$A$58,'GSTR 1'!$A$332:$A$448,Summaries!A108)</f>
        <v>0</v>
      </c>
      <c r="F108" s="79">
        <f>SUMIFS('GSTR 1'!$I$332:$I$448,'GSTR 1'!$M$332:$M$448,Summaries!$A$58,'GSTR 1'!$A$332:$A$448,Summaries!A108)</f>
        <v>0</v>
      </c>
      <c r="G108" s="79">
        <f>SUMIFS('GSTR 1'!$J$332:$J$448,'GSTR 1'!$M$332:$M$448,Summaries!$A$58,'GSTR 1'!$A$332:$A$448,Summaries!A108)</f>
        <v>0</v>
      </c>
      <c r="H108" s="79">
        <f>SUMIFS('GSTR 1'!$K$332:$K$448,'GSTR 1'!$M$332:$M$448,Summaries!$A$58,'GSTR 1'!$A$332:$A$448,Summaries!A108)</f>
        <v>0</v>
      </c>
      <c r="I108" s="80">
        <f>SUMIFS('GSTR 1'!$E$332:$E$448,'GSTR 1'!$M$332:$M$448,Summaries!$A$59,'GSTR 1'!$A$332:$A$448,Summaries!$A108)</f>
        <v>0</v>
      </c>
      <c r="J108" s="80">
        <f>SUMIFS('GSTR 1'!$F$332:$F$448,'GSTR 1'!$M$332:$M$448,Summaries!$A$59,'GSTR 1'!$A$332:$A$448,Summaries!$A108)</f>
        <v>0</v>
      </c>
      <c r="K108" s="80">
        <f>SUMIFS('GSTR 1'!$G$332:$G$448,'GSTR 1'!$M$332:$M$448,Summaries!$A$59,'GSTR 1'!$A$332:$A$448,Summaries!$A108)</f>
        <v>0</v>
      </c>
      <c r="L108" s="80">
        <f>SUMIFS('GSTR 1'!$H$332:$H$448,'GSTR 1'!$M$332:$M$448,Summaries!$A$59,'GSTR 1'!$A$332:$A$448,Summaries!$A108)</f>
        <v>0</v>
      </c>
      <c r="M108" s="80">
        <f>SUMIFS('GSTR 1'!$I$332:$I$448,'GSTR 1'!$M$332:$M$448,Summaries!$A$59,'GSTR 1'!$A$332:$A$448,Summaries!$A108)</f>
        <v>0</v>
      </c>
      <c r="N108" s="80">
        <f>SUMIFS('GSTR 1'!$J$332:$J$448,'GSTR 1'!$M$332:$M$448,Summaries!$A$59,'GSTR 1'!$A$332:$A$448,Summaries!$A108)</f>
        <v>0</v>
      </c>
      <c r="O108" s="80">
        <f>SUMIFS('GSTR 1'!$K$332:$K$448,'GSTR 1'!$M$332:$M$448,Summaries!$A$59,'GSTR 1'!$A$332:$A$448,Summaries!$A108)</f>
        <v>0</v>
      </c>
      <c r="P108" s="79">
        <f>SUMIFS('GSTR 1'!$E$332:$E$448,'GSTR 1'!$M$332:$M$448,Summaries!$A$60,'GSTR 1'!$A$332:$A$448,Summaries!$A108)</f>
        <v>0</v>
      </c>
      <c r="Q108" s="79">
        <f>SUMIFS('GSTR 1'!$F$332:$F$448,'GSTR 1'!$M$332:$M$448,Summaries!$A$60,'GSTR 1'!$A$332:$A$448,Summaries!$A108)</f>
        <v>0</v>
      </c>
      <c r="R108" s="79">
        <f>SUMIFS('GSTR 1'!$G$332:$G$448,'GSTR 1'!$M$332:$M$448,Summaries!$A$60,'GSTR 1'!$A$332:$A$448,Summaries!$A108)</f>
        <v>0</v>
      </c>
      <c r="S108" s="79">
        <f>SUMIFS('GSTR 1'!$H$332:$H$448,'GSTR 1'!$M$332:$M$448,Summaries!$A$60,'GSTR 1'!$A$332:$A$448,Summaries!$A108)</f>
        <v>0</v>
      </c>
      <c r="T108" s="79">
        <f>SUMIFS('GSTR 1'!$I$332:$I$448,'GSTR 1'!$M$332:$M$448,Summaries!$A$60,'GSTR 1'!$A$332:$A$448,Summaries!$A108)</f>
        <v>0</v>
      </c>
      <c r="U108" s="79">
        <f>SUMIFS('GSTR 1'!$J$332:$J$448,'GSTR 1'!$M$332:$M$448,Summaries!$A$60,'GSTR 1'!$A$332:$A$448,Summaries!$A108)</f>
        <v>0</v>
      </c>
      <c r="V108" s="79">
        <f>SUMIFS('GSTR 1'!$K$332:$K$448,'GSTR 1'!$M$332:$M$448,Summaries!$A$60,'GSTR 1'!$A$332:$A$448,Summaries!$A108)</f>
        <v>0</v>
      </c>
      <c r="W108" s="80">
        <f>SUMIFS('GSTR 1'!$E$332:$E$448,'GSTR 1'!$M$332:$M$448,Summaries!$A$61,'GSTR 1'!$A$332:$A$448,Summaries!$A108)</f>
        <v>0</v>
      </c>
      <c r="X108" s="80">
        <f>SUMIFS('GSTR 1'!$F$332:$F$448,'GSTR 1'!$M$332:$M$448,Summaries!$A$61,'GSTR 1'!$A$332:$A$448,Summaries!$A108)</f>
        <v>0</v>
      </c>
      <c r="Y108" s="80">
        <f>SUMIFS('GSTR 1'!$G$332:$G$448,'GSTR 1'!$M$332:$M$448,Summaries!$A$61,'GSTR 1'!$A$332:$A$448,Summaries!$A108)</f>
        <v>0</v>
      </c>
      <c r="Z108" s="80">
        <f>SUMIFS('GSTR 1'!$H$332:$H$448,'GSTR 1'!$M$332:$M$448,Summaries!$A$61,'GSTR 1'!$A$332:$A$448,Summaries!$A108)</f>
        <v>0</v>
      </c>
      <c r="AA108" s="80">
        <f>SUMIFS('GSTR 1'!$I$332:$I$448,'GSTR 1'!$M$332:$M$448,Summaries!$A$61,'GSTR 1'!$A$332:$A$448,Summaries!$A108)</f>
        <v>0</v>
      </c>
      <c r="AB108" s="80">
        <f>SUMIFS('GSTR 1'!$J$332:$J$448,'GSTR 1'!$M$332:$M$448,Summaries!$A$61,'GSTR 1'!$A$332:$A$448,Summaries!$A108)</f>
        <v>0</v>
      </c>
      <c r="AC108" s="80">
        <f>SUMIFS('GSTR 1'!$K$332:$K$448,'GSTR 1'!$M$332:$M$448,Summaries!$A$61,'GSTR 1'!$A$332:$A$448,Summaries!$A108)</f>
        <v>0</v>
      </c>
      <c r="AD108" s="79">
        <f>SUMIFS('GSTR 1'!$E$332:$E$448,'GSTR 1'!$M$332:$M$448,Summaries!$A$62,'GSTR 1'!$A$332:$A$448,Summaries!$A108)</f>
        <v>0</v>
      </c>
      <c r="AE108" s="79">
        <f>SUMIFS('GSTR 1'!$F$332:$F$448,'GSTR 1'!$M$332:$M$448,Summaries!$A$62,'GSTR 1'!$A$332:$A$448,Summaries!$A108)</f>
        <v>0</v>
      </c>
      <c r="AF108" s="79">
        <f>SUMIFS('GSTR 1'!$G$332:$G$448,'GSTR 1'!$M$332:$M$448,Summaries!$A$62,'GSTR 1'!$A$332:$A$448,Summaries!$A108)</f>
        <v>0</v>
      </c>
      <c r="AG108" s="79">
        <f>SUMIFS('GSTR 1'!$H$332:$H$448,'GSTR 1'!$M$332:$M$448,Summaries!$A$62,'GSTR 1'!$A$332:$A$448,Summaries!$A108)</f>
        <v>0</v>
      </c>
      <c r="AH108" s="79">
        <f>SUMIFS('GSTR 1'!$I$332:$I$448,'GSTR 1'!$M$332:$M$448,Summaries!$A$62,'GSTR 1'!$A$332:$A$448,Summaries!$A108)</f>
        <v>0</v>
      </c>
      <c r="AI108" s="79">
        <f>SUMIFS('GSTR 1'!$J$332:$J$448,'GSTR 1'!$M$332:$M$448,Summaries!$A$62,'GSTR 1'!$A$332:$A$448,Summaries!$A108)</f>
        <v>0</v>
      </c>
      <c r="AJ108" s="79">
        <f>SUMIFS('GSTR 1'!$K$332:$K$448,'GSTR 1'!$M$332:$M$448,Summaries!$A$62,'GSTR 1'!$A$332:$A$448,Summaries!$A108)</f>
        <v>0</v>
      </c>
      <c r="AK108" s="80">
        <f>SUMIFS('GSTR 1'!$E$332:$E$448,'GSTR 1'!$M$332:$M$448,Summaries!$A$63,'GSTR 1'!$A$332:$A$448,Summaries!$A108)</f>
        <v>0</v>
      </c>
      <c r="AL108" s="80">
        <f>SUMIFS('GSTR 1'!$F$332:$F$448,'GSTR 1'!$M$332:$M$448,Summaries!$A$63,'GSTR 1'!$A$332:$A$448,Summaries!$A108)</f>
        <v>0</v>
      </c>
      <c r="AM108" s="80">
        <f>SUMIFS('GSTR 1'!$G$332:$G$448,'GSTR 1'!$M$332:$M$448,Summaries!$A$63,'GSTR 1'!$A$332:$A$448,Summaries!$A108)</f>
        <v>0</v>
      </c>
      <c r="AN108" s="80">
        <f>SUMIFS('GSTR 1'!$H$332:$H$448,'GSTR 1'!$M$332:$M$448,Summaries!$A$63,'GSTR 1'!$A$332:$A$448,Summaries!$A108)</f>
        <v>0</v>
      </c>
      <c r="AO108" s="80">
        <f>SUMIFS('GSTR 1'!$I$332:$I$448,'GSTR 1'!$M$332:$M$448,Summaries!$A$63,'GSTR 1'!$A$332:$A$448,Summaries!$A108)</f>
        <v>0</v>
      </c>
      <c r="AP108" s="80">
        <f>SUMIFS('GSTR 1'!$J$332:$J$448,'GSTR 1'!$M$332:$M$448,Summaries!$A$63,'GSTR 1'!$A$332:$A$448,Summaries!$A108)</f>
        <v>0</v>
      </c>
      <c r="AQ108" s="80">
        <f>SUMIFS('GSTR 1'!$K$332:$K$448,'GSTR 1'!$M$332:$M$448,Summaries!$A$63,'GSTR 1'!$A$332:$A$448,Summaries!$A108)</f>
        <v>0</v>
      </c>
      <c r="AR108" s="79">
        <f>SUMIFS('GSTR 1'!$E$332:$E$448,'GSTR 1'!$M$332:$M$448,Summaries!$A$64,'GSTR 1'!$A$332:$A$448,Summaries!$A108)</f>
        <v>0</v>
      </c>
      <c r="AS108" s="79">
        <f>SUMIFS('GSTR 1'!$F$332:$F$448,'GSTR 1'!$M$332:$M$448,Summaries!$A$64,'GSTR 1'!$A$332:$A$448,Summaries!$A108)</f>
        <v>0</v>
      </c>
      <c r="AT108" s="79">
        <f>SUMIFS('GSTR 1'!$G$332:$G$448,'GSTR 1'!$M$332:$M$448,Summaries!$A$64,'GSTR 1'!$A$332:$A$448,Summaries!$A108)</f>
        <v>0</v>
      </c>
      <c r="AU108" s="79">
        <f>SUMIFS('GSTR 1'!$H$332:$H$448,'GSTR 1'!$M$332:$M$448,Summaries!$A$64,'GSTR 1'!$A$332:$A$448,Summaries!$A108)</f>
        <v>0</v>
      </c>
      <c r="AV108" s="79">
        <f>SUMIFS('GSTR 1'!$I$332:$I$448,'GSTR 1'!$M$332:$M$448,Summaries!$A$64,'GSTR 1'!$A$332:$A$448,Summaries!$A108)</f>
        <v>0</v>
      </c>
      <c r="AW108" s="79">
        <f>SUMIFS('GSTR 1'!$J$332:$J$448,'GSTR 1'!$M$332:$M$448,Summaries!$A$64,'GSTR 1'!$A$332:$A$448,Summaries!$A108)</f>
        <v>0</v>
      </c>
      <c r="AX108" s="79">
        <f>SUMIFS('GSTR 1'!$K$332:$K$448,'GSTR 1'!$M$332:$M$448,Summaries!$A$64,'GSTR 1'!$A$332:$A$448,Summaries!$A108)</f>
        <v>0</v>
      </c>
      <c r="AY108" s="80">
        <f>SUMIFS('GSTR 1'!$E$332:$E$448,'GSTR 1'!$M$332:$M$448,Summaries!$A$65,'GSTR 1'!$A$332:$A$448,Summaries!$A108)</f>
        <v>0</v>
      </c>
      <c r="AZ108" s="80">
        <f>SUMIFS('GSTR 1'!$F$332:$F$448,'GSTR 1'!$M$332:$M$448,Summaries!$A$65,'GSTR 1'!$A$332:$A$448,Summaries!$A108)</f>
        <v>0</v>
      </c>
      <c r="BA108" s="80">
        <f>SUMIFS('GSTR 1'!$G$332:$G$448,'GSTR 1'!$M$332:$M$448,Summaries!$A$65,'GSTR 1'!$A$332:$A$448,Summaries!$A108)</f>
        <v>0</v>
      </c>
      <c r="BB108" s="80">
        <f>SUMIFS('GSTR 1'!$H$332:$H$448,'GSTR 1'!$M$332:$M$448,Summaries!$A$65,'GSTR 1'!$A$332:$A$448,Summaries!$A108)</f>
        <v>0</v>
      </c>
      <c r="BC108" s="80">
        <f>SUMIFS('GSTR 1'!$I$332:$I$448,'GSTR 1'!$M$332:$M$448,Summaries!$A$65,'GSTR 1'!$A$332:$A$448,Summaries!$A108)</f>
        <v>0</v>
      </c>
      <c r="BD108" s="80">
        <f>SUMIFS('GSTR 1'!$J$332:$J$448,'GSTR 1'!$M$332:$M$448,Summaries!$A$65,'GSTR 1'!$A$332:$A$448,Summaries!$A108)</f>
        <v>0</v>
      </c>
      <c r="BE108" s="80">
        <f>SUMIFS('GSTR 1'!$K$332:$K$448,'GSTR 1'!$M$332:$M$448,Summaries!$A$65,'GSTR 1'!$A$332:$A$448,Summaries!$A108)</f>
        <v>0</v>
      </c>
      <c r="BF108" s="79">
        <f>SUMIFS('GSTR 1'!$E$332:$E$448,'GSTR 1'!$M$332:$M$448,Summaries!$A$66,'GSTR 1'!$A$332:$A$448,Summaries!$A108)</f>
        <v>0</v>
      </c>
      <c r="BG108" s="79">
        <f>SUMIFS('GSTR 1'!$F$332:$F$448,'GSTR 1'!$M$332:$M$448,Summaries!$A$66,'GSTR 1'!$A$332:$A$448,Summaries!$A108)</f>
        <v>0</v>
      </c>
      <c r="BH108" s="79">
        <f>SUMIFS('GSTR 1'!$G$332:$G$448,'GSTR 1'!$M$332:$M$448,Summaries!$A$66,'GSTR 1'!$A$332:$A$448,Summaries!$A108)</f>
        <v>0</v>
      </c>
      <c r="BI108" s="79">
        <f>SUMIFS('GSTR 1'!$H$332:$H$448,'GSTR 1'!$M$332:$M$448,Summaries!$A$66,'GSTR 1'!$A$332:$A$448,Summaries!$A108)</f>
        <v>0</v>
      </c>
      <c r="BJ108" s="79">
        <f>SUMIFS('GSTR 1'!$I$332:$I$448,'GSTR 1'!$M$332:$M$448,Summaries!$A$66,'GSTR 1'!$A$332:$A$448,Summaries!$A108)</f>
        <v>0</v>
      </c>
      <c r="BK108" s="79">
        <f>SUMIFS('GSTR 1'!$J$332:$J$448,'GSTR 1'!$M$332:$M$448,Summaries!$A$66,'GSTR 1'!$A$332:$A$448,Summaries!$A108)</f>
        <v>0</v>
      </c>
      <c r="BL108" s="79">
        <f>SUMIFS('GSTR 1'!$K$332:$K$448,'GSTR 1'!$M$332:$M$448,Summaries!$A$66,'GSTR 1'!$A$332:$A$448,Summaries!$A108)</f>
        <v>0</v>
      </c>
      <c r="BM108" s="80">
        <f>SUMIFS('GSTR 1'!$E$332:$E$448,'GSTR 1'!$M$332:$M$448,Summaries!$A$67,'GSTR 1'!$A$332:$A$448,Summaries!$A108)</f>
        <v>0</v>
      </c>
      <c r="BN108" s="80">
        <f>SUMIFS('GSTR 1'!$F$332:$F$448,'GSTR 1'!$M$332:$M$448,Summaries!$A$67,'GSTR 1'!$A$332:$A$448,Summaries!$A108)</f>
        <v>0</v>
      </c>
      <c r="BO108" s="80">
        <f>SUMIFS('GSTR 1'!$G$332:$G$448,'GSTR 1'!$M$332:$M$448,Summaries!$A$67,'GSTR 1'!$A$332:$A$448,Summaries!$A108)</f>
        <v>0</v>
      </c>
      <c r="BP108" s="80">
        <f>SUMIFS('GSTR 1'!$H$332:$H$448,'GSTR 1'!$M$332:$M$448,Summaries!$A$67,'GSTR 1'!$A$332:$A$448,Summaries!$A108)</f>
        <v>0</v>
      </c>
      <c r="BQ108" s="80">
        <f>SUMIFS('GSTR 1'!$I$332:$I$448,'GSTR 1'!$M$332:$M$448,Summaries!$A$67,'GSTR 1'!$A$332:$A$448,Summaries!$A108)</f>
        <v>0</v>
      </c>
      <c r="BR108" s="80">
        <f>SUMIFS('GSTR 1'!$J$332:$J$448,'GSTR 1'!$M$332:$M$448,Summaries!$A$67,'GSTR 1'!$A$332:$A$448,Summaries!$A108)</f>
        <v>0</v>
      </c>
      <c r="BS108" s="80">
        <f>SUMIFS('GSTR 1'!$K$332:$K$448,'GSTR 1'!$M$332:$M$448,Summaries!$A$67,'GSTR 1'!$A$332:$A$448,Summaries!$A108)</f>
        <v>0</v>
      </c>
      <c r="BT108" s="79">
        <f>SUMIFS('GSTR 1'!$E$332:$E$448,'GSTR 1'!$M$332:$M$448,Summaries!$A$68,'GSTR 1'!$A$332:$A$448,Summaries!$A108)</f>
        <v>0</v>
      </c>
      <c r="BU108" s="79">
        <f>SUMIFS('GSTR 1'!$F$332:$F$448,'GSTR 1'!$M$332:$M$448,Summaries!$A$68,'GSTR 1'!$A$332:$A$448,Summaries!$A108)</f>
        <v>0</v>
      </c>
      <c r="BV108" s="79">
        <f>SUMIFS('GSTR 1'!$G$332:$G$448,'GSTR 1'!$M$332:$M$448,Summaries!$A$68,'GSTR 1'!$A$332:$A$448,Summaries!$A108)</f>
        <v>0</v>
      </c>
      <c r="BW108" s="79">
        <f>SUMIFS('GSTR 1'!$H$332:$H$448,'GSTR 1'!$M$332:$M$448,Summaries!$A$68,'GSTR 1'!$A$332:$A$448,Summaries!$A108)</f>
        <v>0</v>
      </c>
      <c r="BX108" s="79">
        <f>SUMIFS('GSTR 1'!$I$332:$I$448,'GSTR 1'!$M$332:$M$448,Summaries!$A$68,'GSTR 1'!$A$332:$A$448,Summaries!$A108)</f>
        <v>0</v>
      </c>
      <c r="BY108" s="79">
        <f>SUMIFS('GSTR 1'!$J$332:$J$448,'GSTR 1'!$M$332:$M$448,Summaries!$A$68,'GSTR 1'!$A$332:$A$448,Summaries!$A108)</f>
        <v>0</v>
      </c>
      <c r="BZ108" s="79">
        <f>SUMIFS('GSTR 1'!$K$332:$K$448,'GSTR 1'!$M$332:$M$448,Summaries!$A$68,'GSTR 1'!$A$332:$A$448,Summaries!$A108)</f>
        <v>0</v>
      </c>
      <c r="CA108" s="80">
        <f>SUMIFS('GSTR 1'!$E$332:$E$448,'GSTR 1'!$M$332:$M$448,Summaries!$A$69,'GSTR 1'!$A$332:$A$448,Summaries!$A108)</f>
        <v>0</v>
      </c>
      <c r="CB108" s="80">
        <f>SUMIFS('GSTR 1'!$F$332:$F$448,'GSTR 1'!$M$332:$M$448,Summaries!$A$69,'GSTR 1'!$A$332:$A$448,Summaries!$A108)</f>
        <v>0</v>
      </c>
      <c r="CC108" s="80">
        <f>SUMIFS('GSTR 1'!$G$332:$G$448,'GSTR 1'!$M$332:$M$448,Summaries!$A$69,'GSTR 1'!$A$332:$A$448,Summaries!$A108)</f>
        <v>0</v>
      </c>
      <c r="CD108" s="80">
        <f>SUMIFS('GSTR 1'!$H$332:$H$448,'GSTR 1'!$M$332:$M$448,Summaries!$A$69,'GSTR 1'!$A$332:$A$448,Summaries!$A108)</f>
        <v>0</v>
      </c>
      <c r="CE108" s="80">
        <f>SUMIFS('GSTR 1'!$I$332:$I$448,'GSTR 1'!$M$332:$M$448,Summaries!$A$69,'GSTR 1'!$A$332:$A$448,Summaries!$A108)</f>
        <v>0</v>
      </c>
      <c r="CF108" s="80">
        <f>SUMIFS('GSTR 1'!$J$332:$J$448,'GSTR 1'!$M$332:$M$448,Summaries!$A$69,'GSTR 1'!$A$332:$A$448,Summaries!$A108)</f>
        <v>0</v>
      </c>
      <c r="CG108" s="80">
        <f>SUMIFS('GSTR 1'!$K$332:$K$448,'GSTR 1'!$M$332:$M$448,Summaries!$A$69,'GSTR 1'!$A$332:$A$448,Summaries!$A108)</f>
        <v>0</v>
      </c>
      <c r="CH108" s="79">
        <f>SUMIFS('GSTR 1'!$E$332:$E$448,'GSTR 1'!$M$332:$M$448,Summaries!$A$70,'GSTR 1'!$A$332:$A$448,Summaries!$A108)</f>
        <v>0</v>
      </c>
      <c r="CI108" s="79">
        <f>SUMIFS('GSTR 1'!$F$332:$F$448,'GSTR 1'!$M$332:$M$448,Summaries!$A$70,'GSTR 1'!$A$332:$A$448,Summaries!$A108)</f>
        <v>0</v>
      </c>
      <c r="CJ108" s="79">
        <f>SUMIFS('GSTR 1'!$G$332:$G$448,'GSTR 1'!$M$332:$M$448,Summaries!$A$70,'GSTR 1'!$A$332:$A$448,Summaries!$A108)</f>
        <v>0</v>
      </c>
      <c r="CK108" s="79">
        <f>SUMIFS('GSTR 1'!$H$332:$H$448,'GSTR 1'!$M$332:$M$448,Summaries!$A$70,'GSTR 1'!$A$332:$A$448,Summaries!$A108)</f>
        <v>0</v>
      </c>
      <c r="CL108" s="79">
        <f>SUMIFS('GSTR 1'!$I$332:$I$448,'GSTR 1'!$M$332:$M$448,Summaries!$A$70,'GSTR 1'!$A$332:$A$448,Summaries!$A108)</f>
        <v>0</v>
      </c>
      <c r="CM108" s="79">
        <f>SUMIFS('GSTR 1'!$J$332:$J$448,'GSTR 1'!$M$332:$M$448,Summaries!$A$70,'GSTR 1'!$A$332:$A$448,Summaries!$A108)</f>
        <v>0</v>
      </c>
      <c r="CN108" s="79">
        <f>SUMIFS('GSTR 1'!$K$332:$K$448,'GSTR 1'!$M$332:$M$448,Summaries!$A$70,'GSTR 1'!$A$332:$A$448,Summaries!$A108)</f>
        <v>0</v>
      </c>
      <c r="CO108" s="80">
        <f>SUMIFS('GSTR 1'!$E$332:$E$448,'GSTR 1'!$M$332:$M$448,Summaries!$A$71,'GSTR 1'!$A$332:$A$448,Summaries!$A108)</f>
        <v>0</v>
      </c>
      <c r="CP108" s="80">
        <f>SUMIFS('GSTR 1'!$F$332:$F$448,'GSTR 1'!$M$332:$M$448,Summaries!$A$71,'GSTR 1'!$A$332:$A$448,Summaries!$A108)</f>
        <v>0</v>
      </c>
      <c r="CQ108" s="80">
        <f>SUMIFS('GSTR 1'!$G$332:$G$448,'GSTR 1'!$M$332:$M$448,Summaries!$A$71,'GSTR 1'!$A$332:$A$448,Summaries!$A108)</f>
        <v>0</v>
      </c>
      <c r="CR108" s="80">
        <f>SUMIFS('GSTR 1'!$H$332:$H$448,'GSTR 1'!$M$332:$M$448,Summaries!$A$71,'GSTR 1'!$A$332:$A$448,Summaries!$A108)</f>
        <v>0</v>
      </c>
      <c r="CS108" s="80">
        <f>SUMIFS('GSTR 1'!$I$332:$I$448,'GSTR 1'!$M$332:$M$448,Summaries!$A$71,'GSTR 1'!$A$332:$A$448,Summaries!$A108)</f>
        <v>0</v>
      </c>
      <c r="CT108" s="80">
        <f>SUMIFS('GSTR 1'!$J$332:$J$448,'GSTR 1'!$M$332:$M$448,Summaries!$A$71,'GSTR 1'!$A$332:$A$448,Summaries!$A108)</f>
        <v>0</v>
      </c>
      <c r="CU108" s="80">
        <f>SUMIFS('GSTR 1'!$K$332:$K$448,'GSTR 1'!$M$332:$M$448,Summaries!$A$71,'GSTR 1'!$A$332:$A$448,Summaries!$A108)</f>
        <v>0</v>
      </c>
      <c r="CV108" s="79">
        <f>SUMIFS('GSTR 1'!$E$332:$E$448,'GSTR 1'!$M$332:$M$448,Summaries!$A$72,'GSTR 1'!$A$332:$A$448,Summaries!$A108)</f>
        <v>0</v>
      </c>
      <c r="CW108" s="79">
        <f>SUMIFS('GSTR 1'!$F$332:$F$448,'GSTR 1'!$M$332:$M$448,Summaries!$A$72,'GSTR 1'!$A$332:$A$448,Summaries!$A108)</f>
        <v>0</v>
      </c>
      <c r="CX108" s="79">
        <f>SUMIFS('GSTR 1'!$G$332:$G$448,'GSTR 1'!$M$332:$M$448,Summaries!$A$72,'GSTR 1'!$A$332:$A$448,Summaries!$A108)</f>
        <v>0</v>
      </c>
      <c r="CY108" s="79">
        <f>SUMIFS('GSTR 1'!$H$332:$H$448,'GSTR 1'!$M$332:$M$448,Summaries!$A$72,'GSTR 1'!$A$332:$A$448,Summaries!$A108)</f>
        <v>0</v>
      </c>
      <c r="CZ108" s="79">
        <f>SUMIFS('GSTR 1'!$I$332:$I$448,'GSTR 1'!$M$332:$M$448,Summaries!$A$72,'GSTR 1'!$A$332:$A$448,Summaries!$A108)</f>
        <v>0</v>
      </c>
      <c r="DA108" s="79">
        <f>SUMIFS('GSTR 1'!$J$332:$J$448,'GSTR 1'!$M$332:$M$448,Summaries!$A$72,'GSTR 1'!$A$332:$A$448,Summaries!$A108)</f>
        <v>0</v>
      </c>
      <c r="DB108" s="79">
        <f>SUMIFS('GSTR 1'!$K$332:$K$448,'GSTR 1'!$M$332:$M$448,Summaries!$A$72,'GSTR 1'!$A$332:$A$448,Summaries!$A108)</f>
        <v>0</v>
      </c>
      <c r="DC108" s="80">
        <f>SUMIFS('GSTR 1'!$E$332:$E$448,'GSTR 1'!$M$332:$M$448,Summaries!$A$73,'GSTR 1'!$A$332:$A$448,Summaries!$A108)</f>
        <v>0</v>
      </c>
      <c r="DD108" s="80">
        <f>SUMIFS('GSTR 1'!$F$332:$F$448,'GSTR 1'!$M$332:$M$448,Summaries!$A$73,'GSTR 1'!$A$332:$A$448,Summaries!$A108)</f>
        <v>0</v>
      </c>
      <c r="DE108" s="80">
        <f>SUMIFS('GSTR 1'!$G$332:$G$448,'GSTR 1'!$M$332:$M$448,Summaries!$A$73,'GSTR 1'!$A$332:$A$448,Summaries!$A108)</f>
        <v>0</v>
      </c>
      <c r="DF108" s="80">
        <f>SUMIFS('GSTR 1'!$H$332:$H$448,'GSTR 1'!$M$332:$M$448,Summaries!$A$73,'GSTR 1'!$A$332:$A$448,Summaries!$A108)</f>
        <v>0</v>
      </c>
      <c r="DG108" s="80">
        <f>SUMIFS('GSTR 1'!$I$332:$I$448,'GSTR 1'!$M$332:$M$448,Summaries!$A$73,'GSTR 1'!$A$332:$A$448,Summaries!$A108)</f>
        <v>0</v>
      </c>
      <c r="DH108" s="80">
        <f>SUMIFS('GSTR 1'!$J$332:$J$448,'GSTR 1'!$M$332:$M$448,Summaries!$A$73,'GSTR 1'!$A$332:$A$448,Summaries!$A108)</f>
        <v>0</v>
      </c>
      <c r="DI108" s="80">
        <f>SUMIFS('GSTR 1'!$K$332:$K$448,'GSTR 1'!$M$332:$M$448,Summaries!$A$73,'GSTR 1'!$A$332:$A$448,Summaries!$A108)</f>
        <v>0</v>
      </c>
      <c r="DJ108" s="79">
        <f>SUMIFS('GSTR 1'!$E$332:$E$448,'GSTR 1'!$M$332:$M$448,Summaries!$A$74,'GSTR 1'!$A$332:$A$448,Summaries!$A108)</f>
        <v>0</v>
      </c>
      <c r="DK108" s="79">
        <f>SUMIFS('GSTR 1'!$F$332:$F$448,'GSTR 1'!$M$332:$M$448,Summaries!$A$74,'GSTR 1'!$A$332:$A$448,Summaries!$A108)</f>
        <v>0</v>
      </c>
      <c r="DL108" s="79">
        <f>SUMIFS('GSTR 1'!$G$332:$G$448,'GSTR 1'!$M$332:$M$448,Summaries!$A$74,'GSTR 1'!$A$332:$A$448,Summaries!$A108)</f>
        <v>0</v>
      </c>
      <c r="DM108" s="79">
        <f>SUMIFS('GSTR 1'!$H$332:$H$448,'GSTR 1'!$M$332:$M$448,Summaries!$A$74,'GSTR 1'!$A$332:$A$448,Summaries!$A108)</f>
        <v>0</v>
      </c>
      <c r="DN108" s="79">
        <f>SUMIFS('GSTR 1'!$I$332:$I$448,'GSTR 1'!$M$332:$M$448,Summaries!$A$74,'GSTR 1'!$A$332:$A$448,Summaries!$A108)</f>
        <v>0</v>
      </c>
      <c r="DO108" s="79">
        <f>SUMIFS('GSTR 1'!$J$332:$J$448,'GSTR 1'!$M$332:$M$448,Summaries!$A$74,'GSTR 1'!$A$332:$A$448,Summaries!$A108)</f>
        <v>0</v>
      </c>
      <c r="DP108" s="79">
        <f>SUMIFS('GSTR 1'!$K$332:$K$448,'GSTR 1'!$M$332:$M$448,Summaries!$A$74,'GSTR 1'!$A$332:$A$448,Summaries!$A108)</f>
        <v>0</v>
      </c>
      <c r="DQ108" s="80">
        <f>SUMIFS('GSTR 1'!$E$332:$E$448,'GSTR 1'!$M$332:$M$448,Summaries!$A$75,'GSTR 1'!$A$332:$A$448,Summaries!$A108)</f>
        <v>0</v>
      </c>
      <c r="DR108" s="80">
        <f>SUMIFS('GSTR 1'!$F$332:$F$448,'GSTR 1'!$M$332:$M$448,Summaries!$A$75,'GSTR 1'!$A$332:$A$448,Summaries!$A108)</f>
        <v>0</v>
      </c>
      <c r="DS108" s="80">
        <f>SUMIFS('GSTR 1'!$G$332:$G$448,'GSTR 1'!$M$332:$M$448,Summaries!$A$75,'GSTR 1'!$A$332:$A$448,Summaries!$A108)</f>
        <v>0</v>
      </c>
      <c r="DT108" s="80">
        <f>SUMIFS('GSTR 1'!$H$332:$H$448,'GSTR 1'!$M$332:$M$448,Summaries!$A$75,'GSTR 1'!$A$332:$A$448,Summaries!$A108)</f>
        <v>0</v>
      </c>
      <c r="DU108" s="80">
        <f>SUMIFS('GSTR 1'!$I$332:$I$448,'GSTR 1'!$M$332:$M$448,Summaries!$A$75,'GSTR 1'!$A$332:$A$448,Summaries!$A108)</f>
        <v>0</v>
      </c>
      <c r="DV108" s="80">
        <f>SUMIFS('GSTR 1'!$J$332:$J$448,'GSTR 1'!$M$332:$M$448,Summaries!$A$75,'GSTR 1'!$A$332:$A$448,Summaries!$A108)</f>
        <v>0</v>
      </c>
      <c r="DW108" s="80">
        <f>SUMIFS('GSTR 1'!$K$332:$K$448,'GSTR 1'!$M$332:$M$448,Summaries!$A$75,'GSTR 1'!$A$332:$A$448,Summaries!$A108)</f>
        <v>0</v>
      </c>
      <c r="DX108" s="79">
        <f>SUMIFS('GSTR 1'!$E$332:$E$448,'GSTR 1'!$M$332:$M$448,Summaries!$A$76,'GSTR 1'!$A$332:$A$448,Summaries!$A108)</f>
        <v>0</v>
      </c>
      <c r="DY108" s="79">
        <f>SUMIFS('GSTR 1'!$F$332:$F$448,'GSTR 1'!$M$332:$M$448,Summaries!$A$76,'GSTR 1'!$A$332:$A$448,Summaries!$A108)</f>
        <v>0</v>
      </c>
      <c r="DZ108" s="79">
        <f>SUMIFS('GSTR 1'!$G$332:$G$448,'GSTR 1'!$M$332:$M$448,Summaries!$A$76,'GSTR 1'!$A$332:$A$448,Summaries!$A108)</f>
        <v>0</v>
      </c>
      <c r="EA108" s="79">
        <f>SUMIFS('GSTR 1'!$H$332:$H$448,'GSTR 1'!$M$332:$M$448,Summaries!$A$76,'GSTR 1'!$A$332:$A$448,Summaries!$A108)</f>
        <v>0</v>
      </c>
      <c r="EB108" s="79">
        <f>SUMIFS('GSTR 1'!$I$332:$I$448,'GSTR 1'!$M$332:$M$448,Summaries!$A$76,'GSTR 1'!$A$332:$A$448,Summaries!$A108)</f>
        <v>0</v>
      </c>
      <c r="EC108" s="79">
        <f>SUMIFS('GSTR 1'!$J$332:$J$448,'GSTR 1'!$M$332:$M$448,Summaries!$A$76,'GSTR 1'!$A$332:$A$448,Summaries!$A108)</f>
        <v>0</v>
      </c>
      <c r="ED108" s="79">
        <f>SUMIFS('GSTR 1'!$K$332:$K$448,'GSTR 1'!$M$332:$M$448,Summaries!$A$76,'GSTR 1'!$A$332:$A$448,Summaries!$A108)</f>
        <v>0</v>
      </c>
      <c r="EE108" s="80">
        <f>SUMIFS('GSTR 1'!$E$332:$E$448,'GSTR 1'!$M$332:$M$448,Summaries!$A$77,'GSTR 1'!$A$332:$A$448,Summaries!$A108)</f>
        <v>0</v>
      </c>
      <c r="EF108" s="80">
        <f>SUMIFS('GSTR 1'!$F$332:$F$448,'GSTR 1'!$M$332:$M$448,Summaries!$A$77,'GSTR 1'!$A$332:$A$448,Summaries!$A108)</f>
        <v>0</v>
      </c>
      <c r="EG108" s="80">
        <f>SUMIFS('GSTR 1'!$G$332:$G$448,'GSTR 1'!$M$332:$M$448,Summaries!$A$77,'GSTR 1'!$A$332:$A$448,Summaries!$A108)</f>
        <v>0</v>
      </c>
      <c r="EH108" s="80">
        <f>SUMIFS('GSTR 1'!$H$332:$H$448,'GSTR 1'!$M$332:$M$448,Summaries!$A$77,'GSTR 1'!$A$332:$A$448,Summaries!$A108)</f>
        <v>0</v>
      </c>
      <c r="EI108" s="80">
        <f>SUMIFS('GSTR 1'!$I$332:$I$448,'GSTR 1'!$M$332:$M$448,Summaries!$A$77,'GSTR 1'!$A$332:$A$448,Summaries!$A108)</f>
        <v>0</v>
      </c>
      <c r="EJ108" s="80">
        <f>SUMIFS('GSTR 1'!$J$332:$J$448,'GSTR 1'!$M$332:$M$448,Summaries!$A$77,'GSTR 1'!$A$332:$A$448,Summaries!$A108)</f>
        <v>0</v>
      </c>
      <c r="EK108" s="80">
        <f>SUMIFS('GSTR 1'!$K$332:$K$448,'GSTR 1'!$M$332:$M$448,Summaries!$A$77,'GSTR 1'!$A$332:$A$448,Summaries!$A108)</f>
        <v>0</v>
      </c>
      <c r="EL108" s="79">
        <f>SUMIFS('GSTR 1'!$E$332:$E$448,'GSTR 1'!$M$332:$M$448,Summaries!$A$78,'GSTR 1'!$A$332:$A$448,Summaries!$A108)</f>
        <v>0</v>
      </c>
      <c r="EM108" s="79">
        <f>SUMIFS('GSTR 1'!$F$332:$F$448,'GSTR 1'!$M$332:$M$448,Summaries!$A$78,'GSTR 1'!$A$332:$A$448,Summaries!$A108)</f>
        <v>0</v>
      </c>
      <c r="EN108" s="79">
        <f>SUMIFS('GSTR 1'!$G$332:$G$448,'GSTR 1'!$M$332:$M$448,Summaries!$A$78,'GSTR 1'!$A$332:$A$448,Summaries!$A108)</f>
        <v>0</v>
      </c>
      <c r="EO108" s="79">
        <f>SUMIFS('GSTR 1'!$H$332:$H$448,'GSTR 1'!$M$332:$M$448,Summaries!$A$78,'GSTR 1'!$A$332:$A$448,Summaries!$A108)</f>
        <v>0</v>
      </c>
      <c r="EP108" s="79">
        <f>SUMIFS('GSTR 1'!$I$332:$I$448,'GSTR 1'!$M$332:$M$448,Summaries!$A$78,'GSTR 1'!$A$332:$A$448,Summaries!$A108)</f>
        <v>0</v>
      </c>
      <c r="EQ108" s="79">
        <f>SUMIFS('GSTR 1'!$J$332:$J$448,'GSTR 1'!$M$332:$M$448,Summaries!$A$78,'GSTR 1'!$A$332:$A$448,Summaries!$A108)</f>
        <v>0</v>
      </c>
      <c r="ER108" s="79">
        <f>SUMIFS('GSTR 1'!$K$332:$K$448,'GSTR 1'!$M$332:$M$448,Summaries!$A$78,'GSTR 1'!$A$332:$A$448,Summaries!$A108)</f>
        <v>0</v>
      </c>
      <c r="ES108" s="80">
        <f>SUMIFS('GSTR 1'!$E$332:$E$448,'GSTR 1'!$M$332:$M$448,Summaries!$A$79,'GSTR 1'!$A$332:$A$448,Summaries!$A108)</f>
        <v>0</v>
      </c>
      <c r="ET108" s="80">
        <f>SUMIFS('GSTR 1'!$F$332:$F$448,'GSTR 1'!$M$332:$M$448,Summaries!$A$79,'GSTR 1'!$A$332:$A$448,Summaries!$A108)</f>
        <v>0</v>
      </c>
      <c r="EU108" s="80">
        <f>SUMIFS('GSTR 1'!$G$332:$G$448,'GSTR 1'!$M$332:$M$448,Summaries!$A$79,'GSTR 1'!$A$332:$A$448,Summaries!$A108)</f>
        <v>0</v>
      </c>
      <c r="EV108" s="80">
        <f>SUMIFS('GSTR 1'!$H$332:$H$448,'GSTR 1'!$M$332:$M$448,Summaries!$A$79,'GSTR 1'!$A$332:$A$448,Summaries!$A108)</f>
        <v>0</v>
      </c>
      <c r="EW108" s="80">
        <f>SUMIFS('GSTR 1'!$I$332:$I$448,'GSTR 1'!$M$332:$M$448,Summaries!$A$79,'GSTR 1'!$A$332:$A$448,Summaries!$A108)</f>
        <v>0</v>
      </c>
      <c r="EX108" s="80">
        <f>SUMIFS('GSTR 1'!$J$332:$J$448,'GSTR 1'!$M$332:$M$448,Summaries!$A$79,'GSTR 1'!$A$332:$A$448,Summaries!$A108)</f>
        <v>0</v>
      </c>
      <c r="EY108" s="80">
        <f>SUMIFS('GSTR 1'!$K$332:$K$448,'GSTR 1'!$M$332:$M$448,Summaries!$A$79,'GSTR 1'!$A$332:$A$448,Summaries!$A108)</f>
        <v>0</v>
      </c>
      <c r="EZ108" s="79">
        <f>SUMIFS('GSTR 1'!$E$332:$E$448,'GSTR 1'!$M$332:$M$448,Summaries!$A$80,'GSTR 1'!$A$332:$A$448,Summaries!$A108)</f>
        <v>0</v>
      </c>
      <c r="FA108" s="79">
        <f>SUMIFS('GSTR 1'!$F$332:$F$448,'GSTR 1'!$M$332:$M$448,Summaries!$A$80,'GSTR 1'!$A$332:$A$448,Summaries!$A108)</f>
        <v>0</v>
      </c>
      <c r="FB108" s="79">
        <f>SUMIFS('GSTR 1'!$G$332:$G$448,'GSTR 1'!$M$332:$M$448,Summaries!$A$80,'GSTR 1'!$A$332:$A$448,Summaries!$A108)</f>
        <v>0</v>
      </c>
      <c r="FC108" s="79">
        <f>SUMIFS('GSTR 1'!$H$332:$H$448,'GSTR 1'!$M$332:$M$448,Summaries!$A$80,'GSTR 1'!$A$332:$A$448,Summaries!$A108)</f>
        <v>0</v>
      </c>
      <c r="FD108" s="79">
        <f>SUMIFS('GSTR 1'!$I$332:$I$448,'GSTR 1'!$M$332:$M$448,Summaries!$A$80,'GSTR 1'!$A$332:$A$448,Summaries!$A108)</f>
        <v>0</v>
      </c>
      <c r="FE108" s="79">
        <f>SUMIFS('GSTR 1'!$J$332:$J$448,'GSTR 1'!$M$332:$M$448,Summaries!$A$80,'GSTR 1'!$A$332:$A$448,Summaries!$A108)</f>
        <v>0</v>
      </c>
      <c r="FF108" s="79">
        <f>SUMIFS('GSTR 1'!$K$332:$K$448,'GSTR 1'!$M$332:$M$448,Summaries!$A$80,'GSTR 1'!$A$332:$A$448,Summaries!$A108)</f>
        <v>0</v>
      </c>
      <c r="FG108" s="80">
        <f>SUMIFS('GSTR 1'!$E$332:$E$448,'GSTR 1'!$M$332:$M$448,Summaries!$A$81,'GSTR 1'!$A$332:$A$448,Summaries!$A108)</f>
        <v>0</v>
      </c>
      <c r="FH108" s="80">
        <f>SUMIFS('GSTR 1'!$F$332:$F$448,'GSTR 1'!$M$332:$M$448,Summaries!$A$81,'GSTR 1'!$A$332:$A$448,Summaries!$A108)</f>
        <v>0</v>
      </c>
      <c r="FI108" s="80">
        <f>SUMIFS('GSTR 1'!$G$332:$G$448,'GSTR 1'!$M$332:$M$448,Summaries!$A$81,'GSTR 1'!$A$332:$A$448,Summaries!$A108)</f>
        <v>0</v>
      </c>
      <c r="FJ108" s="80">
        <f>SUMIFS('GSTR 1'!$H$332:$H$448,'GSTR 1'!$M$332:$M$448,Summaries!$A$81,'GSTR 1'!$A$332:$A$448,Summaries!$A108)</f>
        <v>0</v>
      </c>
      <c r="FK108" s="80">
        <f>SUMIFS('GSTR 1'!$I$332:$I$448,'GSTR 1'!$M$332:$M$448,Summaries!$A$81,'GSTR 1'!$A$332:$A$448,Summaries!$A108)</f>
        <v>0</v>
      </c>
      <c r="FL108" s="80">
        <f>SUMIFS('GSTR 1'!$J$332:$J$448,'GSTR 1'!$M$332:$M$448,Summaries!$A$81,'GSTR 1'!$A$332:$A$448,Summaries!$A108)</f>
        <v>0</v>
      </c>
      <c r="FM108" s="80">
        <f>SUMIFS('GSTR 1'!$K$332:$K$448,'GSTR 1'!$M$332:$M$448,Summaries!$A$81,'GSTR 1'!$A$332:$A$448,Summaries!$A108)</f>
        <v>0</v>
      </c>
      <c r="FN108" s="79">
        <f>SUMIFS('GSTR 1'!$E$332:$E$448,'GSTR 1'!$M$332:$M$448,Summaries!$A$82,'GSTR 1'!$A$332:$A$448,Summaries!$A108)</f>
        <v>0</v>
      </c>
      <c r="FO108" s="79">
        <f>SUMIFS('GSTR 1'!$F$332:$F$448,'GSTR 1'!$M$332:$M$448,Summaries!$A$82,'GSTR 1'!$A$332:$A$448,Summaries!$A108)</f>
        <v>0</v>
      </c>
      <c r="FP108" s="79">
        <f>SUMIFS('GSTR 1'!$G$332:$G$448,'GSTR 1'!$M$332:$M$448,Summaries!$A$82,'GSTR 1'!$A$332:$A$448,Summaries!$A108)</f>
        <v>0</v>
      </c>
      <c r="FQ108" s="79">
        <f>SUMIFS('GSTR 1'!$H$332:$H$448,'GSTR 1'!$M$332:$M$448,Summaries!$A$82,'GSTR 1'!$A$332:$A$448,Summaries!$A108)</f>
        <v>0</v>
      </c>
      <c r="FR108" s="79">
        <f>SUMIFS('GSTR 1'!$I$332:$I$448,'GSTR 1'!$M$332:$M$448,Summaries!$A$82,'GSTR 1'!$A$332:$A$448,Summaries!$A108)</f>
        <v>0</v>
      </c>
      <c r="FS108" s="79">
        <f>SUMIFS('GSTR 1'!$J$332:$J$448,'GSTR 1'!$M$332:$M$448,Summaries!$A$82,'GSTR 1'!$A$332:$A$448,Summaries!$A108)</f>
        <v>0</v>
      </c>
      <c r="FT108" s="79">
        <f>SUMIFS('GSTR 1'!$K$332:$K$448,'GSTR 1'!$M$332:$M$448,Summaries!$A$82,'GSTR 1'!$A$332:$A$448,Summaries!$A108)</f>
        <v>0</v>
      </c>
      <c r="FU108" s="80">
        <f>SUMIFS('GSTR 1'!$E$332:$E$448,'GSTR 1'!$M$332:$M$448,Summaries!$A$83,'GSTR 1'!$A$332:$A$448,Summaries!$A108)</f>
        <v>0</v>
      </c>
      <c r="FV108" s="80">
        <f>SUMIFS('GSTR 1'!$F$332:$F$448,'GSTR 1'!$M$332:$M$448,Summaries!$A$83,'GSTR 1'!$A$332:$A$448,Summaries!$A108)</f>
        <v>0</v>
      </c>
      <c r="FW108" s="80">
        <f>SUMIFS('GSTR 1'!$G$332:$G$448,'GSTR 1'!$M$332:$M$448,Summaries!$A$83,'GSTR 1'!$A$332:$A$448,Summaries!$A108)</f>
        <v>0</v>
      </c>
      <c r="FX108" s="80">
        <f>SUMIFS('GSTR 1'!$H$332:$H$448,'GSTR 1'!$M$332:$M$448,Summaries!$A$83,'GSTR 1'!$A$332:$A$448,Summaries!$A108)</f>
        <v>0</v>
      </c>
      <c r="FY108" s="80">
        <f>SUMIFS('GSTR 1'!$I$332:$I$448,'GSTR 1'!$M$332:$M$448,Summaries!$A$83,'GSTR 1'!$A$332:$A$448,Summaries!$A108)</f>
        <v>0</v>
      </c>
      <c r="FZ108" s="80">
        <f>SUMIFS('GSTR 1'!$J$332:$J$448,'GSTR 1'!$M$332:$M$448,Summaries!$A$83,'GSTR 1'!$A$332:$A$448,Summaries!$A108)</f>
        <v>0</v>
      </c>
      <c r="GA108" s="80">
        <f>SUMIFS('GSTR 1'!$K$332:$K$448,'GSTR 1'!$M$332:$M$448,Summaries!$A$83,'GSTR 1'!$A$332:$A$448,Summaries!$A108)</f>
        <v>0</v>
      </c>
      <c r="GB108" s="79">
        <f>SUMIFS('GSTR 1'!$E$332:$E$448,'GSTR 1'!$M$332:$M$448,Summaries!$A$84,'GSTR 1'!$A$332:$A$448,Summaries!$A108)</f>
        <v>0</v>
      </c>
      <c r="GC108" s="79">
        <f>SUMIFS('GSTR 1'!$F$332:$F$448,'GSTR 1'!$M$332:$M$448,Summaries!$A$84,'GSTR 1'!$A$332:$A$448,Summaries!$A108)</f>
        <v>0</v>
      </c>
      <c r="GD108" s="79">
        <f>SUMIFS('GSTR 1'!$G$332:$G$448,'GSTR 1'!$M$332:$M$448,Summaries!$A$84,'GSTR 1'!$A$332:$A$448,Summaries!$A108)</f>
        <v>0</v>
      </c>
      <c r="GE108" s="79">
        <f>SUMIFS('GSTR 1'!$H$332:$H$448,'GSTR 1'!$M$332:$M$448,Summaries!$A$84,'GSTR 1'!$A$332:$A$448,Summaries!$A108)</f>
        <v>0</v>
      </c>
      <c r="GF108" s="79">
        <f>SUMIFS('GSTR 1'!$I$332:$I$448,'GSTR 1'!$M$332:$M$448,Summaries!$A$84,'GSTR 1'!$A$332:$A$448,Summaries!$A108)</f>
        <v>0</v>
      </c>
      <c r="GG108" s="79">
        <f>SUMIFS('GSTR 1'!$J$332:$J$448,'GSTR 1'!$M$332:$M$448,Summaries!$A$84,'GSTR 1'!$A$332:$A$448,Summaries!$A108)</f>
        <v>0</v>
      </c>
      <c r="GH108" s="79">
        <f>SUMIFS('GSTR 1'!$K$332:$K$448,'GSTR 1'!$M$332:$M$448,Summaries!$A$84,'GSTR 1'!$A$332:$A$448,Summaries!$A108)</f>
        <v>0</v>
      </c>
      <c r="GI108" s="80">
        <f>SUMIFS('GSTR 1'!$E$332:$E$448,'GSTR 1'!$M$332:$M$448,Summaries!$A$85,'GSTR 1'!$A$332:$A$448,Summaries!$A108)</f>
        <v>0</v>
      </c>
      <c r="GJ108" s="80">
        <f>SUMIFS('GSTR 1'!$F$332:$F$448,'GSTR 1'!$M$332:$M$448,Summaries!$A$85,'GSTR 1'!$A$332:$A$448,Summaries!$A108)</f>
        <v>0</v>
      </c>
      <c r="GK108" s="80">
        <f>SUMIFS('GSTR 1'!$G$332:$G$448,'GSTR 1'!$M$332:$M$448,Summaries!$A$85,'GSTR 1'!$A$332:$A$448,Summaries!$A108)</f>
        <v>0</v>
      </c>
      <c r="GL108" s="80">
        <f>SUMIFS('GSTR 1'!$H$332:$H$448,'GSTR 1'!$M$332:$M$448,Summaries!$A$85,'GSTR 1'!$A$332:$A$448,Summaries!$A108)</f>
        <v>0</v>
      </c>
      <c r="GM108" s="80">
        <f>SUMIFS('GSTR 1'!$I$332:$I$448,'GSTR 1'!$M$332:$M$448,Summaries!$A$85,'GSTR 1'!$A$332:$A$448,Summaries!$A108)</f>
        <v>0</v>
      </c>
      <c r="GN108" s="80">
        <f>SUMIFS('GSTR 1'!$J$332:$J$448,'GSTR 1'!$M$332:$M$448,Summaries!$A$85,'GSTR 1'!$A$332:$A$448,Summaries!$A108)</f>
        <v>0</v>
      </c>
      <c r="GO108" s="80">
        <f>SUMIFS('GSTR 1'!$K$332:$K$448,'GSTR 1'!$M$332:$M$448,Summaries!$A$85,'GSTR 1'!$A$332:$A$448,Summaries!$A108)</f>
        <v>0</v>
      </c>
      <c r="GP108" s="79">
        <f>SUMIFS('GSTR 1'!$E$332:$E$448,'GSTR 1'!$M$332:$M$448,Summaries!$A$86,'GSTR 1'!$A$332:$A$448,Summaries!$A108)</f>
        <v>0</v>
      </c>
      <c r="GQ108" s="79">
        <f>SUMIFS('GSTR 1'!$F$332:$F$448,'GSTR 1'!$M$332:$M$448,Summaries!$A$86,'GSTR 1'!$A$332:$A$448,Summaries!$A108)</f>
        <v>0</v>
      </c>
      <c r="GR108" s="79">
        <f>SUMIFS('GSTR 1'!$G$332:$G$448,'GSTR 1'!$M$332:$M$448,Summaries!$A$86,'GSTR 1'!$A$332:$A$448,Summaries!$A108)</f>
        <v>0</v>
      </c>
      <c r="GS108" s="79">
        <f>SUMIFS('GSTR 1'!$H$332:$H$448,'GSTR 1'!$M$332:$M$448,Summaries!$A$86,'GSTR 1'!$A$332:$A$448,Summaries!$A108)</f>
        <v>0</v>
      </c>
      <c r="GT108" s="79">
        <f>SUMIFS('GSTR 1'!$I$332:$I$448,'GSTR 1'!$M$332:$M$448,Summaries!$A$86,'GSTR 1'!$A$332:$A$448,Summaries!$A108)</f>
        <v>0</v>
      </c>
      <c r="GU108" s="79">
        <f>SUMIFS('GSTR 1'!$J$332:$J$448,'GSTR 1'!$M$332:$M$448,Summaries!$A$86,'GSTR 1'!$A$332:$A$448,Summaries!$A108)</f>
        <v>0</v>
      </c>
      <c r="GV108" s="79">
        <f>SUMIFS('GSTR 1'!$K$332:$K$448,'GSTR 1'!$M$332:$M$448,Summaries!$A$86,'GSTR 1'!$A$332:$A$448,Summaries!$A108)</f>
        <v>0</v>
      </c>
      <c r="GW108" s="80">
        <f>SUMIFS('GSTR 1'!$E$332:$E$448,'GSTR 1'!$M$332:$M$448,Summaries!$A$87,'GSTR 1'!$A$332:$A$448,Summaries!$A108)</f>
        <v>0</v>
      </c>
      <c r="GX108" s="80">
        <f>SUMIFS('GSTR 1'!$F$332:$F$448,'GSTR 1'!$M$332:$M$448,Summaries!$A$87,'GSTR 1'!$A$332:$A$448,Summaries!$A108)</f>
        <v>0</v>
      </c>
      <c r="GY108" s="80">
        <f>SUMIFS('GSTR 1'!$G$332:$G$448,'GSTR 1'!$M$332:$M$448,Summaries!$A$87,'GSTR 1'!$A$332:$A$448,Summaries!$A108)</f>
        <v>0</v>
      </c>
      <c r="GZ108" s="80">
        <f>SUMIFS('GSTR 1'!$H$332:$H$448,'GSTR 1'!$M$332:$M$448,Summaries!$A$87,'GSTR 1'!$A$332:$A$448,Summaries!$A108)</f>
        <v>0</v>
      </c>
      <c r="HA108" s="80">
        <f>SUMIFS('GSTR 1'!$I$332:$I$448,'GSTR 1'!$M$332:$M$448,Summaries!$A$87,'GSTR 1'!$A$332:$A$448,Summaries!$A108)</f>
        <v>0</v>
      </c>
      <c r="HB108" s="80">
        <f>SUMIFS('GSTR 1'!$J$332:$J$448,'GSTR 1'!$M$332:$M$448,Summaries!$A$87,'GSTR 1'!$A$332:$A$448,Summaries!$A108)</f>
        <v>0</v>
      </c>
      <c r="HC108" s="80">
        <f>SUMIFS('GSTR 1'!$K$332:$K$448,'GSTR 1'!$M$332:$M$448,Summaries!$A$87,'GSTR 1'!$A$332:$A$448,Summaries!$A108)</f>
        <v>0</v>
      </c>
    </row>
    <row r="109" spans="1:211" x14ac:dyDescent="0.3">
      <c r="A109" s="78">
        <f>DATE(INT(LEFT($B$3,4))+1,3,1)</f>
        <v>46082</v>
      </c>
      <c r="B109" s="79">
        <f>SUMIFS('GSTR 1'!$E$332:$E$448,'GSTR 1'!$M$332:$M$448,Summaries!$A$58,'GSTR 1'!$A$332:$A$448,Summaries!A109)</f>
        <v>0</v>
      </c>
      <c r="C109" s="79">
        <f>SUMIFS('GSTR 1'!$F$332:$F$448,'GSTR 1'!$M$332:$M$448,Summaries!$A$58,'GSTR 1'!$A$332:$A$448,Summaries!A109)</f>
        <v>0</v>
      </c>
      <c r="D109" s="79">
        <f>SUMIFS('GSTR 1'!$G$332:$G$448,'GSTR 1'!$M$332:$M$448,Summaries!$A$58,'GSTR 1'!$A$332:$A$448,Summaries!A109)</f>
        <v>0</v>
      </c>
      <c r="E109" s="79">
        <f>SUMIFS('GSTR 1'!$H$332:$H$448,'GSTR 1'!$M$332:$M$448,Summaries!$A$58,'GSTR 1'!$A$332:$A$448,Summaries!A109)</f>
        <v>0</v>
      </c>
      <c r="F109" s="79">
        <f>SUMIFS('GSTR 1'!$I$332:$I$448,'GSTR 1'!$M$332:$M$448,Summaries!$A$58,'GSTR 1'!$A$332:$A$448,Summaries!A109)</f>
        <v>0</v>
      </c>
      <c r="G109" s="79">
        <f>SUMIFS('GSTR 1'!$J$332:$J$448,'GSTR 1'!$M$332:$M$448,Summaries!$A$58,'GSTR 1'!$A$332:$A$448,Summaries!A109)</f>
        <v>0</v>
      </c>
      <c r="H109" s="79">
        <f>SUMIFS('GSTR 1'!$K$332:$K$448,'GSTR 1'!$M$332:$M$448,Summaries!$A$58,'GSTR 1'!$A$332:$A$448,Summaries!A109)</f>
        <v>0</v>
      </c>
      <c r="I109" s="80">
        <f>SUMIFS('GSTR 1'!$E$332:$E$448,'GSTR 1'!$M$332:$M$448,Summaries!$A$59,'GSTR 1'!$A$332:$A$448,Summaries!$A109)</f>
        <v>0</v>
      </c>
      <c r="J109" s="80">
        <f>SUMIFS('GSTR 1'!$F$332:$F$448,'GSTR 1'!$M$332:$M$448,Summaries!$A$59,'GSTR 1'!$A$332:$A$448,Summaries!$A109)</f>
        <v>0</v>
      </c>
      <c r="K109" s="80">
        <f>SUMIFS('GSTR 1'!$G$332:$G$448,'GSTR 1'!$M$332:$M$448,Summaries!$A$59,'GSTR 1'!$A$332:$A$448,Summaries!$A109)</f>
        <v>0</v>
      </c>
      <c r="L109" s="80">
        <f>SUMIFS('GSTR 1'!$H$332:$H$448,'GSTR 1'!$M$332:$M$448,Summaries!$A$59,'GSTR 1'!$A$332:$A$448,Summaries!$A109)</f>
        <v>0</v>
      </c>
      <c r="M109" s="80">
        <f>SUMIFS('GSTR 1'!$I$332:$I$448,'GSTR 1'!$M$332:$M$448,Summaries!$A$59,'GSTR 1'!$A$332:$A$448,Summaries!$A109)</f>
        <v>0</v>
      </c>
      <c r="N109" s="80">
        <f>SUMIFS('GSTR 1'!$J$332:$J$448,'GSTR 1'!$M$332:$M$448,Summaries!$A$59,'GSTR 1'!$A$332:$A$448,Summaries!$A109)</f>
        <v>0</v>
      </c>
      <c r="O109" s="80">
        <f>SUMIFS('GSTR 1'!$K$332:$K$448,'GSTR 1'!$M$332:$M$448,Summaries!$A$59,'GSTR 1'!$A$332:$A$448,Summaries!$A109)</f>
        <v>0</v>
      </c>
      <c r="P109" s="79">
        <f>SUMIFS('GSTR 1'!$E$332:$E$448,'GSTR 1'!$M$332:$M$448,Summaries!$A$60,'GSTR 1'!$A$332:$A$448,Summaries!$A109)</f>
        <v>0</v>
      </c>
      <c r="Q109" s="79">
        <f>SUMIFS('GSTR 1'!$F$332:$F$448,'GSTR 1'!$M$332:$M$448,Summaries!$A$60,'GSTR 1'!$A$332:$A$448,Summaries!$A109)</f>
        <v>0</v>
      </c>
      <c r="R109" s="79">
        <f>SUMIFS('GSTR 1'!$G$332:$G$448,'GSTR 1'!$M$332:$M$448,Summaries!$A$60,'GSTR 1'!$A$332:$A$448,Summaries!$A109)</f>
        <v>0</v>
      </c>
      <c r="S109" s="79">
        <f>SUMIFS('GSTR 1'!$H$332:$H$448,'GSTR 1'!$M$332:$M$448,Summaries!$A$60,'GSTR 1'!$A$332:$A$448,Summaries!$A109)</f>
        <v>0</v>
      </c>
      <c r="T109" s="79">
        <f>SUMIFS('GSTR 1'!$I$332:$I$448,'GSTR 1'!$M$332:$M$448,Summaries!$A$60,'GSTR 1'!$A$332:$A$448,Summaries!$A109)</f>
        <v>0</v>
      </c>
      <c r="U109" s="79">
        <f>SUMIFS('GSTR 1'!$J$332:$J$448,'GSTR 1'!$M$332:$M$448,Summaries!$A$60,'GSTR 1'!$A$332:$A$448,Summaries!$A109)</f>
        <v>0</v>
      </c>
      <c r="V109" s="79">
        <f>SUMIFS('GSTR 1'!$K$332:$K$448,'GSTR 1'!$M$332:$M$448,Summaries!$A$60,'GSTR 1'!$A$332:$A$448,Summaries!$A109)</f>
        <v>0</v>
      </c>
      <c r="W109" s="80">
        <f>SUMIFS('GSTR 1'!$E$332:$E$448,'GSTR 1'!$M$332:$M$448,Summaries!$A$61,'GSTR 1'!$A$332:$A$448,Summaries!$A109)</f>
        <v>0</v>
      </c>
      <c r="X109" s="80">
        <f>SUMIFS('GSTR 1'!$F$332:$F$448,'GSTR 1'!$M$332:$M$448,Summaries!$A$61,'GSTR 1'!$A$332:$A$448,Summaries!$A109)</f>
        <v>0</v>
      </c>
      <c r="Y109" s="80">
        <f>SUMIFS('GSTR 1'!$G$332:$G$448,'GSTR 1'!$M$332:$M$448,Summaries!$A$61,'GSTR 1'!$A$332:$A$448,Summaries!$A109)</f>
        <v>0</v>
      </c>
      <c r="Z109" s="80">
        <f>SUMIFS('GSTR 1'!$H$332:$H$448,'GSTR 1'!$M$332:$M$448,Summaries!$A$61,'GSTR 1'!$A$332:$A$448,Summaries!$A109)</f>
        <v>0</v>
      </c>
      <c r="AA109" s="80">
        <f>SUMIFS('GSTR 1'!$I$332:$I$448,'GSTR 1'!$M$332:$M$448,Summaries!$A$61,'GSTR 1'!$A$332:$A$448,Summaries!$A109)</f>
        <v>0</v>
      </c>
      <c r="AB109" s="80">
        <f>SUMIFS('GSTR 1'!$J$332:$J$448,'GSTR 1'!$M$332:$M$448,Summaries!$A$61,'GSTR 1'!$A$332:$A$448,Summaries!$A109)</f>
        <v>0</v>
      </c>
      <c r="AC109" s="80">
        <f>SUMIFS('GSTR 1'!$K$332:$K$448,'GSTR 1'!$M$332:$M$448,Summaries!$A$61,'GSTR 1'!$A$332:$A$448,Summaries!$A109)</f>
        <v>0</v>
      </c>
      <c r="AD109" s="79">
        <f>SUMIFS('GSTR 1'!$E$332:$E$448,'GSTR 1'!$M$332:$M$448,Summaries!$A$62,'GSTR 1'!$A$332:$A$448,Summaries!$A109)</f>
        <v>0</v>
      </c>
      <c r="AE109" s="79">
        <f>SUMIFS('GSTR 1'!$F$332:$F$448,'GSTR 1'!$M$332:$M$448,Summaries!$A$62,'GSTR 1'!$A$332:$A$448,Summaries!$A109)</f>
        <v>0</v>
      </c>
      <c r="AF109" s="79">
        <f>SUMIFS('GSTR 1'!$G$332:$G$448,'GSTR 1'!$M$332:$M$448,Summaries!$A$62,'GSTR 1'!$A$332:$A$448,Summaries!$A109)</f>
        <v>0</v>
      </c>
      <c r="AG109" s="79">
        <f>SUMIFS('GSTR 1'!$H$332:$H$448,'GSTR 1'!$M$332:$M$448,Summaries!$A$62,'GSTR 1'!$A$332:$A$448,Summaries!$A109)</f>
        <v>0</v>
      </c>
      <c r="AH109" s="79">
        <f>SUMIFS('GSTR 1'!$I$332:$I$448,'GSTR 1'!$M$332:$M$448,Summaries!$A$62,'GSTR 1'!$A$332:$A$448,Summaries!$A109)</f>
        <v>0</v>
      </c>
      <c r="AI109" s="79">
        <f>SUMIFS('GSTR 1'!$J$332:$J$448,'GSTR 1'!$M$332:$M$448,Summaries!$A$62,'GSTR 1'!$A$332:$A$448,Summaries!$A109)</f>
        <v>0</v>
      </c>
      <c r="AJ109" s="79">
        <f>SUMIFS('GSTR 1'!$K$332:$K$448,'GSTR 1'!$M$332:$M$448,Summaries!$A$62,'GSTR 1'!$A$332:$A$448,Summaries!$A109)</f>
        <v>0</v>
      </c>
      <c r="AK109" s="80">
        <f>SUMIFS('GSTR 1'!$E$332:$E$448,'GSTR 1'!$M$332:$M$448,Summaries!$A$63,'GSTR 1'!$A$332:$A$448,Summaries!$A109)</f>
        <v>0</v>
      </c>
      <c r="AL109" s="80">
        <f>SUMIFS('GSTR 1'!$F$332:$F$448,'GSTR 1'!$M$332:$M$448,Summaries!$A$63,'GSTR 1'!$A$332:$A$448,Summaries!$A109)</f>
        <v>0</v>
      </c>
      <c r="AM109" s="80">
        <f>SUMIFS('GSTR 1'!$G$332:$G$448,'GSTR 1'!$M$332:$M$448,Summaries!$A$63,'GSTR 1'!$A$332:$A$448,Summaries!$A109)</f>
        <v>0</v>
      </c>
      <c r="AN109" s="80">
        <f>SUMIFS('GSTR 1'!$H$332:$H$448,'GSTR 1'!$M$332:$M$448,Summaries!$A$63,'GSTR 1'!$A$332:$A$448,Summaries!$A109)</f>
        <v>0</v>
      </c>
      <c r="AO109" s="80">
        <f>SUMIFS('GSTR 1'!$I$332:$I$448,'GSTR 1'!$M$332:$M$448,Summaries!$A$63,'GSTR 1'!$A$332:$A$448,Summaries!$A109)</f>
        <v>0</v>
      </c>
      <c r="AP109" s="80">
        <f>SUMIFS('GSTR 1'!$J$332:$J$448,'GSTR 1'!$M$332:$M$448,Summaries!$A$63,'GSTR 1'!$A$332:$A$448,Summaries!$A109)</f>
        <v>0</v>
      </c>
      <c r="AQ109" s="80">
        <f>SUMIFS('GSTR 1'!$K$332:$K$448,'GSTR 1'!$M$332:$M$448,Summaries!$A$63,'GSTR 1'!$A$332:$A$448,Summaries!$A109)</f>
        <v>0</v>
      </c>
      <c r="AR109" s="79">
        <f>SUMIFS('GSTR 1'!$E$332:$E$448,'GSTR 1'!$M$332:$M$448,Summaries!$A$64,'GSTR 1'!$A$332:$A$448,Summaries!$A109)</f>
        <v>0</v>
      </c>
      <c r="AS109" s="79">
        <f>SUMIFS('GSTR 1'!$F$332:$F$448,'GSTR 1'!$M$332:$M$448,Summaries!$A$64,'GSTR 1'!$A$332:$A$448,Summaries!$A109)</f>
        <v>0</v>
      </c>
      <c r="AT109" s="79">
        <f>SUMIFS('GSTR 1'!$G$332:$G$448,'GSTR 1'!$M$332:$M$448,Summaries!$A$64,'GSTR 1'!$A$332:$A$448,Summaries!$A109)</f>
        <v>0</v>
      </c>
      <c r="AU109" s="79">
        <f>SUMIFS('GSTR 1'!$H$332:$H$448,'GSTR 1'!$M$332:$M$448,Summaries!$A$64,'GSTR 1'!$A$332:$A$448,Summaries!$A109)</f>
        <v>0</v>
      </c>
      <c r="AV109" s="79">
        <f>SUMIFS('GSTR 1'!$I$332:$I$448,'GSTR 1'!$M$332:$M$448,Summaries!$A$64,'GSTR 1'!$A$332:$A$448,Summaries!$A109)</f>
        <v>0</v>
      </c>
      <c r="AW109" s="79">
        <f>SUMIFS('GSTR 1'!$J$332:$J$448,'GSTR 1'!$M$332:$M$448,Summaries!$A$64,'GSTR 1'!$A$332:$A$448,Summaries!$A109)</f>
        <v>0</v>
      </c>
      <c r="AX109" s="79">
        <f>SUMIFS('GSTR 1'!$K$332:$K$448,'GSTR 1'!$M$332:$M$448,Summaries!$A$64,'GSTR 1'!$A$332:$A$448,Summaries!$A109)</f>
        <v>0</v>
      </c>
      <c r="AY109" s="80">
        <f>SUMIFS('GSTR 1'!$E$332:$E$448,'GSTR 1'!$M$332:$M$448,Summaries!$A$65,'GSTR 1'!$A$332:$A$448,Summaries!$A109)</f>
        <v>0</v>
      </c>
      <c r="AZ109" s="80">
        <f>SUMIFS('GSTR 1'!$F$332:$F$448,'GSTR 1'!$M$332:$M$448,Summaries!$A$65,'GSTR 1'!$A$332:$A$448,Summaries!$A109)</f>
        <v>0</v>
      </c>
      <c r="BA109" s="80">
        <f>SUMIFS('GSTR 1'!$G$332:$G$448,'GSTR 1'!$M$332:$M$448,Summaries!$A$65,'GSTR 1'!$A$332:$A$448,Summaries!$A109)</f>
        <v>0</v>
      </c>
      <c r="BB109" s="80">
        <f>SUMIFS('GSTR 1'!$H$332:$H$448,'GSTR 1'!$M$332:$M$448,Summaries!$A$65,'GSTR 1'!$A$332:$A$448,Summaries!$A109)</f>
        <v>0</v>
      </c>
      <c r="BC109" s="80">
        <f>SUMIFS('GSTR 1'!$I$332:$I$448,'GSTR 1'!$M$332:$M$448,Summaries!$A$65,'GSTR 1'!$A$332:$A$448,Summaries!$A109)</f>
        <v>0</v>
      </c>
      <c r="BD109" s="80">
        <f>SUMIFS('GSTR 1'!$J$332:$J$448,'GSTR 1'!$M$332:$M$448,Summaries!$A$65,'GSTR 1'!$A$332:$A$448,Summaries!$A109)</f>
        <v>0</v>
      </c>
      <c r="BE109" s="80">
        <f>SUMIFS('GSTR 1'!$K$332:$K$448,'GSTR 1'!$M$332:$M$448,Summaries!$A$65,'GSTR 1'!$A$332:$A$448,Summaries!$A109)</f>
        <v>0</v>
      </c>
      <c r="BF109" s="79">
        <f>SUMIFS('GSTR 1'!$E$332:$E$448,'GSTR 1'!$M$332:$M$448,Summaries!$A$66,'GSTR 1'!$A$332:$A$448,Summaries!$A109)</f>
        <v>0</v>
      </c>
      <c r="BG109" s="79">
        <f>SUMIFS('GSTR 1'!$F$332:$F$448,'GSTR 1'!$M$332:$M$448,Summaries!$A$66,'GSTR 1'!$A$332:$A$448,Summaries!$A109)</f>
        <v>0</v>
      </c>
      <c r="BH109" s="79">
        <f>SUMIFS('GSTR 1'!$G$332:$G$448,'GSTR 1'!$M$332:$M$448,Summaries!$A$66,'GSTR 1'!$A$332:$A$448,Summaries!$A109)</f>
        <v>0</v>
      </c>
      <c r="BI109" s="79">
        <f>SUMIFS('GSTR 1'!$H$332:$H$448,'GSTR 1'!$M$332:$M$448,Summaries!$A$66,'GSTR 1'!$A$332:$A$448,Summaries!$A109)</f>
        <v>0</v>
      </c>
      <c r="BJ109" s="79">
        <f>SUMIFS('GSTR 1'!$I$332:$I$448,'GSTR 1'!$M$332:$M$448,Summaries!$A$66,'GSTR 1'!$A$332:$A$448,Summaries!$A109)</f>
        <v>0</v>
      </c>
      <c r="BK109" s="79">
        <f>SUMIFS('GSTR 1'!$J$332:$J$448,'GSTR 1'!$M$332:$M$448,Summaries!$A$66,'GSTR 1'!$A$332:$A$448,Summaries!$A109)</f>
        <v>0</v>
      </c>
      <c r="BL109" s="79">
        <f>SUMIFS('GSTR 1'!$K$332:$K$448,'GSTR 1'!$M$332:$M$448,Summaries!$A$66,'GSTR 1'!$A$332:$A$448,Summaries!$A109)</f>
        <v>0</v>
      </c>
      <c r="BM109" s="80">
        <f>SUMIFS('GSTR 1'!$E$332:$E$448,'GSTR 1'!$M$332:$M$448,Summaries!$A$67,'GSTR 1'!$A$332:$A$448,Summaries!$A109)</f>
        <v>0</v>
      </c>
      <c r="BN109" s="80">
        <f>SUMIFS('GSTR 1'!$F$332:$F$448,'GSTR 1'!$M$332:$M$448,Summaries!$A$67,'GSTR 1'!$A$332:$A$448,Summaries!$A109)</f>
        <v>0</v>
      </c>
      <c r="BO109" s="80">
        <f>SUMIFS('GSTR 1'!$G$332:$G$448,'GSTR 1'!$M$332:$M$448,Summaries!$A$67,'GSTR 1'!$A$332:$A$448,Summaries!$A109)</f>
        <v>0</v>
      </c>
      <c r="BP109" s="80">
        <f>SUMIFS('GSTR 1'!$H$332:$H$448,'GSTR 1'!$M$332:$M$448,Summaries!$A$67,'GSTR 1'!$A$332:$A$448,Summaries!$A109)</f>
        <v>0</v>
      </c>
      <c r="BQ109" s="80">
        <f>SUMIFS('GSTR 1'!$I$332:$I$448,'GSTR 1'!$M$332:$M$448,Summaries!$A$67,'GSTR 1'!$A$332:$A$448,Summaries!$A109)</f>
        <v>0</v>
      </c>
      <c r="BR109" s="80">
        <f>SUMIFS('GSTR 1'!$J$332:$J$448,'GSTR 1'!$M$332:$M$448,Summaries!$A$67,'GSTR 1'!$A$332:$A$448,Summaries!$A109)</f>
        <v>0</v>
      </c>
      <c r="BS109" s="80">
        <f>SUMIFS('GSTR 1'!$K$332:$K$448,'GSTR 1'!$M$332:$M$448,Summaries!$A$67,'GSTR 1'!$A$332:$A$448,Summaries!$A109)</f>
        <v>0</v>
      </c>
      <c r="BT109" s="79">
        <f>SUMIFS('GSTR 1'!$E$332:$E$448,'GSTR 1'!$M$332:$M$448,Summaries!$A$68,'GSTR 1'!$A$332:$A$448,Summaries!$A109)</f>
        <v>0</v>
      </c>
      <c r="BU109" s="79">
        <f>SUMIFS('GSTR 1'!$F$332:$F$448,'GSTR 1'!$M$332:$M$448,Summaries!$A$68,'GSTR 1'!$A$332:$A$448,Summaries!$A109)</f>
        <v>0</v>
      </c>
      <c r="BV109" s="79">
        <f>SUMIFS('GSTR 1'!$G$332:$G$448,'GSTR 1'!$M$332:$M$448,Summaries!$A$68,'GSTR 1'!$A$332:$A$448,Summaries!$A109)</f>
        <v>0</v>
      </c>
      <c r="BW109" s="79">
        <f>SUMIFS('GSTR 1'!$H$332:$H$448,'GSTR 1'!$M$332:$M$448,Summaries!$A$68,'GSTR 1'!$A$332:$A$448,Summaries!$A109)</f>
        <v>0</v>
      </c>
      <c r="BX109" s="79">
        <f>SUMIFS('GSTR 1'!$I$332:$I$448,'GSTR 1'!$M$332:$M$448,Summaries!$A$68,'GSTR 1'!$A$332:$A$448,Summaries!$A109)</f>
        <v>0</v>
      </c>
      <c r="BY109" s="79">
        <f>SUMIFS('GSTR 1'!$J$332:$J$448,'GSTR 1'!$M$332:$M$448,Summaries!$A$68,'GSTR 1'!$A$332:$A$448,Summaries!$A109)</f>
        <v>0</v>
      </c>
      <c r="BZ109" s="79">
        <f>SUMIFS('GSTR 1'!$K$332:$K$448,'GSTR 1'!$M$332:$M$448,Summaries!$A$68,'GSTR 1'!$A$332:$A$448,Summaries!$A109)</f>
        <v>0</v>
      </c>
      <c r="CA109" s="80">
        <f>SUMIFS('GSTR 1'!$E$332:$E$448,'GSTR 1'!$M$332:$M$448,Summaries!$A$69,'GSTR 1'!$A$332:$A$448,Summaries!$A109)</f>
        <v>0</v>
      </c>
      <c r="CB109" s="80">
        <f>SUMIFS('GSTR 1'!$F$332:$F$448,'GSTR 1'!$M$332:$M$448,Summaries!$A$69,'GSTR 1'!$A$332:$A$448,Summaries!$A109)</f>
        <v>0</v>
      </c>
      <c r="CC109" s="80">
        <f>SUMIFS('GSTR 1'!$G$332:$G$448,'GSTR 1'!$M$332:$M$448,Summaries!$A$69,'GSTR 1'!$A$332:$A$448,Summaries!$A109)</f>
        <v>0</v>
      </c>
      <c r="CD109" s="80">
        <f>SUMIFS('GSTR 1'!$H$332:$H$448,'GSTR 1'!$M$332:$M$448,Summaries!$A$69,'GSTR 1'!$A$332:$A$448,Summaries!$A109)</f>
        <v>0</v>
      </c>
      <c r="CE109" s="80">
        <f>SUMIFS('GSTR 1'!$I$332:$I$448,'GSTR 1'!$M$332:$M$448,Summaries!$A$69,'GSTR 1'!$A$332:$A$448,Summaries!$A109)</f>
        <v>0</v>
      </c>
      <c r="CF109" s="80">
        <f>SUMIFS('GSTR 1'!$J$332:$J$448,'GSTR 1'!$M$332:$M$448,Summaries!$A$69,'GSTR 1'!$A$332:$A$448,Summaries!$A109)</f>
        <v>0</v>
      </c>
      <c r="CG109" s="80">
        <f>SUMIFS('GSTR 1'!$K$332:$K$448,'GSTR 1'!$M$332:$M$448,Summaries!$A$69,'GSTR 1'!$A$332:$A$448,Summaries!$A109)</f>
        <v>0</v>
      </c>
      <c r="CH109" s="79">
        <f>SUMIFS('GSTR 1'!$E$332:$E$448,'GSTR 1'!$M$332:$M$448,Summaries!$A$70,'GSTR 1'!$A$332:$A$448,Summaries!$A109)</f>
        <v>0</v>
      </c>
      <c r="CI109" s="79">
        <f>SUMIFS('GSTR 1'!$F$332:$F$448,'GSTR 1'!$M$332:$M$448,Summaries!$A$70,'GSTR 1'!$A$332:$A$448,Summaries!$A109)</f>
        <v>0</v>
      </c>
      <c r="CJ109" s="79">
        <f>SUMIFS('GSTR 1'!$G$332:$G$448,'GSTR 1'!$M$332:$M$448,Summaries!$A$70,'GSTR 1'!$A$332:$A$448,Summaries!$A109)</f>
        <v>0</v>
      </c>
      <c r="CK109" s="79">
        <f>SUMIFS('GSTR 1'!$H$332:$H$448,'GSTR 1'!$M$332:$M$448,Summaries!$A$70,'GSTR 1'!$A$332:$A$448,Summaries!$A109)</f>
        <v>0</v>
      </c>
      <c r="CL109" s="79">
        <f>SUMIFS('GSTR 1'!$I$332:$I$448,'GSTR 1'!$M$332:$M$448,Summaries!$A$70,'GSTR 1'!$A$332:$A$448,Summaries!$A109)</f>
        <v>0</v>
      </c>
      <c r="CM109" s="79">
        <f>SUMIFS('GSTR 1'!$J$332:$J$448,'GSTR 1'!$M$332:$M$448,Summaries!$A$70,'GSTR 1'!$A$332:$A$448,Summaries!$A109)</f>
        <v>0</v>
      </c>
      <c r="CN109" s="79">
        <f>SUMIFS('GSTR 1'!$K$332:$K$448,'GSTR 1'!$M$332:$M$448,Summaries!$A$70,'GSTR 1'!$A$332:$A$448,Summaries!$A109)</f>
        <v>0</v>
      </c>
      <c r="CO109" s="80">
        <f>SUMIFS('GSTR 1'!$E$332:$E$448,'GSTR 1'!$M$332:$M$448,Summaries!$A$71,'GSTR 1'!$A$332:$A$448,Summaries!$A109)</f>
        <v>0</v>
      </c>
      <c r="CP109" s="80">
        <f>SUMIFS('GSTR 1'!$F$332:$F$448,'GSTR 1'!$M$332:$M$448,Summaries!$A$71,'GSTR 1'!$A$332:$A$448,Summaries!$A109)</f>
        <v>0</v>
      </c>
      <c r="CQ109" s="80">
        <f>SUMIFS('GSTR 1'!$G$332:$G$448,'GSTR 1'!$M$332:$M$448,Summaries!$A$71,'GSTR 1'!$A$332:$A$448,Summaries!$A109)</f>
        <v>0</v>
      </c>
      <c r="CR109" s="80">
        <f>SUMIFS('GSTR 1'!$H$332:$H$448,'GSTR 1'!$M$332:$M$448,Summaries!$A$71,'GSTR 1'!$A$332:$A$448,Summaries!$A109)</f>
        <v>0</v>
      </c>
      <c r="CS109" s="80">
        <f>SUMIFS('GSTR 1'!$I$332:$I$448,'GSTR 1'!$M$332:$M$448,Summaries!$A$71,'GSTR 1'!$A$332:$A$448,Summaries!$A109)</f>
        <v>0</v>
      </c>
      <c r="CT109" s="80">
        <f>SUMIFS('GSTR 1'!$J$332:$J$448,'GSTR 1'!$M$332:$M$448,Summaries!$A$71,'GSTR 1'!$A$332:$A$448,Summaries!$A109)</f>
        <v>0</v>
      </c>
      <c r="CU109" s="80">
        <f>SUMIFS('GSTR 1'!$K$332:$K$448,'GSTR 1'!$M$332:$M$448,Summaries!$A$71,'GSTR 1'!$A$332:$A$448,Summaries!$A109)</f>
        <v>0</v>
      </c>
      <c r="CV109" s="79">
        <f>SUMIFS('GSTR 1'!$E$332:$E$448,'GSTR 1'!$M$332:$M$448,Summaries!$A$72,'GSTR 1'!$A$332:$A$448,Summaries!$A109)</f>
        <v>0</v>
      </c>
      <c r="CW109" s="79">
        <f>SUMIFS('GSTR 1'!$F$332:$F$448,'GSTR 1'!$M$332:$M$448,Summaries!$A$72,'GSTR 1'!$A$332:$A$448,Summaries!$A109)</f>
        <v>0</v>
      </c>
      <c r="CX109" s="79">
        <f>SUMIFS('GSTR 1'!$G$332:$G$448,'GSTR 1'!$M$332:$M$448,Summaries!$A$72,'GSTR 1'!$A$332:$A$448,Summaries!$A109)</f>
        <v>0</v>
      </c>
      <c r="CY109" s="79">
        <f>SUMIFS('GSTR 1'!$H$332:$H$448,'GSTR 1'!$M$332:$M$448,Summaries!$A$72,'GSTR 1'!$A$332:$A$448,Summaries!$A109)</f>
        <v>0</v>
      </c>
      <c r="CZ109" s="79">
        <f>SUMIFS('GSTR 1'!$I$332:$I$448,'GSTR 1'!$M$332:$M$448,Summaries!$A$72,'GSTR 1'!$A$332:$A$448,Summaries!$A109)</f>
        <v>0</v>
      </c>
      <c r="DA109" s="79">
        <f>SUMIFS('GSTR 1'!$J$332:$J$448,'GSTR 1'!$M$332:$M$448,Summaries!$A$72,'GSTR 1'!$A$332:$A$448,Summaries!$A109)</f>
        <v>0</v>
      </c>
      <c r="DB109" s="79">
        <f>SUMIFS('GSTR 1'!$K$332:$K$448,'GSTR 1'!$M$332:$M$448,Summaries!$A$72,'GSTR 1'!$A$332:$A$448,Summaries!$A109)</f>
        <v>0</v>
      </c>
      <c r="DC109" s="80">
        <f>SUMIFS('GSTR 1'!$E$332:$E$448,'GSTR 1'!$M$332:$M$448,Summaries!$A$73,'GSTR 1'!$A$332:$A$448,Summaries!$A109)</f>
        <v>0</v>
      </c>
      <c r="DD109" s="80">
        <f>SUMIFS('GSTR 1'!$F$332:$F$448,'GSTR 1'!$M$332:$M$448,Summaries!$A$73,'GSTR 1'!$A$332:$A$448,Summaries!$A109)</f>
        <v>0</v>
      </c>
      <c r="DE109" s="80">
        <f>SUMIFS('GSTR 1'!$G$332:$G$448,'GSTR 1'!$M$332:$M$448,Summaries!$A$73,'GSTR 1'!$A$332:$A$448,Summaries!$A109)</f>
        <v>0</v>
      </c>
      <c r="DF109" s="80">
        <f>SUMIFS('GSTR 1'!$H$332:$H$448,'GSTR 1'!$M$332:$M$448,Summaries!$A$73,'GSTR 1'!$A$332:$A$448,Summaries!$A109)</f>
        <v>0</v>
      </c>
      <c r="DG109" s="80">
        <f>SUMIFS('GSTR 1'!$I$332:$I$448,'GSTR 1'!$M$332:$M$448,Summaries!$A$73,'GSTR 1'!$A$332:$A$448,Summaries!$A109)</f>
        <v>0</v>
      </c>
      <c r="DH109" s="80">
        <f>SUMIFS('GSTR 1'!$J$332:$J$448,'GSTR 1'!$M$332:$M$448,Summaries!$A$73,'GSTR 1'!$A$332:$A$448,Summaries!$A109)</f>
        <v>0</v>
      </c>
      <c r="DI109" s="80">
        <f>SUMIFS('GSTR 1'!$K$332:$K$448,'GSTR 1'!$M$332:$M$448,Summaries!$A$73,'GSTR 1'!$A$332:$A$448,Summaries!$A109)</f>
        <v>0</v>
      </c>
      <c r="DJ109" s="79">
        <f>SUMIFS('GSTR 1'!$E$332:$E$448,'GSTR 1'!$M$332:$M$448,Summaries!$A$74,'GSTR 1'!$A$332:$A$448,Summaries!$A109)</f>
        <v>0</v>
      </c>
      <c r="DK109" s="79">
        <f>SUMIFS('GSTR 1'!$F$332:$F$448,'GSTR 1'!$M$332:$M$448,Summaries!$A$74,'GSTR 1'!$A$332:$A$448,Summaries!$A109)</f>
        <v>0</v>
      </c>
      <c r="DL109" s="79">
        <f>SUMIFS('GSTR 1'!$G$332:$G$448,'GSTR 1'!$M$332:$M$448,Summaries!$A$74,'GSTR 1'!$A$332:$A$448,Summaries!$A109)</f>
        <v>0</v>
      </c>
      <c r="DM109" s="79">
        <f>SUMIFS('GSTR 1'!$H$332:$H$448,'GSTR 1'!$M$332:$M$448,Summaries!$A$74,'GSTR 1'!$A$332:$A$448,Summaries!$A109)</f>
        <v>0</v>
      </c>
      <c r="DN109" s="79">
        <f>SUMIFS('GSTR 1'!$I$332:$I$448,'GSTR 1'!$M$332:$M$448,Summaries!$A$74,'GSTR 1'!$A$332:$A$448,Summaries!$A109)</f>
        <v>0</v>
      </c>
      <c r="DO109" s="79">
        <f>SUMIFS('GSTR 1'!$J$332:$J$448,'GSTR 1'!$M$332:$M$448,Summaries!$A$74,'GSTR 1'!$A$332:$A$448,Summaries!$A109)</f>
        <v>0</v>
      </c>
      <c r="DP109" s="79">
        <f>SUMIFS('GSTR 1'!$K$332:$K$448,'GSTR 1'!$M$332:$M$448,Summaries!$A$74,'GSTR 1'!$A$332:$A$448,Summaries!$A109)</f>
        <v>0</v>
      </c>
      <c r="DQ109" s="80">
        <f>SUMIFS('GSTR 1'!$E$332:$E$448,'GSTR 1'!$M$332:$M$448,Summaries!$A$75,'GSTR 1'!$A$332:$A$448,Summaries!$A109)</f>
        <v>0</v>
      </c>
      <c r="DR109" s="80">
        <f>SUMIFS('GSTR 1'!$F$332:$F$448,'GSTR 1'!$M$332:$M$448,Summaries!$A$75,'GSTR 1'!$A$332:$A$448,Summaries!$A109)</f>
        <v>0</v>
      </c>
      <c r="DS109" s="80">
        <f>SUMIFS('GSTR 1'!$G$332:$G$448,'GSTR 1'!$M$332:$M$448,Summaries!$A$75,'GSTR 1'!$A$332:$A$448,Summaries!$A109)</f>
        <v>0</v>
      </c>
      <c r="DT109" s="80">
        <f>SUMIFS('GSTR 1'!$H$332:$H$448,'GSTR 1'!$M$332:$M$448,Summaries!$A$75,'GSTR 1'!$A$332:$A$448,Summaries!$A109)</f>
        <v>0</v>
      </c>
      <c r="DU109" s="80">
        <f>SUMIFS('GSTR 1'!$I$332:$I$448,'GSTR 1'!$M$332:$M$448,Summaries!$A$75,'GSTR 1'!$A$332:$A$448,Summaries!$A109)</f>
        <v>0</v>
      </c>
      <c r="DV109" s="80">
        <f>SUMIFS('GSTR 1'!$J$332:$J$448,'GSTR 1'!$M$332:$M$448,Summaries!$A$75,'GSTR 1'!$A$332:$A$448,Summaries!$A109)</f>
        <v>0</v>
      </c>
      <c r="DW109" s="80">
        <f>SUMIFS('GSTR 1'!$K$332:$K$448,'GSTR 1'!$M$332:$M$448,Summaries!$A$75,'GSTR 1'!$A$332:$A$448,Summaries!$A109)</f>
        <v>0</v>
      </c>
      <c r="DX109" s="79">
        <f>SUMIFS('GSTR 1'!$E$332:$E$448,'GSTR 1'!$M$332:$M$448,Summaries!$A$76,'GSTR 1'!$A$332:$A$448,Summaries!$A109)</f>
        <v>0</v>
      </c>
      <c r="DY109" s="79">
        <f>SUMIFS('GSTR 1'!$F$332:$F$448,'GSTR 1'!$M$332:$M$448,Summaries!$A$76,'GSTR 1'!$A$332:$A$448,Summaries!$A109)</f>
        <v>0</v>
      </c>
      <c r="DZ109" s="79">
        <f>SUMIFS('GSTR 1'!$G$332:$G$448,'GSTR 1'!$M$332:$M$448,Summaries!$A$76,'GSTR 1'!$A$332:$A$448,Summaries!$A109)</f>
        <v>0</v>
      </c>
      <c r="EA109" s="79">
        <f>SUMIFS('GSTR 1'!$H$332:$H$448,'GSTR 1'!$M$332:$M$448,Summaries!$A$76,'GSTR 1'!$A$332:$A$448,Summaries!$A109)</f>
        <v>0</v>
      </c>
      <c r="EB109" s="79">
        <f>SUMIFS('GSTR 1'!$I$332:$I$448,'GSTR 1'!$M$332:$M$448,Summaries!$A$76,'GSTR 1'!$A$332:$A$448,Summaries!$A109)</f>
        <v>0</v>
      </c>
      <c r="EC109" s="79">
        <f>SUMIFS('GSTR 1'!$J$332:$J$448,'GSTR 1'!$M$332:$M$448,Summaries!$A$76,'GSTR 1'!$A$332:$A$448,Summaries!$A109)</f>
        <v>0</v>
      </c>
      <c r="ED109" s="79">
        <f>SUMIFS('GSTR 1'!$K$332:$K$448,'GSTR 1'!$M$332:$M$448,Summaries!$A$76,'GSTR 1'!$A$332:$A$448,Summaries!$A109)</f>
        <v>0</v>
      </c>
      <c r="EE109" s="80">
        <f>SUMIFS('GSTR 1'!$E$332:$E$448,'GSTR 1'!$M$332:$M$448,Summaries!$A$77,'GSTR 1'!$A$332:$A$448,Summaries!$A109)</f>
        <v>0</v>
      </c>
      <c r="EF109" s="80">
        <f>SUMIFS('GSTR 1'!$F$332:$F$448,'GSTR 1'!$M$332:$M$448,Summaries!$A$77,'GSTR 1'!$A$332:$A$448,Summaries!$A109)</f>
        <v>0</v>
      </c>
      <c r="EG109" s="80">
        <f>SUMIFS('GSTR 1'!$G$332:$G$448,'GSTR 1'!$M$332:$M$448,Summaries!$A$77,'GSTR 1'!$A$332:$A$448,Summaries!$A109)</f>
        <v>0</v>
      </c>
      <c r="EH109" s="80">
        <f>SUMIFS('GSTR 1'!$H$332:$H$448,'GSTR 1'!$M$332:$M$448,Summaries!$A$77,'GSTR 1'!$A$332:$A$448,Summaries!$A109)</f>
        <v>0</v>
      </c>
      <c r="EI109" s="80">
        <f>SUMIFS('GSTR 1'!$I$332:$I$448,'GSTR 1'!$M$332:$M$448,Summaries!$A$77,'GSTR 1'!$A$332:$A$448,Summaries!$A109)</f>
        <v>0</v>
      </c>
      <c r="EJ109" s="80">
        <f>SUMIFS('GSTR 1'!$J$332:$J$448,'GSTR 1'!$M$332:$M$448,Summaries!$A$77,'GSTR 1'!$A$332:$A$448,Summaries!$A109)</f>
        <v>0</v>
      </c>
      <c r="EK109" s="80">
        <f>SUMIFS('GSTR 1'!$K$332:$K$448,'GSTR 1'!$M$332:$M$448,Summaries!$A$77,'GSTR 1'!$A$332:$A$448,Summaries!$A109)</f>
        <v>0</v>
      </c>
      <c r="EL109" s="79">
        <f>SUMIFS('GSTR 1'!$E$332:$E$448,'GSTR 1'!$M$332:$M$448,Summaries!$A$78,'GSTR 1'!$A$332:$A$448,Summaries!$A109)</f>
        <v>0</v>
      </c>
      <c r="EM109" s="79">
        <f>SUMIFS('GSTR 1'!$F$332:$F$448,'GSTR 1'!$M$332:$M$448,Summaries!$A$78,'GSTR 1'!$A$332:$A$448,Summaries!$A109)</f>
        <v>0</v>
      </c>
      <c r="EN109" s="79">
        <f>SUMIFS('GSTR 1'!$G$332:$G$448,'GSTR 1'!$M$332:$M$448,Summaries!$A$78,'GSTR 1'!$A$332:$A$448,Summaries!$A109)</f>
        <v>0</v>
      </c>
      <c r="EO109" s="79">
        <f>SUMIFS('GSTR 1'!$H$332:$H$448,'GSTR 1'!$M$332:$M$448,Summaries!$A$78,'GSTR 1'!$A$332:$A$448,Summaries!$A109)</f>
        <v>0</v>
      </c>
      <c r="EP109" s="79">
        <f>SUMIFS('GSTR 1'!$I$332:$I$448,'GSTR 1'!$M$332:$M$448,Summaries!$A$78,'GSTR 1'!$A$332:$A$448,Summaries!$A109)</f>
        <v>0</v>
      </c>
      <c r="EQ109" s="79">
        <f>SUMIFS('GSTR 1'!$J$332:$J$448,'GSTR 1'!$M$332:$M$448,Summaries!$A$78,'GSTR 1'!$A$332:$A$448,Summaries!$A109)</f>
        <v>0</v>
      </c>
      <c r="ER109" s="79">
        <f>SUMIFS('GSTR 1'!$K$332:$K$448,'GSTR 1'!$M$332:$M$448,Summaries!$A$78,'GSTR 1'!$A$332:$A$448,Summaries!$A109)</f>
        <v>0</v>
      </c>
      <c r="ES109" s="80">
        <f>SUMIFS('GSTR 1'!$E$332:$E$448,'GSTR 1'!$M$332:$M$448,Summaries!$A$79,'GSTR 1'!$A$332:$A$448,Summaries!$A109)</f>
        <v>0</v>
      </c>
      <c r="ET109" s="80">
        <f>SUMIFS('GSTR 1'!$F$332:$F$448,'GSTR 1'!$M$332:$M$448,Summaries!$A$79,'GSTR 1'!$A$332:$A$448,Summaries!$A109)</f>
        <v>0</v>
      </c>
      <c r="EU109" s="80">
        <f>SUMIFS('GSTR 1'!$G$332:$G$448,'GSTR 1'!$M$332:$M$448,Summaries!$A$79,'GSTR 1'!$A$332:$A$448,Summaries!$A109)</f>
        <v>0</v>
      </c>
      <c r="EV109" s="80">
        <f>SUMIFS('GSTR 1'!$H$332:$H$448,'GSTR 1'!$M$332:$M$448,Summaries!$A$79,'GSTR 1'!$A$332:$A$448,Summaries!$A109)</f>
        <v>0</v>
      </c>
      <c r="EW109" s="80">
        <f>SUMIFS('GSTR 1'!$I$332:$I$448,'GSTR 1'!$M$332:$M$448,Summaries!$A$79,'GSTR 1'!$A$332:$A$448,Summaries!$A109)</f>
        <v>0</v>
      </c>
      <c r="EX109" s="80">
        <f>SUMIFS('GSTR 1'!$J$332:$J$448,'GSTR 1'!$M$332:$M$448,Summaries!$A$79,'GSTR 1'!$A$332:$A$448,Summaries!$A109)</f>
        <v>0</v>
      </c>
      <c r="EY109" s="80">
        <f>SUMIFS('GSTR 1'!$K$332:$K$448,'GSTR 1'!$M$332:$M$448,Summaries!$A$79,'GSTR 1'!$A$332:$A$448,Summaries!$A109)</f>
        <v>0</v>
      </c>
      <c r="EZ109" s="79">
        <f>SUMIFS('GSTR 1'!$E$332:$E$448,'GSTR 1'!$M$332:$M$448,Summaries!$A$80,'GSTR 1'!$A$332:$A$448,Summaries!$A109)</f>
        <v>0</v>
      </c>
      <c r="FA109" s="79">
        <f>SUMIFS('GSTR 1'!$F$332:$F$448,'GSTR 1'!$M$332:$M$448,Summaries!$A$80,'GSTR 1'!$A$332:$A$448,Summaries!$A109)</f>
        <v>0</v>
      </c>
      <c r="FB109" s="79">
        <f>SUMIFS('GSTR 1'!$G$332:$G$448,'GSTR 1'!$M$332:$M$448,Summaries!$A$80,'GSTR 1'!$A$332:$A$448,Summaries!$A109)</f>
        <v>0</v>
      </c>
      <c r="FC109" s="79">
        <f>SUMIFS('GSTR 1'!$H$332:$H$448,'GSTR 1'!$M$332:$M$448,Summaries!$A$80,'GSTR 1'!$A$332:$A$448,Summaries!$A109)</f>
        <v>0</v>
      </c>
      <c r="FD109" s="79">
        <f>SUMIFS('GSTR 1'!$I$332:$I$448,'GSTR 1'!$M$332:$M$448,Summaries!$A$80,'GSTR 1'!$A$332:$A$448,Summaries!$A109)</f>
        <v>0</v>
      </c>
      <c r="FE109" s="79">
        <f>SUMIFS('GSTR 1'!$J$332:$J$448,'GSTR 1'!$M$332:$M$448,Summaries!$A$80,'GSTR 1'!$A$332:$A$448,Summaries!$A109)</f>
        <v>0</v>
      </c>
      <c r="FF109" s="79">
        <f>SUMIFS('GSTR 1'!$K$332:$K$448,'GSTR 1'!$M$332:$M$448,Summaries!$A$80,'GSTR 1'!$A$332:$A$448,Summaries!$A109)</f>
        <v>0</v>
      </c>
      <c r="FG109" s="80">
        <f>SUMIFS('GSTR 1'!$E$332:$E$448,'GSTR 1'!$M$332:$M$448,Summaries!$A$81,'GSTR 1'!$A$332:$A$448,Summaries!$A109)</f>
        <v>0</v>
      </c>
      <c r="FH109" s="80">
        <f>SUMIFS('GSTR 1'!$F$332:$F$448,'GSTR 1'!$M$332:$M$448,Summaries!$A$81,'GSTR 1'!$A$332:$A$448,Summaries!$A109)</f>
        <v>0</v>
      </c>
      <c r="FI109" s="80">
        <f>SUMIFS('GSTR 1'!$G$332:$G$448,'GSTR 1'!$M$332:$M$448,Summaries!$A$81,'GSTR 1'!$A$332:$A$448,Summaries!$A109)</f>
        <v>0</v>
      </c>
      <c r="FJ109" s="80">
        <f>SUMIFS('GSTR 1'!$H$332:$H$448,'GSTR 1'!$M$332:$M$448,Summaries!$A$81,'GSTR 1'!$A$332:$A$448,Summaries!$A109)</f>
        <v>0</v>
      </c>
      <c r="FK109" s="80">
        <f>SUMIFS('GSTR 1'!$I$332:$I$448,'GSTR 1'!$M$332:$M$448,Summaries!$A$81,'GSTR 1'!$A$332:$A$448,Summaries!$A109)</f>
        <v>0</v>
      </c>
      <c r="FL109" s="80">
        <f>SUMIFS('GSTR 1'!$J$332:$J$448,'GSTR 1'!$M$332:$M$448,Summaries!$A$81,'GSTR 1'!$A$332:$A$448,Summaries!$A109)</f>
        <v>0</v>
      </c>
      <c r="FM109" s="80">
        <f>SUMIFS('GSTR 1'!$K$332:$K$448,'GSTR 1'!$M$332:$M$448,Summaries!$A$81,'GSTR 1'!$A$332:$A$448,Summaries!$A109)</f>
        <v>0</v>
      </c>
      <c r="FN109" s="79">
        <f>SUMIFS('GSTR 1'!$E$332:$E$448,'GSTR 1'!$M$332:$M$448,Summaries!$A$82,'GSTR 1'!$A$332:$A$448,Summaries!$A109)</f>
        <v>0</v>
      </c>
      <c r="FO109" s="79">
        <f>SUMIFS('GSTR 1'!$F$332:$F$448,'GSTR 1'!$M$332:$M$448,Summaries!$A$82,'GSTR 1'!$A$332:$A$448,Summaries!$A109)</f>
        <v>0</v>
      </c>
      <c r="FP109" s="79">
        <f>SUMIFS('GSTR 1'!$G$332:$G$448,'GSTR 1'!$M$332:$M$448,Summaries!$A$82,'GSTR 1'!$A$332:$A$448,Summaries!$A109)</f>
        <v>0</v>
      </c>
      <c r="FQ109" s="79">
        <f>SUMIFS('GSTR 1'!$H$332:$H$448,'GSTR 1'!$M$332:$M$448,Summaries!$A$82,'GSTR 1'!$A$332:$A$448,Summaries!$A109)</f>
        <v>0</v>
      </c>
      <c r="FR109" s="79">
        <f>SUMIFS('GSTR 1'!$I$332:$I$448,'GSTR 1'!$M$332:$M$448,Summaries!$A$82,'GSTR 1'!$A$332:$A$448,Summaries!$A109)</f>
        <v>0</v>
      </c>
      <c r="FS109" s="79">
        <f>SUMIFS('GSTR 1'!$J$332:$J$448,'GSTR 1'!$M$332:$M$448,Summaries!$A$82,'GSTR 1'!$A$332:$A$448,Summaries!$A109)</f>
        <v>0</v>
      </c>
      <c r="FT109" s="79">
        <f>SUMIFS('GSTR 1'!$K$332:$K$448,'GSTR 1'!$M$332:$M$448,Summaries!$A$82,'GSTR 1'!$A$332:$A$448,Summaries!$A109)</f>
        <v>0</v>
      </c>
      <c r="FU109" s="80">
        <f>SUMIFS('GSTR 1'!$E$332:$E$448,'GSTR 1'!$M$332:$M$448,Summaries!$A$83,'GSTR 1'!$A$332:$A$448,Summaries!$A109)</f>
        <v>0</v>
      </c>
      <c r="FV109" s="80">
        <f>SUMIFS('GSTR 1'!$F$332:$F$448,'GSTR 1'!$M$332:$M$448,Summaries!$A$83,'GSTR 1'!$A$332:$A$448,Summaries!$A109)</f>
        <v>0</v>
      </c>
      <c r="FW109" s="80">
        <f>SUMIFS('GSTR 1'!$G$332:$G$448,'GSTR 1'!$M$332:$M$448,Summaries!$A$83,'GSTR 1'!$A$332:$A$448,Summaries!$A109)</f>
        <v>0</v>
      </c>
      <c r="FX109" s="80">
        <f>SUMIFS('GSTR 1'!$H$332:$H$448,'GSTR 1'!$M$332:$M$448,Summaries!$A$83,'GSTR 1'!$A$332:$A$448,Summaries!$A109)</f>
        <v>0</v>
      </c>
      <c r="FY109" s="80">
        <f>SUMIFS('GSTR 1'!$I$332:$I$448,'GSTR 1'!$M$332:$M$448,Summaries!$A$83,'GSTR 1'!$A$332:$A$448,Summaries!$A109)</f>
        <v>0</v>
      </c>
      <c r="FZ109" s="80">
        <f>SUMIFS('GSTR 1'!$J$332:$J$448,'GSTR 1'!$M$332:$M$448,Summaries!$A$83,'GSTR 1'!$A$332:$A$448,Summaries!$A109)</f>
        <v>0</v>
      </c>
      <c r="GA109" s="80">
        <f>SUMIFS('GSTR 1'!$K$332:$K$448,'GSTR 1'!$M$332:$M$448,Summaries!$A$83,'GSTR 1'!$A$332:$A$448,Summaries!$A109)</f>
        <v>0</v>
      </c>
      <c r="GB109" s="79">
        <f>SUMIFS('GSTR 1'!$E$332:$E$448,'GSTR 1'!$M$332:$M$448,Summaries!$A$84,'GSTR 1'!$A$332:$A$448,Summaries!$A109)</f>
        <v>0</v>
      </c>
      <c r="GC109" s="79">
        <f>SUMIFS('GSTR 1'!$F$332:$F$448,'GSTR 1'!$M$332:$M$448,Summaries!$A$84,'GSTR 1'!$A$332:$A$448,Summaries!$A109)</f>
        <v>0</v>
      </c>
      <c r="GD109" s="79">
        <f>SUMIFS('GSTR 1'!$G$332:$G$448,'GSTR 1'!$M$332:$M$448,Summaries!$A$84,'GSTR 1'!$A$332:$A$448,Summaries!$A109)</f>
        <v>0</v>
      </c>
      <c r="GE109" s="79">
        <f>SUMIFS('GSTR 1'!$H$332:$H$448,'GSTR 1'!$M$332:$M$448,Summaries!$A$84,'GSTR 1'!$A$332:$A$448,Summaries!$A109)</f>
        <v>0</v>
      </c>
      <c r="GF109" s="79">
        <f>SUMIFS('GSTR 1'!$I$332:$I$448,'GSTR 1'!$M$332:$M$448,Summaries!$A$84,'GSTR 1'!$A$332:$A$448,Summaries!$A109)</f>
        <v>0</v>
      </c>
      <c r="GG109" s="79">
        <f>SUMIFS('GSTR 1'!$J$332:$J$448,'GSTR 1'!$M$332:$M$448,Summaries!$A$84,'GSTR 1'!$A$332:$A$448,Summaries!$A109)</f>
        <v>0</v>
      </c>
      <c r="GH109" s="79">
        <f>SUMIFS('GSTR 1'!$K$332:$K$448,'GSTR 1'!$M$332:$M$448,Summaries!$A$84,'GSTR 1'!$A$332:$A$448,Summaries!$A109)</f>
        <v>0</v>
      </c>
      <c r="GI109" s="80">
        <f>SUMIFS('GSTR 1'!$E$332:$E$448,'GSTR 1'!$M$332:$M$448,Summaries!$A$85,'GSTR 1'!$A$332:$A$448,Summaries!$A109)</f>
        <v>0</v>
      </c>
      <c r="GJ109" s="80">
        <f>SUMIFS('GSTR 1'!$F$332:$F$448,'GSTR 1'!$M$332:$M$448,Summaries!$A$85,'GSTR 1'!$A$332:$A$448,Summaries!$A109)</f>
        <v>0</v>
      </c>
      <c r="GK109" s="80">
        <f>SUMIFS('GSTR 1'!$G$332:$G$448,'GSTR 1'!$M$332:$M$448,Summaries!$A$85,'GSTR 1'!$A$332:$A$448,Summaries!$A109)</f>
        <v>0</v>
      </c>
      <c r="GL109" s="80">
        <f>SUMIFS('GSTR 1'!$H$332:$H$448,'GSTR 1'!$M$332:$M$448,Summaries!$A$85,'GSTR 1'!$A$332:$A$448,Summaries!$A109)</f>
        <v>0</v>
      </c>
      <c r="GM109" s="80">
        <f>SUMIFS('GSTR 1'!$I$332:$I$448,'GSTR 1'!$M$332:$M$448,Summaries!$A$85,'GSTR 1'!$A$332:$A$448,Summaries!$A109)</f>
        <v>0</v>
      </c>
      <c r="GN109" s="80">
        <f>SUMIFS('GSTR 1'!$J$332:$J$448,'GSTR 1'!$M$332:$M$448,Summaries!$A$85,'GSTR 1'!$A$332:$A$448,Summaries!$A109)</f>
        <v>0</v>
      </c>
      <c r="GO109" s="80">
        <f>SUMIFS('GSTR 1'!$K$332:$K$448,'GSTR 1'!$M$332:$M$448,Summaries!$A$85,'GSTR 1'!$A$332:$A$448,Summaries!$A109)</f>
        <v>0</v>
      </c>
      <c r="GP109" s="79">
        <f>SUMIFS('GSTR 1'!$E$332:$E$448,'GSTR 1'!$M$332:$M$448,Summaries!$A$86,'GSTR 1'!$A$332:$A$448,Summaries!$A109)</f>
        <v>0</v>
      </c>
      <c r="GQ109" s="79">
        <f>SUMIFS('GSTR 1'!$F$332:$F$448,'GSTR 1'!$M$332:$M$448,Summaries!$A$86,'GSTR 1'!$A$332:$A$448,Summaries!$A109)</f>
        <v>0</v>
      </c>
      <c r="GR109" s="79">
        <f>SUMIFS('GSTR 1'!$G$332:$G$448,'GSTR 1'!$M$332:$M$448,Summaries!$A$86,'GSTR 1'!$A$332:$A$448,Summaries!$A109)</f>
        <v>0</v>
      </c>
      <c r="GS109" s="79">
        <f>SUMIFS('GSTR 1'!$H$332:$H$448,'GSTR 1'!$M$332:$M$448,Summaries!$A$86,'GSTR 1'!$A$332:$A$448,Summaries!$A109)</f>
        <v>0</v>
      </c>
      <c r="GT109" s="79">
        <f>SUMIFS('GSTR 1'!$I$332:$I$448,'GSTR 1'!$M$332:$M$448,Summaries!$A$86,'GSTR 1'!$A$332:$A$448,Summaries!$A109)</f>
        <v>0</v>
      </c>
      <c r="GU109" s="79">
        <f>SUMIFS('GSTR 1'!$J$332:$J$448,'GSTR 1'!$M$332:$M$448,Summaries!$A$86,'GSTR 1'!$A$332:$A$448,Summaries!$A109)</f>
        <v>0</v>
      </c>
      <c r="GV109" s="79">
        <f>SUMIFS('GSTR 1'!$K$332:$K$448,'GSTR 1'!$M$332:$M$448,Summaries!$A$86,'GSTR 1'!$A$332:$A$448,Summaries!$A109)</f>
        <v>0</v>
      </c>
      <c r="GW109" s="80">
        <f>SUMIFS('GSTR 1'!$E$332:$E$448,'GSTR 1'!$M$332:$M$448,Summaries!$A$87,'GSTR 1'!$A$332:$A$448,Summaries!$A109)</f>
        <v>0</v>
      </c>
      <c r="GX109" s="80">
        <f>SUMIFS('GSTR 1'!$F$332:$F$448,'GSTR 1'!$M$332:$M$448,Summaries!$A$87,'GSTR 1'!$A$332:$A$448,Summaries!$A109)</f>
        <v>0</v>
      </c>
      <c r="GY109" s="80">
        <f>SUMIFS('GSTR 1'!$G$332:$G$448,'GSTR 1'!$M$332:$M$448,Summaries!$A$87,'GSTR 1'!$A$332:$A$448,Summaries!$A109)</f>
        <v>0</v>
      </c>
      <c r="GZ109" s="80">
        <f>SUMIFS('GSTR 1'!$H$332:$H$448,'GSTR 1'!$M$332:$M$448,Summaries!$A$87,'GSTR 1'!$A$332:$A$448,Summaries!$A109)</f>
        <v>0</v>
      </c>
      <c r="HA109" s="80">
        <f>SUMIFS('GSTR 1'!$I$332:$I$448,'GSTR 1'!$M$332:$M$448,Summaries!$A$87,'GSTR 1'!$A$332:$A$448,Summaries!$A109)</f>
        <v>0</v>
      </c>
      <c r="HB109" s="80">
        <f>SUMIFS('GSTR 1'!$J$332:$J$448,'GSTR 1'!$M$332:$M$448,Summaries!$A$87,'GSTR 1'!$A$332:$A$448,Summaries!$A109)</f>
        <v>0</v>
      </c>
      <c r="HC109" s="80">
        <f>SUMIFS('GSTR 1'!$K$332:$K$448,'GSTR 1'!$M$332:$M$448,Summaries!$A$87,'GSTR 1'!$A$332:$A$448,Summaries!$A109)</f>
        <v>0</v>
      </c>
    </row>
    <row r="110" spans="1:211" ht="15" thickBot="1" x14ac:dyDescent="0.35">
      <c r="A110" s="81"/>
      <c r="B110" s="82"/>
      <c r="C110" s="82"/>
      <c r="D110" s="82"/>
      <c r="E110" s="82"/>
      <c r="F110" s="82"/>
      <c r="G110" s="82"/>
      <c r="H110" s="82"/>
      <c r="I110" s="83"/>
      <c r="J110" s="83"/>
      <c r="K110" s="83"/>
      <c r="L110" s="83"/>
      <c r="M110" s="83"/>
      <c r="N110" s="83"/>
      <c r="O110" s="83"/>
      <c r="P110" s="82"/>
      <c r="Q110" s="82"/>
      <c r="R110" s="82"/>
      <c r="S110" s="82"/>
      <c r="T110" s="82"/>
      <c r="U110" s="82"/>
      <c r="V110" s="82"/>
      <c r="W110" s="83"/>
      <c r="X110" s="83"/>
      <c r="Y110" s="83"/>
      <c r="Z110" s="83"/>
      <c r="AA110" s="83"/>
      <c r="AB110" s="83"/>
      <c r="AC110" s="83"/>
      <c r="AD110" s="82"/>
      <c r="AE110" s="82"/>
      <c r="AF110" s="82"/>
      <c r="AG110" s="82"/>
      <c r="AH110" s="82"/>
      <c r="AI110" s="82"/>
      <c r="AJ110" s="82"/>
      <c r="AK110" s="83"/>
      <c r="AL110" s="83"/>
      <c r="AM110" s="83"/>
      <c r="AN110" s="83"/>
      <c r="AO110" s="83"/>
      <c r="AP110" s="83"/>
      <c r="AQ110" s="83"/>
      <c r="AR110" s="82"/>
      <c r="AS110" s="82"/>
      <c r="AT110" s="82"/>
      <c r="AU110" s="82"/>
      <c r="AV110" s="82"/>
      <c r="AW110" s="82"/>
      <c r="AX110" s="82"/>
      <c r="AY110" s="83"/>
      <c r="AZ110" s="83"/>
      <c r="BA110" s="83"/>
      <c r="BB110" s="83"/>
      <c r="BC110" s="83"/>
      <c r="BD110" s="83"/>
      <c r="BE110" s="83"/>
      <c r="BF110" s="82"/>
      <c r="BG110" s="82"/>
      <c r="BH110" s="82"/>
      <c r="BI110" s="82"/>
      <c r="BJ110" s="82"/>
      <c r="BK110" s="82"/>
      <c r="BL110" s="82"/>
      <c r="BM110" s="83"/>
      <c r="BN110" s="83"/>
      <c r="BO110" s="83"/>
      <c r="BP110" s="83"/>
      <c r="BQ110" s="83"/>
      <c r="BR110" s="83"/>
      <c r="BS110" s="83"/>
      <c r="BT110" s="82"/>
      <c r="BU110" s="82"/>
      <c r="BV110" s="82"/>
      <c r="BW110" s="82"/>
      <c r="BX110" s="82"/>
      <c r="BY110" s="82"/>
      <c r="BZ110" s="82"/>
      <c r="CA110" s="83"/>
      <c r="CB110" s="83"/>
      <c r="CC110" s="83"/>
      <c r="CD110" s="83"/>
      <c r="CE110" s="83"/>
      <c r="CF110" s="83"/>
      <c r="CG110" s="83"/>
      <c r="CH110" s="82"/>
      <c r="CI110" s="82"/>
      <c r="CJ110" s="82"/>
      <c r="CK110" s="82"/>
      <c r="CL110" s="82"/>
      <c r="CM110" s="82"/>
      <c r="CN110" s="82"/>
      <c r="CO110" s="83"/>
      <c r="CP110" s="83"/>
      <c r="CQ110" s="83"/>
      <c r="CR110" s="83"/>
      <c r="CS110" s="83"/>
      <c r="CT110" s="83"/>
      <c r="CU110" s="83"/>
      <c r="CV110" s="82"/>
      <c r="CW110" s="82"/>
      <c r="CX110" s="82"/>
      <c r="CY110" s="82"/>
      <c r="CZ110" s="82"/>
      <c r="DA110" s="82"/>
      <c r="DB110" s="82"/>
      <c r="DC110" s="83"/>
      <c r="DD110" s="83"/>
      <c r="DE110" s="83"/>
      <c r="DF110" s="83"/>
      <c r="DG110" s="83"/>
      <c r="DH110" s="83"/>
      <c r="DI110" s="83"/>
      <c r="DJ110" s="82"/>
      <c r="DK110" s="82"/>
      <c r="DL110" s="82"/>
      <c r="DM110" s="82"/>
      <c r="DN110" s="82"/>
      <c r="DO110" s="82"/>
      <c r="DP110" s="82"/>
      <c r="DQ110" s="83"/>
      <c r="DR110" s="83"/>
      <c r="DS110" s="83"/>
      <c r="DT110" s="83"/>
      <c r="DU110" s="83"/>
      <c r="DV110" s="83"/>
      <c r="DW110" s="83"/>
      <c r="DX110" s="82"/>
      <c r="DY110" s="82"/>
      <c r="DZ110" s="82"/>
      <c r="EA110" s="82"/>
      <c r="EB110" s="82"/>
      <c r="EC110" s="82"/>
      <c r="ED110" s="82"/>
      <c r="EE110" s="83"/>
      <c r="EF110" s="83"/>
      <c r="EG110" s="83"/>
      <c r="EH110" s="83"/>
      <c r="EI110" s="83"/>
      <c r="EJ110" s="83"/>
      <c r="EK110" s="83"/>
      <c r="EL110" s="82"/>
      <c r="EM110" s="82"/>
      <c r="EN110" s="82"/>
      <c r="EO110" s="82"/>
      <c r="EP110" s="82"/>
      <c r="EQ110" s="82"/>
      <c r="ER110" s="82"/>
      <c r="ES110" s="83"/>
      <c r="ET110" s="83"/>
      <c r="EU110" s="83"/>
      <c r="EV110" s="83"/>
      <c r="EW110" s="83"/>
      <c r="EX110" s="83"/>
      <c r="EY110" s="83"/>
      <c r="EZ110" s="82"/>
      <c r="FA110" s="82"/>
      <c r="FB110" s="82"/>
      <c r="FC110" s="82"/>
      <c r="FD110" s="82"/>
      <c r="FE110" s="82"/>
      <c r="FF110" s="82"/>
      <c r="FG110" s="83"/>
      <c r="FH110" s="83"/>
      <c r="FI110" s="83"/>
      <c r="FJ110" s="83"/>
      <c r="FK110" s="83"/>
      <c r="FL110" s="83"/>
      <c r="FM110" s="83"/>
      <c r="FN110" s="82"/>
      <c r="FO110" s="82"/>
      <c r="FP110" s="82"/>
      <c r="FQ110" s="82"/>
      <c r="FR110" s="82"/>
      <c r="FS110" s="82"/>
      <c r="FT110" s="82"/>
      <c r="FU110" s="83"/>
      <c r="FV110" s="83"/>
      <c r="FW110" s="83"/>
      <c r="FX110" s="83"/>
      <c r="FY110" s="83"/>
      <c r="FZ110" s="83"/>
      <c r="GA110" s="83"/>
      <c r="GB110" s="82"/>
      <c r="GC110" s="82"/>
      <c r="GD110" s="82"/>
      <c r="GE110" s="82"/>
      <c r="GF110" s="82"/>
      <c r="GG110" s="82"/>
      <c r="GH110" s="82"/>
      <c r="GI110" s="83"/>
      <c r="GJ110" s="83"/>
      <c r="GK110" s="83"/>
      <c r="GL110" s="83"/>
      <c r="GM110" s="83"/>
      <c r="GN110" s="83"/>
      <c r="GO110" s="83"/>
      <c r="GP110" s="82"/>
      <c r="GQ110" s="82"/>
      <c r="GR110" s="82"/>
      <c r="GS110" s="82"/>
      <c r="GT110" s="82"/>
      <c r="GU110" s="82"/>
      <c r="GV110" s="82"/>
      <c r="GW110" s="83"/>
      <c r="GX110" s="83"/>
      <c r="GY110" s="83"/>
      <c r="GZ110" s="83"/>
      <c r="HA110" s="83"/>
      <c r="HB110" s="83"/>
      <c r="HC110" s="83"/>
    </row>
    <row r="111" spans="1:211" ht="16.2" thickTop="1" x14ac:dyDescent="0.3">
      <c r="A111" s="42" t="s">
        <v>149</v>
      </c>
      <c r="B111" s="27">
        <f t="shared" ref="B111:BM111" si="3">SUM(B98:B109)</f>
        <v>0</v>
      </c>
      <c r="C111" s="27">
        <f t="shared" si="3"/>
        <v>0</v>
      </c>
      <c r="D111" s="27">
        <f t="shared" si="3"/>
        <v>0</v>
      </c>
      <c r="E111" s="27">
        <f t="shared" si="3"/>
        <v>0</v>
      </c>
      <c r="F111" s="27">
        <f t="shared" si="3"/>
        <v>0</v>
      </c>
      <c r="G111" s="27">
        <f t="shared" si="3"/>
        <v>0</v>
      </c>
      <c r="H111" s="27">
        <f t="shared" si="3"/>
        <v>0</v>
      </c>
      <c r="I111" s="27">
        <f t="shared" si="3"/>
        <v>0</v>
      </c>
      <c r="J111" s="27">
        <f t="shared" si="3"/>
        <v>0</v>
      </c>
      <c r="K111" s="27">
        <f t="shared" si="3"/>
        <v>0</v>
      </c>
      <c r="L111" s="27">
        <f t="shared" si="3"/>
        <v>0</v>
      </c>
      <c r="M111" s="27">
        <f t="shared" si="3"/>
        <v>0</v>
      </c>
      <c r="N111" s="27">
        <f t="shared" si="3"/>
        <v>0</v>
      </c>
      <c r="O111" s="27">
        <f t="shared" si="3"/>
        <v>0</v>
      </c>
      <c r="P111" s="27">
        <f t="shared" si="3"/>
        <v>0</v>
      </c>
      <c r="Q111" s="27">
        <f t="shared" si="3"/>
        <v>0</v>
      </c>
      <c r="R111" s="27">
        <f t="shared" si="3"/>
        <v>0</v>
      </c>
      <c r="S111" s="27">
        <f t="shared" si="3"/>
        <v>0</v>
      </c>
      <c r="T111" s="27">
        <f t="shared" si="3"/>
        <v>0</v>
      </c>
      <c r="U111" s="27">
        <f t="shared" si="3"/>
        <v>0</v>
      </c>
      <c r="V111" s="27">
        <f t="shared" si="3"/>
        <v>0</v>
      </c>
      <c r="W111" s="27">
        <f t="shared" si="3"/>
        <v>0</v>
      </c>
      <c r="X111" s="27">
        <f t="shared" si="3"/>
        <v>0</v>
      </c>
      <c r="Y111" s="27">
        <f t="shared" si="3"/>
        <v>0</v>
      </c>
      <c r="Z111" s="27">
        <f t="shared" si="3"/>
        <v>0</v>
      </c>
      <c r="AA111" s="27">
        <f t="shared" si="3"/>
        <v>0</v>
      </c>
      <c r="AB111" s="27">
        <f t="shared" si="3"/>
        <v>0</v>
      </c>
      <c r="AC111" s="27">
        <f t="shared" si="3"/>
        <v>0</v>
      </c>
      <c r="AD111" s="27">
        <f t="shared" si="3"/>
        <v>0</v>
      </c>
      <c r="AE111" s="27">
        <f t="shared" si="3"/>
        <v>0</v>
      </c>
      <c r="AF111" s="27">
        <f t="shared" si="3"/>
        <v>0</v>
      </c>
      <c r="AG111" s="27">
        <f t="shared" si="3"/>
        <v>0</v>
      </c>
      <c r="AH111" s="27">
        <f t="shared" si="3"/>
        <v>0</v>
      </c>
      <c r="AI111" s="27">
        <f t="shared" si="3"/>
        <v>0</v>
      </c>
      <c r="AJ111" s="27">
        <f t="shared" si="3"/>
        <v>0</v>
      </c>
      <c r="AK111" s="27">
        <f t="shared" si="3"/>
        <v>0</v>
      </c>
      <c r="AL111" s="27">
        <f t="shared" si="3"/>
        <v>0</v>
      </c>
      <c r="AM111" s="27">
        <f t="shared" si="3"/>
        <v>0</v>
      </c>
      <c r="AN111" s="27">
        <f t="shared" si="3"/>
        <v>0</v>
      </c>
      <c r="AO111" s="27">
        <f t="shared" si="3"/>
        <v>0</v>
      </c>
      <c r="AP111" s="27">
        <f t="shared" si="3"/>
        <v>0</v>
      </c>
      <c r="AQ111" s="27">
        <f t="shared" si="3"/>
        <v>0</v>
      </c>
      <c r="AR111" s="27">
        <f t="shared" si="3"/>
        <v>0</v>
      </c>
      <c r="AS111" s="27">
        <f t="shared" si="3"/>
        <v>0</v>
      </c>
      <c r="AT111" s="27">
        <f t="shared" si="3"/>
        <v>0</v>
      </c>
      <c r="AU111" s="27">
        <f t="shared" si="3"/>
        <v>0</v>
      </c>
      <c r="AV111" s="27">
        <f t="shared" si="3"/>
        <v>0</v>
      </c>
      <c r="AW111" s="27">
        <f t="shared" si="3"/>
        <v>0</v>
      </c>
      <c r="AX111" s="27">
        <f t="shared" si="3"/>
        <v>0</v>
      </c>
      <c r="AY111" s="27">
        <f t="shared" si="3"/>
        <v>0</v>
      </c>
      <c r="AZ111" s="27">
        <f t="shared" si="3"/>
        <v>0</v>
      </c>
      <c r="BA111" s="27">
        <f t="shared" si="3"/>
        <v>0</v>
      </c>
      <c r="BB111" s="27">
        <f t="shared" si="3"/>
        <v>0</v>
      </c>
      <c r="BC111" s="27">
        <f t="shared" si="3"/>
        <v>0</v>
      </c>
      <c r="BD111" s="27">
        <f t="shared" si="3"/>
        <v>0</v>
      </c>
      <c r="BE111" s="27">
        <f t="shared" si="3"/>
        <v>0</v>
      </c>
      <c r="BF111" s="27">
        <f t="shared" si="3"/>
        <v>0</v>
      </c>
      <c r="BG111" s="27">
        <f t="shared" si="3"/>
        <v>0</v>
      </c>
      <c r="BH111" s="27">
        <f t="shared" si="3"/>
        <v>0</v>
      </c>
      <c r="BI111" s="27">
        <f t="shared" si="3"/>
        <v>0</v>
      </c>
      <c r="BJ111" s="27">
        <f t="shared" si="3"/>
        <v>0</v>
      </c>
      <c r="BK111" s="27">
        <f t="shared" si="3"/>
        <v>0</v>
      </c>
      <c r="BL111" s="27">
        <f t="shared" si="3"/>
        <v>0</v>
      </c>
      <c r="BM111" s="27">
        <f t="shared" si="3"/>
        <v>0</v>
      </c>
      <c r="BN111" s="27">
        <f t="shared" ref="BN111:DY111" si="4">SUM(BN98:BN109)</f>
        <v>0</v>
      </c>
      <c r="BO111" s="27">
        <f t="shared" si="4"/>
        <v>0</v>
      </c>
      <c r="BP111" s="27">
        <f t="shared" si="4"/>
        <v>0</v>
      </c>
      <c r="BQ111" s="27">
        <f t="shared" si="4"/>
        <v>0</v>
      </c>
      <c r="BR111" s="27">
        <f t="shared" si="4"/>
        <v>0</v>
      </c>
      <c r="BS111" s="27">
        <f t="shared" si="4"/>
        <v>0</v>
      </c>
      <c r="BT111" s="27">
        <f t="shared" si="4"/>
        <v>0</v>
      </c>
      <c r="BU111" s="27">
        <f t="shared" si="4"/>
        <v>0</v>
      </c>
      <c r="BV111" s="27">
        <f t="shared" si="4"/>
        <v>0</v>
      </c>
      <c r="BW111" s="27">
        <f t="shared" si="4"/>
        <v>0</v>
      </c>
      <c r="BX111" s="27">
        <f t="shared" si="4"/>
        <v>0</v>
      </c>
      <c r="BY111" s="27">
        <f t="shared" si="4"/>
        <v>0</v>
      </c>
      <c r="BZ111" s="27">
        <f t="shared" si="4"/>
        <v>0</v>
      </c>
      <c r="CA111" s="27">
        <f t="shared" si="4"/>
        <v>0</v>
      </c>
      <c r="CB111" s="27">
        <f t="shared" si="4"/>
        <v>0</v>
      </c>
      <c r="CC111" s="27">
        <f t="shared" si="4"/>
        <v>0</v>
      </c>
      <c r="CD111" s="27">
        <f t="shared" si="4"/>
        <v>0</v>
      </c>
      <c r="CE111" s="27">
        <f t="shared" si="4"/>
        <v>0</v>
      </c>
      <c r="CF111" s="27">
        <f t="shared" si="4"/>
        <v>0</v>
      </c>
      <c r="CG111" s="27">
        <f t="shared" si="4"/>
        <v>0</v>
      </c>
      <c r="CH111" s="27">
        <f t="shared" si="4"/>
        <v>0</v>
      </c>
      <c r="CI111" s="27">
        <f t="shared" si="4"/>
        <v>0</v>
      </c>
      <c r="CJ111" s="27">
        <f t="shared" si="4"/>
        <v>0</v>
      </c>
      <c r="CK111" s="27">
        <f t="shared" si="4"/>
        <v>0</v>
      </c>
      <c r="CL111" s="27">
        <f t="shared" si="4"/>
        <v>0</v>
      </c>
      <c r="CM111" s="27">
        <f t="shared" si="4"/>
        <v>0</v>
      </c>
      <c r="CN111" s="27">
        <f t="shared" si="4"/>
        <v>0</v>
      </c>
      <c r="CO111" s="27">
        <f t="shared" si="4"/>
        <v>0</v>
      </c>
      <c r="CP111" s="27">
        <f t="shared" si="4"/>
        <v>0</v>
      </c>
      <c r="CQ111" s="27">
        <f t="shared" si="4"/>
        <v>0</v>
      </c>
      <c r="CR111" s="27">
        <f t="shared" si="4"/>
        <v>0</v>
      </c>
      <c r="CS111" s="27">
        <f t="shared" si="4"/>
        <v>0</v>
      </c>
      <c r="CT111" s="27">
        <f t="shared" si="4"/>
        <v>0</v>
      </c>
      <c r="CU111" s="27">
        <f t="shared" si="4"/>
        <v>0</v>
      </c>
      <c r="CV111" s="27">
        <f t="shared" si="4"/>
        <v>0</v>
      </c>
      <c r="CW111" s="27">
        <f t="shared" si="4"/>
        <v>0</v>
      </c>
      <c r="CX111" s="27">
        <f t="shared" si="4"/>
        <v>0</v>
      </c>
      <c r="CY111" s="27">
        <f t="shared" si="4"/>
        <v>0</v>
      </c>
      <c r="CZ111" s="27">
        <f t="shared" si="4"/>
        <v>0</v>
      </c>
      <c r="DA111" s="27">
        <f t="shared" si="4"/>
        <v>0</v>
      </c>
      <c r="DB111" s="27">
        <f t="shared" si="4"/>
        <v>0</v>
      </c>
      <c r="DC111" s="27">
        <f t="shared" si="4"/>
        <v>0</v>
      </c>
      <c r="DD111" s="27">
        <f t="shared" si="4"/>
        <v>0</v>
      </c>
      <c r="DE111" s="27">
        <f t="shared" si="4"/>
        <v>0</v>
      </c>
      <c r="DF111" s="27">
        <f t="shared" si="4"/>
        <v>0</v>
      </c>
      <c r="DG111" s="27">
        <f t="shared" si="4"/>
        <v>0</v>
      </c>
      <c r="DH111" s="27">
        <f t="shared" si="4"/>
        <v>0</v>
      </c>
      <c r="DI111" s="27">
        <f t="shared" si="4"/>
        <v>0</v>
      </c>
      <c r="DJ111" s="27">
        <f t="shared" si="4"/>
        <v>0</v>
      </c>
      <c r="DK111" s="27">
        <f t="shared" si="4"/>
        <v>0</v>
      </c>
      <c r="DL111" s="27">
        <f t="shared" si="4"/>
        <v>0</v>
      </c>
      <c r="DM111" s="27">
        <f t="shared" si="4"/>
        <v>0</v>
      </c>
      <c r="DN111" s="27">
        <f t="shared" si="4"/>
        <v>0</v>
      </c>
      <c r="DO111" s="27">
        <f t="shared" si="4"/>
        <v>0</v>
      </c>
      <c r="DP111" s="27">
        <f t="shared" si="4"/>
        <v>0</v>
      </c>
      <c r="DQ111" s="27">
        <f t="shared" si="4"/>
        <v>0</v>
      </c>
      <c r="DR111" s="27">
        <f t="shared" si="4"/>
        <v>0</v>
      </c>
      <c r="DS111" s="27">
        <f t="shared" si="4"/>
        <v>0</v>
      </c>
      <c r="DT111" s="27">
        <f t="shared" si="4"/>
        <v>0</v>
      </c>
      <c r="DU111" s="27">
        <f t="shared" si="4"/>
        <v>0</v>
      </c>
      <c r="DV111" s="27">
        <f t="shared" si="4"/>
        <v>0</v>
      </c>
      <c r="DW111" s="27">
        <f t="shared" si="4"/>
        <v>0</v>
      </c>
      <c r="DX111" s="27">
        <f t="shared" si="4"/>
        <v>0</v>
      </c>
      <c r="DY111" s="27">
        <f t="shared" si="4"/>
        <v>0</v>
      </c>
      <c r="DZ111" s="27">
        <f t="shared" ref="DZ111:EK111" si="5">SUM(DZ98:DZ109)</f>
        <v>0</v>
      </c>
      <c r="EA111" s="27">
        <f t="shared" si="5"/>
        <v>0</v>
      </c>
      <c r="EB111" s="27">
        <f t="shared" si="5"/>
        <v>0</v>
      </c>
      <c r="EC111" s="27">
        <f t="shared" si="5"/>
        <v>0</v>
      </c>
      <c r="ED111" s="27">
        <f t="shared" si="5"/>
        <v>0</v>
      </c>
      <c r="EE111" s="27">
        <f t="shared" si="5"/>
        <v>0</v>
      </c>
      <c r="EF111" s="27">
        <f t="shared" si="5"/>
        <v>0</v>
      </c>
      <c r="EG111" s="27">
        <f t="shared" si="5"/>
        <v>0</v>
      </c>
      <c r="EH111" s="27">
        <f t="shared" si="5"/>
        <v>0</v>
      </c>
      <c r="EI111" s="27">
        <f t="shared" si="5"/>
        <v>0</v>
      </c>
      <c r="EJ111" s="27">
        <f t="shared" si="5"/>
        <v>0</v>
      </c>
      <c r="EK111" s="27">
        <f t="shared" si="5"/>
        <v>0</v>
      </c>
      <c r="EL111" s="27">
        <f t="shared" ref="EL111:GW111" si="6">SUM(EL98:EL109)</f>
        <v>0</v>
      </c>
      <c r="EM111" s="27">
        <f t="shared" si="6"/>
        <v>0</v>
      </c>
      <c r="EN111" s="27">
        <f t="shared" si="6"/>
        <v>0</v>
      </c>
      <c r="EO111" s="27">
        <f t="shared" si="6"/>
        <v>0</v>
      </c>
      <c r="EP111" s="27">
        <f t="shared" si="6"/>
        <v>0</v>
      </c>
      <c r="EQ111" s="27">
        <f t="shared" si="6"/>
        <v>0</v>
      </c>
      <c r="ER111" s="27">
        <f t="shared" si="6"/>
        <v>0</v>
      </c>
      <c r="ES111" s="27">
        <f t="shared" si="6"/>
        <v>0</v>
      </c>
      <c r="ET111" s="27">
        <f t="shared" si="6"/>
        <v>0</v>
      </c>
      <c r="EU111" s="27">
        <f t="shared" si="6"/>
        <v>0</v>
      </c>
      <c r="EV111" s="27">
        <f t="shared" si="6"/>
        <v>0</v>
      </c>
      <c r="EW111" s="27">
        <f t="shared" si="6"/>
        <v>0</v>
      </c>
      <c r="EX111" s="27">
        <f t="shared" si="6"/>
        <v>0</v>
      </c>
      <c r="EY111" s="27">
        <f t="shared" si="6"/>
        <v>0</v>
      </c>
      <c r="EZ111" s="27">
        <f t="shared" si="6"/>
        <v>0</v>
      </c>
      <c r="FA111" s="27">
        <f t="shared" si="6"/>
        <v>0</v>
      </c>
      <c r="FB111" s="27">
        <f t="shared" si="6"/>
        <v>0</v>
      </c>
      <c r="FC111" s="27">
        <f t="shared" si="6"/>
        <v>0</v>
      </c>
      <c r="FD111" s="27">
        <f t="shared" si="6"/>
        <v>0</v>
      </c>
      <c r="FE111" s="27">
        <f t="shared" si="6"/>
        <v>0</v>
      </c>
      <c r="FF111" s="27">
        <f t="shared" si="6"/>
        <v>0</v>
      </c>
      <c r="FG111" s="27">
        <f t="shared" si="6"/>
        <v>0</v>
      </c>
      <c r="FH111" s="27">
        <f t="shared" si="6"/>
        <v>0</v>
      </c>
      <c r="FI111" s="27">
        <f t="shared" si="6"/>
        <v>0</v>
      </c>
      <c r="FJ111" s="27">
        <f t="shared" si="6"/>
        <v>0</v>
      </c>
      <c r="FK111" s="27">
        <f t="shared" si="6"/>
        <v>0</v>
      </c>
      <c r="FL111" s="27">
        <f t="shared" si="6"/>
        <v>0</v>
      </c>
      <c r="FM111" s="27">
        <f t="shared" si="6"/>
        <v>0</v>
      </c>
      <c r="FN111" s="27">
        <f t="shared" si="6"/>
        <v>0</v>
      </c>
      <c r="FO111" s="27">
        <f t="shared" si="6"/>
        <v>0</v>
      </c>
      <c r="FP111" s="27">
        <f t="shared" si="6"/>
        <v>0</v>
      </c>
      <c r="FQ111" s="27">
        <f t="shared" si="6"/>
        <v>0</v>
      </c>
      <c r="FR111" s="27">
        <f t="shared" si="6"/>
        <v>0</v>
      </c>
      <c r="FS111" s="27">
        <f t="shared" si="6"/>
        <v>0</v>
      </c>
      <c r="FT111" s="27">
        <f t="shared" si="6"/>
        <v>0</v>
      </c>
      <c r="FU111" s="27">
        <f t="shared" si="6"/>
        <v>0</v>
      </c>
      <c r="FV111" s="27">
        <f t="shared" si="6"/>
        <v>0</v>
      </c>
      <c r="FW111" s="27">
        <f t="shared" si="6"/>
        <v>0</v>
      </c>
      <c r="FX111" s="27">
        <f t="shared" si="6"/>
        <v>0</v>
      </c>
      <c r="FY111" s="27">
        <f t="shared" si="6"/>
        <v>0</v>
      </c>
      <c r="FZ111" s="27">
        <f t="shared" si="6"/>
        <v>0</v>
      </c>
      <c r="GA111" s="27">
        <f t="shared" si="6"/>
        <v>0</v>
      </c>
      <c r="GB111" s="27">
        <f t="shared" si="6"/>
        <v>0</v>
      </c>
      <c r="GC111" s="27">
        <f t="shared" si="6"/>
        <v>0</v>
      </c>
      <c r="GD111" s="27">
        <f t="shared" si="6"/>
        <v>0</v>
      </c>
      <c r="GE111" s="27">
        <f t="shared" si="6"/>
        <v>0</v>
      </c>
      <c r="GF111" s="27">
        <f t="shared" si="6"/>
        <v>0</v>
      </c>
      <c r="GG111" s="27">
        <f t="shared" si="6"/>
        <v>0</v>
      </c>
      <c r="GH111" s="27">
        <f t="shared" si="6"/>
        <v>0</v>
      </c>
      <c r="GI111" s="27">
        <f t="shared" si="6"/>
        <v>0</v>
      </c>
      <c r="GJ111" s="27">
        <f t="shared" si="6"/>
        <v>0</v>
      </c>
      <c r="GK111" s="27">
        <f t="shared" si="6"/>
        <v>0</v>
      </c>
      <c r="GL111" s="27">
        <f t="shared" si="6"/>
        <v>0</v>
      </c>
      <c r="GM111" s="27">
        <f t="shared" si="6"/>
        <v>0</v>
      </c>
      <c r="GN111" s="27">
        <f t="shared" si="6"/>
        <v>0</v>
      </c>
      <c r="GO111" s="27">
        <f t="shared" si="6"/>
        <v>0</v>
      </c>
      <c r="GP111" s="27">
        <f t="shared" si="6"/>
        <v>0</v>
      </c>
      <c r="GQ111" s="27">
        <f t="shared" si="6"/>
        <v>0</v>
      </c>
      <c r="GR111" s="27">
        <f t="shared" si="6"/>
        <v>0</v>
      </c>
      <c r="GS111" s="27">
        <f t="shared" si="6"/>
        <v>0</v>
      </c>
      <c r="GT111" s="27">
        <f t="shared" si="6"/>
        <v>0</v>
      </c>
      <c r="GU111" s="27">
        <f t="shared" si="6"/>
        <v>0</v>
      </c>
      <c r="GV111" s="27">
        <f t="shared" si="6"/>
        <v>0</v>
      </c>
      <c r="GW111" s="27">
        <f t="shared" si="6"/>
        <v>0</v>
      </c>
      <c r="GX111" s="27">
        <f t="shared" ref="GX111:HC111" si="7">SUM(GX98:GX109)</f>
        <v>0</v>
      </c>
      <c r="GY111" s="27">
        <f t="shared" si="7"/>
        <v>0</v>
      </c>
      <c r="GZ111" s="27">
        <f t="shared" si="7"/>
        <v>0</v>
      </c>
      <c r="HA111" s="27">
        <f t="shared" si="7"/>
        <v>0</v>
      </c>
      <c r="HB111" s="27">
        <f t="shared" si="7"/>
        <v>0</v>
      </c>
      <c r="HC111" s="27">
        <f t="shared" si="7"/>
        <v>0</v>
      </c>
    </row>
    <row r="112" spans="1:211" x14ac:dyDescent="0.3">
      <c r="B112" s="100">
        <f>B111-$E$58</f>
        <v>0</v>
      </c>
      <c r="C112" s="100">
        <f>C111-$F$58</f>
        <v>0</v>
      </c>
      <c r="D112" s="100">
        <f>D111-$G$58</f>
        <v>0</v>
      </c>
      <c r="E112" s="100">
        <f>E111-$H$58</f>
        <v>0</v>
      </c>
      <c r="F112" s="100">
        <f>F111-$I$58</f>
        <v>0</v>
      </c>
      <c r="G112" s="100">
        <f>G111-$J$58</f>
        <v>0</v>
      </c>
      <c r="H112" s="100">
        <f>H111-$K$58</f>
        <v>0</v>
      </c>
      <c r="I112" s="100">
        <f>I111-$E$59</f>
        <v>0</v>
      </c>
      <c r="J112" s="100">
        <f>J111-$F$59</f>
        <v>0</v>
      </c>
      <c r="K112" s="100">
        <f>K111-$G$59</f>
        <v>0</v>
      </c>
      <c r="L112" s="100">
        <f>L111-$H$59</f>
        <v>0</v>
      </c>
      <c r="M112" s="100">
        <f>M111-$I$59</f>
        <v>0</v>
      </c>
      <c r="N112" s="100">
        <f>N111-$J$59</f>
        <v>0</v>
      </c>
      <c r="O112" s="100">
        <f>O111-$K$59</f>
        <v>0</v>
      </c>
      <c r="P112" s="100">
        <f>P111-$E$60</f>
        <v>0</v>
      </c>
      <c r="Q112" s="100">
        <f>Q111-$F$60</f>
        <v>0</v>
      </c>
      <c r="R112" s="100">
        <f>R111-$G$60</f>
        <v>0</v>
      </c>
      <c r="S112" s="100">
        <f>S111-$H$60</f>
        <v>0</v>
      </c>
      <c r="T112" s="100">
        <f>T111-$I$60</f>
        <v>0</v>
      </c>
      <c r="U112" s="100">
        <f>U111-$J$60</f>
        <v>0</v>
      </c>
      <c r="V112" s="100">
        <f>V111-$K$60</f>
        <v>0</v>
      </c>
      <c r="W112" s="100">
        <f>W111-$E$61</f>
        <v>0</v>
      </c>
      <c r="X112" s="100">
        <f>X111-$F$61</f>
        <v>0</v>
      </c>
      <c r="Y112" s="100">
        <f>Y111-$G$61</f>
        <v>0</v>
      </c>
      <c r="Z112" s="100">
        <f>Z111-$H$61</f>
        <v>0</v>
      </c>
      <c r="AA112" s="100">
        <f>AA111-$I$61</f>
        <v>0</v>
      </c>
      <c r="AB112" s="100">
        <f>AB111-$J$61</f>
        <v>0</v>
      </c>
      <c r="AC112" s="100">
        <f>AC111-$K$61</f>
        <v>0</v>
      </c>
      <c r="AD112" s="100">
        <f>AD111-$E$62</f>
        <v>0</v>
      </c>
      <c r="AE112" s="100">
        <f>AE111-$F$62</f>
        <v>0</v>
      </c>
      <c r="AF112" s="100">
        <f>AF111-$G$62</f>
        <v>0</v>
      </c>
      <c r="AG112" s="100">
        <f>AG111-$H$62</f>
        <v>0</v>
      </c>
      <c r="AH112" s="100">
        <f>AH111-$I$62</f>
        <v>0</v>
      </c>
      <c r="AI112" s="100">
        <f>AI111-$J$62</f>
        <v>0</v>
      </c>
      <c r="AJ112" s="100">
        <f>AJ111-$K$62</f>
        <v>0</v>
      </c>
      <c r="AK112" s="100">
        <f>AK111-$E$63</f>
        <v>0</v>
      </c>
      <c r="AL112" s="100">
        <f>AL111-$F$63</f>
        <v>0</v>
      </c>
      <c r="AM112" s="100">
        <f>AM111-$G$63</f>
        <v>0</v>
      </c>
      <c r="AN112" s="100">
        <f>AN111-$H$63</f>
        <v>0</v>
      </c>
      <c r="AO112" s="100">
        <f>AO111-$I$63</f>
        <v>0</v>
      </c>
      <c r="AP112" s="100">
        <f>AP111-$J$63</f>
        <v>0</v>
      </c>
      <c r="AQ112" s="100">
        <f>AQ111-$K$63</f>
        <v>0</v>
      </c>
      <c r="AR112" s="100">
        <f>AR111-$E$64</f>
        <v>0</v>
      </c>
      <c r="AS112" s="100">
        <f>AS111-$F$64</f>
        <v>0</v>
      </c>
      <c r="AT112" s="100">
        <f>AT111-$G$64</f>
        <v>0</v>
      </c>
      <c r="AU112" s="100">
        <f>AU111-$H$64</f>
        <v>0</v>
      </c>
      <c r="AV112" s="100">
        <f>AV111-$I$64</f>
        <v>0</v>
      </c>
      <c r="AW112" s="100">
        <f>AW111-$J$64</f>
        <v>0</v>
      </c>
      <c r="AX112" s="100">
        <f>AX111-$K$64</f>
        <v>0</v>
      </c>
      <c r="AY112" s="100">
        <f>AY111-$E$65</f>
        <v>0</v>
      </c>
      <c r="AZ112" s="100">
        <f>AZ111-$F$65</f>
        <v>0</v>
      </c>
      <c r="BA112" s="100">
        <f>BA111-$G$65</f>
        <v>0</v>
      </c>
      <c r="BB112" s="100">
        <f>BB111-$H$65</f>
        <v>0</v>
      </c>
      <c r="BC112" s="100">
        <f>BC111-$I$65</f>
        <v>0</v>
      </c>
      <c r="BD112" s="100">
        <f>BD111-$J$65</f>
        <v>0</v>
      </c>
      <c r="BE112" s="100">
        <f>BE111-$K$65</f>
        <v>0</v>
      </c>
      <c r="BF112" s="100">
        <f>BF111-$E$66</f>
        <v>0</v>
      </c>
      <c r="BG112" s="100">
        <f>BG111-$F$66</f>
        <v>0</v>
      </c>
      <c r="BH112" s="100">
        <f>BH111-$G$66</f>
        <v>0</v>
      </c>
      <c r="BI112" s="100">
        <f>BI111-$H$66</f>
        <v>0</v>
      </c>
      <c r="BJ112" s="100">
        <f>BJ111-$I$66</f>
        <v>0</v>
      </c>
      <c r="BK112" s="100">
        <f>BK111-$J$66</f>
        <v>0</v>
      </c>
      <c r="BL112" s="100">
        <f>BL111-$K$66</f>
        <v>0</v>
      </c>
      <c r="BM112" s="100">
        <f>BM111-$E$67</f>
        <v>0</v>
      </c>
      <c r="BN112" s="100">
        <f>BN111-$F$67</f>
        <v>0</v>
      </c>
      <c r="BO112" s="100">
        <f>BO111-$G$67</f>
        <v>0</v>
      </c>
      <c r="BP112" s="100">
        <f>BP111-$H$67</f>
        <v>0</v>
      </c>
      <c r="BQ112" s="100">
        <f>BQ111-$I$67</f>
        <v>0</v>
      </c>
      <c r="BR112" s="100">
        <f>BR111-$J$67</f>
        <v>0</v>
      </c>
      <c r="BS112" s="100">
        <f>BS111-$K$67</f>
        <v>0</v>
      </c>
      <c r="BT112" s="100">
        <f>BT111-$E$68</f>
        <v>0</v>
      </c>
      <c r="BU112" s="100">
        <f>BU111-$F$68</f>
        <v>0</v>
      </c>
      <c r="BV112" s="100">
        <f>BV111-$G$68</f>
        <v>0</v>
      </c>
      <c r="BW112" s="100">
        <f>BW111-$H$68</f>
        <v>0</v>
      </c>
      <c r="BX112" s="100">
        <f>BX111-$I$68</f>
        <v>0</v>
      </c>
      <c r="BY112" s="100">
        <f>BY111-$J$68</f>
        <v>0</v>
      </c>
      <c r="BZ112" s="100">
        <f>BZ111-$K$68</f>
        <v>0</v>
      </c>
      <c r="CA112" s="100">
        <f>CA111-$E$69</f>
        <v>0</v>
      </c>
      <c r="CB112" s="100">
        <f>CB111-$F$69</f>
        <v>0</v>
      </c>
      <c r="CC112" s="100">
        <f>CC111-$G$69</f>
        <v>0</v>
      </c>
      <c r="CD112" s="100">
        <f>CD111-$H$69</f>
        <v>0</v>
      </c>
      <c r="CE112" s="100">
        <f>CE111-$I$69</f>
        <v>0</v>
      </c>
      <c r="CF112" s="100">
        <f>CF111-$J$69</f>
        <v>0</v>
      </c>
      <c r="CG112" s="100">
        <f>CG111-$K$69</f>
        <v>0</v>
      </c>
      <c r="CH112" s="100">
        <f>CH111-$E$70</f>
        <v>0</v>
      </c>
      <c r="CI112" s="100">
        <f>CI111-$F$70</f>
        <v>0</v>
      </c>
      <c r="CJ112" s="100">
        <f>CJ111-$G$70</f>
        <v>0</v>
      </c>
      <c r="CK112" s="100">
        <f>CK111-$H$70</f>
        <v>0</v>
      </c>
      <c r="CL112" s="100">
        <f>CL111-$I$70</f>
        <v>0</v>
      </c>
      <c r="CM112" s="100">
        <f>CM111-$J$70</f>
        <v>0</v>
      </c>
      <c r="CN112" s="100">
        <f>CN111-$K$70</f>
        <v>0</v>
      </c>
      <c r="CO112" s="100">
        <f>CO111-$E$71</f>
        <v>0</v>
      </c>
      <c r="CP112" s="100">
        <f>CP111-$F$71</f>
        <v>0</v>
      </c>
      <c r="CQ112" s="100">
        <f>CQ111-$G$71</f>
        <v>0</v>
      </c>
      <c r="CR112" s="100">
        <f>CR111-$H$71</f>
        <v>0</v>
      </c>
      <c r="CS112" s="100">
        <f>CS111-$I$71</f>
        <v>0</v>
      </c>
      <c r="CT112" s="100">
        <f>CT111-$J$71</f>
        <v>0</v>
      </c>
      <c r="CU112" s="100">
        <f>CU111-$K$71</f>
        <v>0</v>
      </c>
      <c r="CV112" s="100">
        <f>CV111-$E$72</f>
        <v>0</v>
      </c>
      <c r="CW112" s="100">
        <f>CW111-$F$72</f>
        <v>0</v>
      </c>
      <c r="CX112" s="100">
        <f>CX111-$G$72</f>
        <v>0</v>
      </c>
      <c r="CY112" s="100">
        <f>CY111-$H$72</f>
        <v>0</v>
      </c>
      <c r="CZ112" s="100">
        <f>CZ111-$I$72</f>
        <v>0</v>
      </c>
      <c r="DA112" s="100">
        <f>DA111-$J$72</f>
        <v>0</v>
      </c>
      <c r="DB112" s="100">
        <f>DB111-$K$72</f>
        <v>0</v>
      </c>
      <c r="DC112" s="100">
        <f>DC111-$E$73</f>
        <v>0</v>
      </c>
      <c r="DD112" s="100">
        <f>DD111-$F$73</f>
        <v>0</v>
      </c>
      <c r="DE112" s="100">
        <f>DE111-$G$73</f>
        <v>0</v>
      </c>
      <c r="DF112" s="100">
        <f>DF111-$H$73</f>
        <v>0</v>
      </c>
      <c r="DG112" s="100">
        <f>DG111-$I$73</f>
        <v>0</v>
      </c>
      <c r="DH112" s="100">
        <f>DH111-$J$73</f>
        <v>0</v>
      </c>
      <c r="DI112" s="100">
        <f>DI111-$K$73</f>
        <v>0</v>
      </c>
      <c r="DJ112" s="100">
        <f>DJ111-$E$74</f>
        <v>0</v>
      </c>
      <c r="DK112" s="100">
        <f>DK111-$F$74</f>
        <v>0</v>
      </c>
      <c r="DL112" s="100">
        <f>DL111-$G$74</f>
        <v>0</v>
      </c>
      <c r="DM112" s="100">
        <f>DM111-$H$74</f>
        <v>0</v>
      </c>
      <c r="DN112" s="100">
        <f>DN111-$I$74</f>
        <v>0</v>
      </c>
      <c r="DO112" s="100">
        <f>DO111-$J$74</f>
        <v>0</v>
      </c>
      <c r="DP112" s="100">
        <f>DP111-$K$74</f>
        <v>0</v>
      </c>
      <c r="DQ112" s="100">
        <f>DQ111-$E$75</f>
        <v>0</v>
      </c>
      <c r="DR112" s="100">
        <f>DR111-$F$75</f>
        <v>0</v>
      </c>
      <c r="DS112" s="100">
        <f>DS111-$G$75</f>
        <v>0</v>
      </c>
      <c r="DT112" s="100">
        <f>DT111-$H$75</f>
        <v>0</v>
      </c>
      <c r="DU112" s="100">
        <f>DU111-$I$75</f>
        <v>0</v>
      </c>
      <c r="DV112" s="100">
        <f>DV111-$J$75</f>
        <v>0</v>
      </c>
      <c r="DW112" s="100">
        <f>DW111-$K$75</f>
        <v>0</v>
      </c>
      <c r="DX112" s="100">
        <f>DX111-$E$76</f>
        <v>0</v>
      </c>
      <c r="DY112" s="100">
        <f>DY111-$F$76</f>
        <v>0</v>
      </c>
      <c r="DZ112" s="100">
        <f>DZ111-$G$76</f>
        <v>0</v>
      </c>
      <c r="EA112" s="100">
        <f>EA111-$H$76</f>
        <v>0</v>
      </c>
      <c r="EB112" s="100">
        <f>EB111-$I$76</f>
        <v>0</v>
      </c>
      <c r="EC112" s="100">
        <f>EC111-$J$76</f>
        <v>0</v>
      </c>
      <c r="ED112" s="100">
        <f>ED111-$K$76</f>
        <v>0</v>
      </c>
      <c r="EE112" s="100">
        <f>EE111-$E$77</f>
        <v>0</v>
      </c>
      <c r="EF112" s="100">
        <f>EF111-$F$77</f>
        <v>0</v>
      </c>
      <c r="EG112" s="100">
        <f>EG111-$G$77</f>
        <v>0</v>
      </c>
      <c r="EH112" s="100">
        <f>EH111-$H$77</f>
        <v>0</v>
      </c>
      <c r="EI112" s="100">
        <f>EI111-$I$77</f>
        <v>0</v>
      </c>
      <c r="EJ112" s="100">
        <f>EJ111-$J$77</f>
        <v>0</v>
      </c>
      <c r="EK112" s="100">
        <f>EK111-$K$77</f>
        <v>0</v>
      </c>
      <c r="EL112" s="100">
        <f>EL111-$E$78</f>
        <v>0</v>
      </c>
      <c r="EM112" s="100">
        <f>EM111-$F$78</f>
        <v>0</v>
      </c>
      <c r="EN112" s="100">
        <f>EN111-$G$78</f>
        <v>0</v>
      </c>
      <c r="EO112" s="100">
        <f>EO111-$H$78</f>
        <v>0</v>
      </c>
      <c r="EP112" s="100">
        <f>EP111-$I$78</f>
        <v>0</v>
      </c>
      <c r="EQ112" s="100">
        <f>EQ111-$J$78</f>
        <v>0</v>
      </c>
      <c r="ER112" s="100">
        <f>ER111-$K$78</f>
        <v>0</v>
      </c>
      <c r="ES112" s="100">
        <f>ES111-$E$79</f>
        <v>0</v>
      </c>
      <c r="ET112" s="100">
        <f>ET111-$F$79</f>
        <v>0</v>
      </c>
      <c r="EU112" s="100">
        <f>EU111-$G$79</f>
        <v>0</v>
      </c>
      <c r="EV112" s="100">
        <f>EV111-$H$79</f>
        <v>0</v>
      </c>
      <c r="EW112" s="100">
        <f>EW111-$I$79</f>
        <v>0</v>
      </c>
      <c r="EX112" s="100">
        <f>EX111-$J$79</f>
        <v>0</v>
      </c>
      <c r="EY112" s="100">
        <f>EY111-$K$79</f>
        <v>0</v>
      </c>
      <c r="EZ112" s="100">
        <f>EZ111-$E$80</f>
        <v>0</v>
      </c>
      <c r="FA112" s="100">
        <f>FA111-$F$80</f>
        <v>0</v>
      </c>
      <c r="FB112" s="100">
        <f>FB111-$G$80</f>
        <v>0</v>
      </c>
      <c r="FC112" s="100">
        <f>FC111-$H$80</f>
        <v>0</v>
      </c>
      <c r="FD112" s="100">
        <f>FD111-$I$80</f>
        <v>0</v>
      </c>
      <c r="FE112" s="100">
        <f>FE111-$J$80</f>
        <v>0</v>
      </c>
      <c r="FF112" s="100">
        <f>FF111-$K$80</f>
        <v>0</v>
      </c>
      <c r="FG112" s="100">
        <f>FG111-$E$81</f>
        <v>0</v>
      </c>
      <c r="FH112" s="100">
        <f>FH111-$F$81</f>
        <v>0</v>
      </c>
      <c r="FI112" s="100">
        <f>FI111-$G$81</f>
        <v>0</v>
      </c>
      <c r="FJ112" s="100">
        <f>FJ111-$H$81</f>
        <v>0</v>
      </c>
      <c r="FK112" s="100">
        <f>FK111-$I$81</f>
        <v>0</v>
      </c>
      <c r="FL112" s="100">
        <f>FL111-$J$81</f>
        <v>0</v>
      </c>
      <c r="FM112" s="100">
        <f>FM111-$K$81</f>
        <v>0</v>
      </c>
      <c r="FN112" s="100">
        <f>FN111-$E$82</f>
        <v>0</v>
      </c>
      <c r="FO112" s="100">
        <f>FO111-$F$82</f>
        <v>0</v>
      </c>
      <c r="FP112" s="100">
        <f>FP111-$G$82</f>
        <v>0</v>
      </c>
      <c r="FQ112" s="100">
        <f>FQ111-$H$82</f>
        <v>0</v>
      </c>
      <c r="FR112" s="100">
        <f>FR111-$I$82</f>
        <v>0</v>
      </c>
      <c r="FS112" s="100">
        <f>FS111-$J$82</f>
        <v>0</v>
      </c>
      <c r="FT112" s="100">
        <f>FT111-$K$82</f>
        <v>0</v>
      </c>
      <c r="FU112" s="100">
        <f>FU111-$E$83</f>
        <v>0</v>
      </c>
      <c r="FV112" s="100">
        <f>FV111-$F$83</f>
        <v>0</v>
      </c>
      <c r="FW112" s="100">
        <f>FW111-$G$83</f>
        <v>0</v>
      </c>
      <c r="FX112" s="100">
        <f>FX111-$H$83</f>
        <v>0</v>
      </c>
      <c r="FY112" s="100">
        <f>FY111-$I$83</f>
        <v>0</v>
      </c>
      <c r="FZ112" s="100">
        <f>FZ111-$J$83</f>
        <v>0</v>
      </c>
      <c r="GA112" s="100">
        <f>GA111-$K$83</f>
        <v>0</v>
      </c>
      <c r="GB112" s="100">
        <f>GB111-$E$84</f>
        <v>0</v>
      </c>
      <c r="GC112" s="100">
        <f>GC111-$F$84</f>
        <v>0</v>
      </c>
      <c r="GD112" s="100">
        <f>GD111-$G$84</f>
        <v>0</v>
      </c>
      <c r="GE112" s="100">
        <f>GE111-$H$84</f>
        <v>0</v>
      </c>
      <c r="GF112" s="100">
        <f>GF111-$I$84</f>
        <v>0</v>
      </c>
      <c r="GG112" s="100">
        <f>GG111-$J$84</f>
        <v>0</v>
      </c>
      <c r="GH112" s="100">
        <f>GH111-$K$84</f>
        <v>0</v>
      </c>
      <c r="GI112" s="100">
        <f>GI111-$E$85</f>
        <v>0</v>
      </c>
      <c r="GJ112" s="100">
        <f>GJ111-$F$85</f>
        <v>0</v>
      </c>
      <c r="GK112" s="100">
        <f>GK111-$G$85</f>
        <v>0</v>
      </c>
      <c r="GL112" s="100">
        <f>GL111-$H$85</f>
        <v>0</v>
      </c>
      <c r="GM112" s="100">
        <f>GM111-$I$85</f>
        <v>0</v>
      </c>
      <c r="GN112" s="100">
        <f>GN111-$J$85</f>
        <v>0</v>
      </c>
      <c r="GO112" s="100">
        <f>GO111-$K$85</f>
        <v>0</v>
      </c>
      <c r="GP112" s="100">
        <f>GP111-$E$86</f>
        <v>0</v>
      </c>
      <c r="GQ112" s="100">
        <f>GQ111-$F$86</f>
        <v>0</v>
      </c>
      <c r="GR112" s="100">
        <f>GR111-$G$86</f>
        <v>0</v>
      </c>
      <c r="GS112" s="100">
        <f>GS111-$H$86</f>
        <v>0</v>
      </c>
      <c r="GT112" s="100">
        <f>GT111-$I$86</f>
        <v>0</v>
      </c>
      <c r="GU112" s="100">
        <f>GU111-$J$86</f>
        <v>0</v>
      </c>
      <c r="GV112" s="100">
        <f>GV111-$K$86</f>
        <v>0</v>
      </c>
      <c r="GW112" s="100">
        <f>GW111-$E$87</f>
        <v>0</v>
      </c>
      <c r="GX112" s="100">
        <f>GX111-$F$87</f>
        <v>0</v>
      </c>
      <c r="GY112" s="100">
        <f>GY111-$G$87</f>
        <v>0</v>
      </c>
      <c r="GZ112" s="100">
        <f>GZ111-$H$87</f>
        <v>0</v>
      </c>
      <c r="HA112" s="100">
        <f>HA111-$I$87</f>
        <v>0</v>
      </c>
      <c r="HB112" s="100">
        <f>HB111-$J$87</f>
        <v>0</v>
      </c>
      <c r="HC112" s="100">
        <f>HC111-$K$87</f>
        <v>0</v>
      </c>
    </row>
    <row r="115" spans="1:22" ht="18" x14ac:dyDescent="0.35">
      <c r="A115" s="14" t="s">
        <v>165</v>
      </c>
    </row>
    <row r="116" spans="1:22" ht="15" customHeight="1" x14ac:dyDescent="0.35">
      <c r="A116" s="14"/>
    </row>
    <row r="117" spans="1:22" ht="20.100000000000001" customHeight="1" x14ac:dyDescent="0.3">
      <c r="A117" s="533" t="s">
        <v>82</v>
      </c>
      <c r="B117" s="533" t="s">
        <v>139</v>
      </c>
      <c r="C117" s="533"/>
      <c r="D117" s="533"/>
      <c r="E117" s="533" t="s">
        <v>140</v>
      </c>
      <c r="F117" s="533"/>
      <c r="G117" s="533"/>
      <c r="H117" s="533" t="s">
        <v>96</v>
      </c>
      <c r="I117" s="533"/>
      <c r="J117" s="533"/>
      <c r="K117" s="533" t="s">
        <v>101</v>
      </c>
      <c r="L117" s="533"/>
      <c r="M117" s="533"/>
      <c r="N117" s="533" t="s">
        <v>105</v>
      </c>
      <c r="O117" s="533"/>
      <c r="P117" s="533"/>
      <c r="Q117" s="533" t="s">
        <v>106</v>
      </c>
      <c r="R117" s="533"/>
      <c r="S117" s="533"/>
      <c r="T117" s="533" t="s">
        <v>157</v>
      </c>
      <c r="U117" s="533"/>
      <c r="V117" s="533"/>
    </row>
    <row r="118" spans="1:22" ht="20.100000000000001" customHeight="1" x14ac:dyDescent="0.3">
      <c r="A118" s="533"/>
      <c r="B118" s="28" t="s">
        <v>167</v>
      </c>
      <c r="C118" s="28" t="s">
        <v>166</v>
      </c>
      <c r="D118" s="28" t="s">
        <v>168</v>
      </c>
      <c r="E118" s="28" t="s">
        <v>167</v>
      </c>
      <c r="F118" s="28" t="s">
        <v>166</v>
      </c>
      <c r="G118" s="28" t="s">
        <v>168</v>
      </c>
      <c r="H118" s="28" t="s">
        <v>167</v>
      </c>
      <c r="I118" s="28" t="s">
        <v>166</v>
      </c>
      <c r="J118" s="28" t="s">
        <v>168</v>
      </c>
      <c r="K118" s="28" t="s">
        <v>167</v>
      </c>
      <c r="L118" s="28" t="s">
        <v>166</v>
      </c>
      <c r="M118" s="28" t="s">
        <v>168</v>
      </c>
      <c r="N118" s="28" t="s">
        <v>167</v>
      </c>
      <c r="O118" s="28" t="s">
        <v>166</v>
      </c>
      <c r="P118" s="28" t="s">
        <v>168</v>
      </c>
      <c r="Q118" s="28" t="s">
        <v>167</v>
      </c>
      <c r="R118" s="28" t="s">
        <v>166</v>
      </c>
      <c r="S118" s="28" t="s">
        <v>168</v>
      </c>
      <c r="T118" s="28" t="s">
        <v>167</v>
      </c>
      <c r="U118" s="28" t="s">
        <v>166</v>
      </c>
      <c r="V118" s="28" t="s">
        <v>168</v>
      </c>
    </row>
    <row r="119" spans="1:22" x14ac:dyDescent="0.3">
      <c r="A119" s="78">
        <f>DATE(INT(LEFT($B$3,4)),4,1)</f>
        <v>45748</v>
      </c>
      <c r="B119" s="80">
        <f t="shared" ref="B119:B130" si="8">SUMIF($B$97:$HC$97,$B$117,B98:HC98)</f>
        <v>0</v>
      </c>
      <c r="C119" s="80">
        <f>'GSTR 1'!E342</f>
        <v>0</v>
      </c>
      <c r="D119" s="80">
        <f>ROUND(B119-C119,0)</f>
        <v>0</v>
      </c>
      <c r="E119" s="79">
        <f t="shared" ref="E119:E130" si="9">SUMIF($B$97:$HC$97,$E$117,B98:HC98)</f>
        <v>0</v>
      </c>
      <c r="F119" s="79">
        <f>'GSTR 1'!F342</f>
        <v>0</v>
      </c>
      <c r="G119" s="79">
        <f>ROUND(E119-F119,0)</f>
        <v>0</v>
      </c>
      <c r="H119" s="80">
        <f t="shared" ref="H119:H130" si="10">SUMIF($B$97:$HC$97,$H$117,B98:HC98)</f>
        <v>0</v>
      </c>
      <c r="I119" s="80">
        <f>'GSTR 1'!G342</f>
        <v>0</v>
      </c>
      <c r="J119" s="80">
        <f>ROUND(H119-I119,0)</f>
        <v>0</v>
      </c>
      <c r="K119" s="79">
        <f t="shared" ref="K119:K130" si="11">SUMIF($B$97:$HC$97,$K$117,B98:HC98)</f>
        <v>0</v>
      </c>
      <c r="L119" s="79">
        <f>'GSTR 1'!H342</f>
        <v>0</v>
      </c>
      <c r="M119" s="79">
        <f>ROUND(K119-L119,0)</f>
        <v>0</v>
      </c>
      <c r="N119" s="80">
        <f t="shared" ref="N119:N130" si="12">SUMIF($B$97:$HC$97,$N$117,B98:HC98)</f>
        <v>0</v>
      </c>
      <c r="O119" s="80">
        <f>'GSTR 1'!I342</f>
        <v>0</v>
      </c>
      <c r="P119" s="80">
        <f>ROUND(N119-O119,0)</f>
        <v>0</v>
      </c>
      <c r="Q119" s="79">
        <f t="shared" ref="Q119:Q130" si="13">SUMIF($B$97:$HC$97,$Q$117,B98:HC98)</f>
        <v>0</v>
      </c>
      <c r="R119" s="79">
        <f>'GSTR 1'!J342</f>
        <v>0</v>
      </c>
      <c r="S119" s="79">
        <f>ROUND(Q119-R119,0)</f>
        <v>0</v>
      </c>
      <c r="T119" s="80">
        <f t="shared" ref="T119:T130" si="14">SUMIF($B$97:$HC$97,$T$117,B98:HC98)</f>
        <v>0</v>
      </c>
      <c r="U119" s="80">
        <f>'GSTR 1'!K342</f>
        <v>0</v>
      </c>
      <c r="V119" s="80">
        <f>ROUND(T119-U119,0)</f>
        <v>0</v>
      </c>
    </row>
    <row r="120" spans="1:22" x14ac:dyDescent="0.3">
      <c r="A120" s="78">
        <f>DATE(INT(LEFT($B$3,4)),5,1)</f>
        <v>45778</v>
      </c>
      <c r="B120" s="80">
        <f t="shared" si="8"/>
        <v>0</v>
      </c>
      <c r="C120" s="80">
        <f>'GSTR 1'!E348</f>
        <v>0</v>
      </c>
      <c r="D120" s="80">
        <f t="shared" ref="D120:D130" si="15">ROUND(B120-C120,0)</f>
        <v>0</v>
      </c>
      <c r="E120" s="79">
        <f t="shared" si="9"/>
        <v>0</v>
      </c>
      <c r="F120" s="79">
        <f>'GSTR 1'!F348</f>
        <v>0</v>
      </c>
      <c r="G120" s="79">
        <f t="shared" ref="G120:G130" si="16">ROUND(E120-F120,0)</f>
        <v>0</v>
      </c>
      <c r="H120" s="80">
        <f t="shared" si="10"/>
        <v>0</v>
      </c>
      <c r="I120" s="80">
        <f>'GSTR 1'!G348</f>
        <v>0</v>
      </c>
      <c r="J120" s="80">
        <f t="shared" ref="J120:J130" si="17">ROUND(H120-I120,0)</f>
        <v>0</v>
      </c>
      <c r="K120" s="79">
        <f t="shared" si="11"/>
        <v>0</v>
      </c>
      <c r="L120" s="79">
        <f>'GSTR 1'!H348</f>
        <v>0</v>
      </c>
      <c r="M120" s="79">
        <f t="shared" ref="M120:M130" si="18">ROUND(K120-L120,0)</f>
        <v>0</v>
      </c>
      <c r="N120" s="80">
        <f t="shared" si="12"/>
        <v>0</v>
      </c>
      <c r="O120" s="80">
        <f>'GSTR 1'!I348</f>
        <v>0</v>
      </c>
      <c r="P120" s="80">
        <f t="shared" ref="P120:P130" si="19">ROUND(N120-O120,0)</f>
        <v>0</v>
      </c>
      <c r="Q120" s="79">
        <f t="shared" si="13"/>
        <v>0</v>
      </c>
      <c r="R120" s="79">
        <f>'GSTR 1'!J348</f>
        <v>0</v>
      </c>
      <c r="S120" s="79">
        <f t="shared" ref="S120:S130" si="20">ROUND(Q120-R120,0)</f>
        <v>0</v>
      </c>
      <c r="T120" s="80">
        <f t="shared" si="14"/>
        <v>0</v>
      </c>
      <c r="U120" s="80">
        <f>'GSTR 1'!K348</f>
        <v>0</v>
      </c>
      <c r="V120" s="80">
        <f t="shared" ref="V120:V130" si="21">ROUND(T120-U120,0)</f>
        <v>0</v>
      </c>
    </row>
    <row r="121" spans="1:22" x14ac:dyDescent="0.3">
      <c r="A121" s="78">
        <f>DATE(INT(LEFT($B$3,4)),6,1)</f>
        <v>45809</v>
      </c>
      <c r="B121" s="80">
        <f t="shared" si="8"/>
        <v>0</v>
      </c>
      <c r="C121" s="80">
        <f>'GSTR 1'!E358</f>
        <v>0</v>
      </c>
      <c r="D121" s="80">
        <f t="shared" si="15"/>
        <v>0</v>
      </c>
      <c r="E121" s="79">
        <f t="shared" si="9"/>
        <v>0</v>
      </c>
      <c r="F121" s="79">
        <f>'GSTR 1'!F358</f>
        <v>0</v>
      </c>
      <c r="G121" s="79">
        <f t="shared" si="16"/>
        <v>0</v>
      </c>
      <c r="H121" s="80">
        <f t="shared" si="10"/>
        <v>0</v>
      </c>
      <c r="I121" s="80">
        <f>'GSTR 1'!G358</f>
        <v>0</v>
      </c>
      <c r="J121" s="80">
        <f t="shared" si="17"/>
        <v>0</v>
      </c>
      <c r="K121" s="79">
        <f t="shared" si="11"/>
        <v>0</v>
      </c>
      <c r="L121" s="79">
        <f>'GSTR 1'!H358</f>
        <v>0</v>
      </c>
      <c r="M121" s="79">
        <f t="shared" si="18"/>
        <v>0</v>
      </c>
      <c r="N121" s="80">
        <f t="shared" si="12"/>
        <v>0</v>
      </c>
      <c r="O121" s="80">
        <f>'GSTR 1'!I358</f>
        <v>0</v>
      </c>
      <c r="P121" s="80">
        <f t="shared" si="19"/>
        <v>0</v>
      </c>
      <c r="Q121" s="79">
        <f t="shared" si="13"/>
        <v>0</v>
      </c>
      <c r="R121" s="79">
        <f>'GSTR 1'!J358</f>
        <v>0</v>
      </c>
      <c r="S121" s="79">
        <f t="shared" si="20"/>
        <v>0</v>
      </c>
      <c r="T121" s="80">
        <f t="shared" si="14"/>
        <v>0</v>
      </c>
      <c r="U121" s="80">
        <f>'GSTR 1'!K358</f>
        <v>0</v>
      </c>
      <c r="V121" s="80">
        <f t="shared" si="21"/>
        <v>0</v>
      </c>
    </row>
    <row r="122" spans="1:22" x14ac:dyDescent="0.3">
      <c r="A122" s="78">
        <f>DATE(INT(LEFT($B$3,4)),7,1)</f>
        <v>45839</v>
      </c>
      <c r="B122" s="80">
        <f t="shared" si="8"/>
        <v>0</v>
      </c>
      <c r="C122" s="80">
        <f>'GSTR 1'!E368</f>
        <v>0</v>
      </c>
      <c r="D122" s="80">
        <f t="shared" si="15"/>
        <v>0</v>
      </c>
      <c r="E122" s="79">
        <f t="shared" si="9"/>
        <v>0</v>
      </c>
      <c r="F122" s="79">
        <f>'GSTR 1'!F368</f>
        <v>0</v>
      </c>
      <c r="G122" s="79">
        <f t="shared" si="16"/>
        <v>0</v>
      </c>
      <c r="H122" s="80">
        <f t="shared" si="10"/>
        <v>0</v>
      </c>
      <c r="I122" s="80">
        <f>'GSTR 1'!G368</f>
        <v>0</v>
      </c>
      <c r="J122" s="80">
        <f t="shared" si="17"/>
        <v>0</v>
      </c>
      <c r="K122" s="79">
        <f t="shared" si="11"/>
        <v>0</v>
      </c>
      <c r="L122" s="79">
        <f>'GSTR 1'!H368</f>
        <v>0</v>
      </c>
      <c r="M122" s="79">
        <f t="shared" si="18"/>
        <v>0</v>
      </c>
      <c r="N122" s="80">
        <f t="shared" si="12"/>
        <v>0</v>
      </c>
      <c r="O122" s="80">
        <f>'GSTR 1'!I368</f>
        <v>0</v>
      </c>
      <c r="P122" s="80">
        <f t="shared" si="19"/>
        <v>0</v>
      </c>
      <c r="Q122" s="79">
        <f t="shared" si="13"/>
        <v>0</v>
      </c>
      <c r="R122" s="79">
        <f>'GSTR 1'!J368</f>
        <v>0</v>
      </c>
      <c r="S122" s="79">
        <f t="shared" si="20"/>
        <v>0</v>
      </c>
      <c r="T122" s="80">
        <f t="shared" si="14"/>
        <v>0</v>
      </c>
      <c r="U122" s="80">
        <f>'GSTR 1'!K368</f>
        <v>0</v>
      </c>
      <c r="V122" s="80">
        <f t="shared" si="21"/>
        <v>0</v>
      </c>
    </row>
    <row r="123" spans="1:22" x14ac:dyDescent="0.3">
      <c r="A123" s="78">
        <f>DATE(INT(LEFT($B$3,4)),8,1)</f>
        <v>45870</v>
      </c>
      <c r="B123" s="80">
        <f t="shared" si="8"/>
        <v>0</v>
      </c>
      <c r="C123" s="80">
        <f>'GSTR 1'!E378</f>
        <v>0</v>
      </c>
      <c r="D123" s="80">
        <f t="shared" si="15"/>
        <v>0</v>
      </c>
      <c r="E123" s="79">
        <f t="shared" si="9"/>
        <v>0</v>
      </c>
      <c r="F123" s="79">
        <f>'GSTR 1'!F378</f>
        <v>0</v>
      </c>
      <c r="G123" s="79">
        <f t="shared" si="16"/>
        <v>0</v>
      </c>
      <c r="H123" s="80">
        <f t="shared" si="10"/>
        <v>0</v>
      </c>
      <c r="I123" s="80">
        <f>'GSTR 1'!G378</f>
        <v>0</v>
      </c>
      <c r="J123" s="80">
        <f t="shared" si="17"/>
        <v>0</v>
      </c>
      <c r="K123" s="79">
        <f t="shared" si="11"/>
        <v>0</v>
      </c>
      <c r="L123" s="79">
        <f>'GSTR 1'!H378</f>
        <v>0</v>
      </c>
      <c r="M123" s="79">
        <f t="shared" si="18"/>
        <v>0</v>
      </c>
      <c r="N123" s="80">
        <f t="shared" si="12"/>
        <v>0</v>
      </c>
      <c r="O123" s="80">
        <f>'GSTR 1'!I378</f>
        <v>0</v>
      </c>
      <c r="P123" s="80">
        <f t="shared" si="19"/>
        <v>0</v>
      </c>
      <c r="Q123" s="79">
        <f t="shared" si="13"/>
        <v>0</v>
      </c>
      <c r="R123" s="79">
        <f>'GSTR 1'!J378</f>
        <v>0</v>
      </c>
      <c r="S123" s="79">
        <f t="shared" si="20"/>
        <v>0</v>
      </c>
      <c r="T123" s="80">
        <f t="shared" si="14"/>
        <v>0</v>
      </c>
      <c r="U123" s="80">
        <f>'GSTR 1'!K378</f>
        <v>0</v>
      </c>
      <c r="V123" s="80">
        <f t="shared" si="21"/>
        <v>0</v>
      </c>
    </row>
    <row r="124" spans="1:22" x14ac:dyDescent="0.3">
      <c r="A124" s="78">
        <f>DATE(INT(LEFT($B$3,4)),9,1)</f>
        <v>45901</v>
      </c>
      <c r="B124" s="80">
        <f t="shared" si="8"/>
        <v>0</v>
      </c>
      <c r="C124" s="80">
        <f>'GSTR 1'!E388</f>
        <v>0</v>
      </c>
      <c r="D124" s="80">
        <f t="shared" si="15"/>
        <v>0</v>
      </c>
      <c r="E124" s="79">
        <f t="shared" si="9"/>
        <v>0</v>
      </c>
      <c r="F124" s="79">
        <f>'GSTR 1'!F388</f>
        <v>0</v>
      </c>
      <c r="G124" s="79">
        <f t="shared" si="16"/>
        <v>0</v>
      </c>
      <c r="H124" s="80">
        <f t="shared" si="10"/>
        <v>0</v>
      </c>
      <c r="I124" s="80">
        <f>'GSTR 1'!G388</f>
        <v>0</v>
      </c>
      <c r="J124" s="80">
        <f t="shared" si="17"/>
        <v>0</v>
      </c>
      <c r="K124" s="79">
        <f t="shared" si="11"/>
        <v>0</v>
      </c>
      <c r="L124" s="79">
        <f>'GSTR 1'!H388</f>
        <v>0</v>
      </c>
      <c r="M124" s="79">
        <f t="shared" si="18"/>
        <v>0</v>
      </c>
      <c r="N124" s="80">
        <f t="shared" si="12"/>
        <v>0</v>
      </c>
      <c r="O124" s="80">
        <f>'GSTR 1'!I388</f>
        <v>0</v>
      </c>
      <c r="P124" s="80">
        <f t="shared" si="19"/>
        <v>0</v>
      </c>
      <c r="Q124" s="79">
        <f t="shared" si="13"/>
        <v>0</v>
      </c>
      <c r="R124" s="79">
        <f>'GSTR 1'!J388</f>
        <v>0</v>
      </c>
      <c r="S124" s="79">
        <f t="shared" si="20"/>
        <v>0</v>
      </c>
      <c r="T124" s="80">
        <f t="shared" si="14"/>
        <v>0</v>
      </c>
      <c r="U124" s="80">
        <f>'GSTR 1'!K388</f>
        <v>0</v>
      </c>
      <c r="V124" s="80">
        <f t="shared" si="21"/>
        <v>0</v>
      </c>
    </row>
    <row r="125" spans="1:22" x14ac:dyDescent="0.3">
      <c r="A125" s="78">
        <f>DATE(INT(LEFT($B$3,4)),10,1)</f>
        <v>45931</v>
      </c>
      <c r="B125" s="80">
        <f t="shared" si="8"/>
        <v>0</v>
      </c>
      <c r="C125" s="80">
        <f>'GSTR 1'!E398</f>
        <v>0</v>
      </c>
      <c r="D125" s="80">
        <f t="shared" si="15"/>
        <v>0</v>
      </c>
      <c r="E125" s="79">
        <f t="shared" si="9"/>
        <v>0</v>
      </c>
      <c r="F125" s="79">
        <f>'GSTR 1'!F398</f>
        <v>0</v>
      </c>
      <c r="G125" s="79">
        <f t="shared" si="16"/>
        <v>0</v>
      </c>
      <c r="H125" s="80">
        <f t="shared" si="10"/>
        <v>0</v>
      </c>
      <c r="I125" s="80">
        <f>'GSTR 1'!G398</f>
        <v>0</v>
      </c>
      <c r="J125" s="80">
        <f t="shared" si="17"/>
        <v>0</v>
      </c>
      <c r="K125" s="79">
        <f t="shared" si="11"/>
        <v>0</v>
      </c>
      <c r="L125" s="79">
        <f>'GSTR 1'!H398</f>
        <v>0</v>
      </c>
      <c r="M125" s="79">
        <f t="shared" si="18"/>
        <v>0</v>
      </c>
      <c r="N125" s="80">
        <f t="shared" si="12"/>
        <v>0</v>
      </c>
      <c r="O125" s="80">
        <f>'GSTR 1'!I398</f>
        <v>0</v>
      </c>
      <c r="P125" s="80">
        <f t="shared" si="19"/>
        <v>0</v>
      </c>
      <c r="Q125" s="79">
        <f t="shared" si="13"/>
        <v>0</v>
      </c>
      <c r="R125" s="79">
        <f>'GSTR 1'!J398</f>
        <v>0</v>
      </c>
      <c r="S125" s="79">
        <f t="shared" si="20"/>
        <v>0</v>
      </c>
      <c r="T125" s="80">
        <f t="shared" si="14"/>
        <v>0</v>
      </c>
      <c r="U125" s="80">
        <f>'GSTR 1'!K398</f>
        <v>0</v>
      </c>
      <c r="V125" s="80">
        <f t="shared" si="21"/>
        <v>0</v>
      </c>
    </row>
    <row r="126" spans="1:22" x14ac:dyDescent="0.3">
      <c r="A126" s="78">
        <f>DATE(INT(LEFT($B$3,4)),11,1)</f>
        <v>45962</v>
      </c>
      <c r="B126" s="80">
        <f t="shared" si="8"/>
        <v>0</v>
      </c>
      <c r="C126" s="80">
        <f>'GSTR 1'!E408</f>
        <v>0</v>
      </c>
      <c r="D126" s="80">
        <f t="shared" si="15"/>
        <v>0</v>
      </c>
      <c r="E126" s="79">
        <f t="shared" si="9"/>
        <v>0</v>
      </c>
      <c r="F126" s="79">
        <f>'GSTR 1'!F408</f>
        <v>0</v>
      </c>
      <c r="G126" s="79">
        <f t="shared" si="16"/>
        <v>0</v>
      </c>
      <c r="H126" s="80">
        <f t="shared" si="10"/>
        <v>0</v>
      </c>
      <c r="I126" s="80">
        <f>'GSTR 1'!G408</f>
        <v>0</v>
      </c>
      <c r="J126" s="80">
        <f t="shared" si="17"/>
        <v>0</v>
      </c>
      <c r="K126" s="79">
        <f t="shared" si="11"/>
        <v>0</v>
      </c>
      <c r="L126" s="79">
        <f>'GSTR 1'!H408</f>
        <v>0</v>
      </c>
      <c r="M126" s="79">
        <f t="shared" si="18"/>
        <v>0</v>
      </c>
      <c r="N126" s="80">
        <f t="shared" si="12"/>
        <v>0</v>
      </c>
      <c r="O126" s="80">
        <f>'GSTR 1'!I408</f>
        <v>0</v>
      </c>
      <c r="P126" s="80">
        <f t="shared" si="19"/>
        <v>0</v>
      </c>
      <c r="Q126" s="79">
        <f t="shared" si="13"/>
        <v>0</v>
      </c>
      <c r="R126" s="79">
        <f>'GSTR 1'!J408</f>
        <v>0</v>
      </c>
      <c r="S126" s="79">
        <f t="shared" si="20"/>
        <v>0</v>
      </c>
      <c r="T126" s="80">
        <f t="shared" si="14"/>
        <v>0</v>
      </c>
      <c r="U126" s="80">
        <f>'GSTR 1'!K408</f>
        <v>0</v>
      </c>
      <c r="V126" s="80">
        <f t="shared" si="21"/>
        <v>0</v>
      </c>
    </row>
    <row r="127" spans="1:22" x14ac:dyDescent="0.3">
      <c r="A127" s="78">
        <f>DATE(INT(LEFT($B$3,4)),12,1)</f>
        <v>45992</v>
      </c>
      <c r="B127" s="80">
        <f t="shared" si="8"/>
        <v>0</v>
      </c>
      <c r="C127" s="80">
        <f>'GSTR 1'!E418</f>
        <v>0</v>
      </c>
      <c r="D127" s="80">
        <f t="shared" si="15"/>
        <v>0</v>
      </c>
      <c r="E127" s="79">
        <f t="shared" si="9"/>
        <v>0</v>
      </c>
      <c r="F127" s="79">
        <f>'GSTR 1'!F418</f>
        <v>0</v>
      </c>
      <c r="G127" s="79">
        <f t="shared" si="16"/>
        <v>0</v>
      </c>
      <c r="H127" s="80">
        <f t="shared" si="10"/>
        <v>0</v>
      </c>
      <c r="I127" s="80">
        <f>'GSTR 1'!G418</f>
        <v>0</v>
      </c>
      <c r="J127" s="80">
        <f t="shared" si="17"/>
        <v>0</v>
      </c>
      <c r="K127" s="79">
        <f t="shared" si="11"/>
        <v>0</v>
      </c>
      <c r="L127" s="79">
        <f>'GSTR 1'!H418</f>
        <v>0</v>
      </c>
      <c r="M127" s="79">
        <f t="shared" si="18"/>
        <v>0</v>
      </c>
      <c r="N127" s="80">
        <f t="shared" si="12"/>
        <v>0</v>
      </c>
      <c r="O127" s="80">
        <f>'GSTR 1'!I418</f>
        <v>0</v>
      </c>
      <c r="P127" s="80">
        <f t="shared" si="19"/>
        <v>0</v>
      </c>
      <c r="Q127" s="79">
        <f t="shared" si="13"/>
        <v>0</v>
      </c>
      <c r="R127" s="79">
        <f>'GSTR 1'!J418</f>
        <v>0</v>
      </c>
      <c r="S127" s="79">
        <f t="shared" si="20"/>
        <v>0</v>
      </c>
      <c r="T127" s="80">
        <f t="shared" si="14"/>
        <v>0</v>
      </c>
      <c r="U127" s="80">
        <f>'GSTR 1'!K418</f>
        <v>0</v>
      </c>
      <c r="V127" s="80">
        <f t="shared" si="21"/>
        <v>0</v>
      </c>
    </row>
    <row r="128" spans="1:22" x14ac:dyDescent="0.3">
      <c r="A128" s="78">
        <f>DATE(INT(LEFT($B$3,4))+1,1,1)</f>
        <v>46023</v>
      </c>
      <c r="B128" s="80">
        <f t="shared" si="8"/>
        <v>0</v>
      </c>
      <c r="C128" s="80">
        <f>'GSTR 1'!E428</f>
        <v>0</v>
      </c>
      <c r="D128" s="80">
        <f t="shared" si="15"/>
        <v>0</v>
      </c>
      <c r="E128" s="79">
        <f t="shared" si="9"/>
        <v>0</v>
      </c>
      <c r="F128" s="79">
        <f>'GSTR 1'!F428</f>
        <v>0</v>
      </c>
      <c r="G128" s="79">
        <f t="shared" si="16"/>
        <v>0</v>
      </c>
      <c r="H128" s="80">
        <f t="shared" si="10"/>
        <v>0</v>
      </c>
      <c r="I128" s="80">
        <f>'GSTR 1'!G428</f>
        <v>0</v>
      </c>
      <c r="J128" s="80">
        <f t="shared" si="17"/>
        <v>0</v>
      </c>
      <c r="K128" s="79">
        <f t="shared" si="11"/>
        <v>0</v>
      </c>
      <c r="L128" s="79">
        <f>'GSTR 1'!H428</f>
        <v>0</v>
      </c>
      <c r="M128" s="79">
        <f t="shared" si="18"/>
        <v>0</v>
      </c>
      <c r="N128" s="80">
        <f t="shared" si="12"/>
        <v>0</v>
      </c>
      <c r="O128" s="80">
        <f>'GSTR 1'!I428</f>
        <v>0</v>
      </c>
      <c r="P128" s="80">
        <f t="shared" si="19"/>
        <v>0</v>
      </c>
      <c r="Q128" s="79">
        <f t="shared" si="13"/>
        <v>0</v>
      </c>
      <c r="R128" s="79">
        <f>'GSTR 1'!J428</f>
        <v>0</v>
      </c>
      <c r="S128" s="79">
        <f t="shared" si="20"/>
        <v>0</v>
      </c>
      <c r="T128" s="80">
        <f t="shared" si="14"/>
        <v>0</v>
      </c>
      <c r="U128" s="80">
        <f>'GSTR 1'!K428</f>
        <v>0</v>
      </c>
      <c r="V128" s="80">
        <f t="shared" si="21"/>
        <v>0</v>
      </c>
    </row>
    <row r="129" spans="1:22" x14ac:dyDescent="0.3">
      <c r="A129" s="78">
        <f>DATE(INT(LEFT($B$3,4))+1,2,1)</f>
        <v>46054</v>
      </c>
      <c r="B129" s="80">
        <f t="shared" si="8"/>
        <v>0</v>
      </c>
      <c r="C129" s="80">
        <f>'GSTR 1'!E438</f>
        <v>0</v>
      </c>
      <c r="D129" s="80">
        <f t="shared" si="15"/>
        <v>0</v>
      </c>
      <c r="E129" s="79">
        <f t="shared" si="9"/>
        <v>0</v>
      </c>
      <c r="F129" s="79">
        <f>'GSTR 1'!F438</f>
        <v>0</v>
      </c>
      <c r="G129" s="79">
        <f t="shared" si="16"/>
        <v>0</v>
      </c>
      <c r="H129" s="80">
        <f t="shared" si="10"/>
        <v>0</v>
      </c>
      <c r="I129" s="80">
        <f>'GSTR 1'!G438</f>
        <v>0</v>
      </c>
      <c r="J129" s="80">
        <f t="shared" si="17"/>
        <v>0</v>
      </c>
      <c r="K129" s="79">
        <f t="shared" si="11"/>
        <v>0</v>
      </c>
      <c r="L129" s="79">
        <f>'GSTR 1'!H438</f>
        <v>0</v>
      </c>
      <c r="M129" s="79">
        <f t="shared" si="18"/>
        <v>0</v>
      </c>
      <c r="N129" s="80">
        <f t="shared" si="12"/>
        <v>0</v>
      </c>
      <c r="O129" s="80">
        <f>'GSTR 1'!I438</f>
        <v>0</v>
      </c>
      <c r="P129" s="80">
        <f t="shared" si="19"/>
        <v>0</v>
      </c>
      <c r="Q129" s="79">
        <f t="shared" si="13"/>
        <v>0</v>
      </c>
      <c r="R129" s="79">
        <f>'GSTR 1'!J438</f>
        <v>0</v>
      </c>
      <c r="S129" s="79">
        <f t="shared" si="20"/>
        <v>0</v>
      </c>
      <c r="T129" s="80">
        <f t="shared" si="14"/>
        <v>0</v>
      </c>
      <c r="U129" s="80">
        <f>'GSTR 1'!K438</f>
        <v>0</v>
      </c>
      <c r="V129" s="80">
        <f t="shared" si="21"/>
        <v>0</v>
      </c>
    </row>
    <row r="130" spans="1:22" x14ac:dyDescent="0.3">
      <c r="A130" s="78">
        <f>DATE(INT(LEFT($B$3,4))+1,3,1)</f>
        <v>46082</v>
      </c>
      <c r="B130" s="80">
        <f t="shared" si="8"/>
        <v>0</v>
      </c>
      <c r="C130" s="80">
        <f>'GSTR 1'!E448</f>
        <v>0</v>
      </c>
      <c r="D130" s="80">
        <f t="shared" si="15"/>
        <v>0</v>
      </c>
      <c r="E130" s="79">
        <f t="shared" si="9"/>
        <v>0</v>
      </c>
      <c r="F130" s="79">
        <f>'GSTR 1'!F448</f>
        <v>0</v>
      </c>
      <c r="G130" s="79">
        <f t="shared" si="16"/>
        <v>0</v>
      </c>
      <c r="H130" s="80">
        <f t="shared" si="10"/>
        <v>0</v>
      </c>
      <c r="I130" s="80">
        <f>'GSTR 1'!G448</f>
        <v>0</v>
      </c>
      <c r="J130" s="80">
        <f t="shared" si="17"/>
        <v>0</v>
      </c>
      <c r="K130" s="79">
        <f t="shared" si="11"/>
        <v>0</v>
      </c>
      <c r="L130" s="79">
        <f>'GSTR 1'!H448</f>
        <v>0</v>
      </c>
      <c r="M130" s="79">
        <f t="shared" si="18"/>
        <v>0</v>
      </c>
      <c r="N130" s="80">
        <f t="shared" si="12"/>
        <v>0</v>
      </c>
      <c r="O130" s="80">
        <f>'GSTR 1'!I448</f>
        <v>0</v>
      </c>
      <c r="P130" s="80">
        <f t="shared" si="19"/>
        <v>0</v>
      </c>
      <c r="Q130" s="79">
        <f t="shared" si="13"/>
        <v>0</v>
      </c>
      <c r="R130" s="79">
        <f>'GSTR 1'!J448</f>
        <v>0</v>
      </c>
      <c r="S130" s="79">
        <f t="shared" si="20"/>
        <v>0</v>
      </c>
      <c r="T130" s="80">
        <f t="shared" si="14"/>
        <v>0</v>
      </c>
      <c r="U130" s="80">
        <f>'GSTR 1'!K448</f>
        <v>0</v>
      </c>
      <c r="V130" s="80">
        <f t="shared" si="21"/>
        <v>0</v>
      </c>
    </row>
    <row r="131" spans="1:22" ht="15" thickBot="1" x14ac:dyDescent="0.35">
      <c r="A131" s="81"/>
      <c r="B131" s="83"/>
      <c r="C131" s="83"/>
      <c r="D131" s="83"/>
      <c r="E131" s="82"/>
      <c r="F131" s="82"/>
      <c r="G131" s="82"/>
      <c r="H131" s="83"/>
      <c r="I131" s="83"/>
      <c r="J131" s="83"/>
      <c r="K131" s="82"/>
      <c r="L131" s="82"/>
      <c r="M131" s="82"/>
      <c r="N131" s="83"/>
      <c r="O131" s="83"/>
      <c r="P131" s="83"/>
      <c r="Q131" s="82"/>
      <c r="R131" s="82"/>
      <c r="S131" s="82"/>
      <c r="T131" s="83"/>
      <c r="U131" s="83"/>
      <c r="V131" s="83"/>
    </row>
    <row r="132" spans="1:22" ht="16.2" thickTop="1" x14ac:dyDescent="0.3">
      <c r="A132" s="42" t="s">
        <v>149</v>
      </c>
      <c r="B132" s="27">
        <f>SUM(B119:B130)</f>
        <v>0</v>
      </c>
      <c r="C132" s="27">
        <f t="shared" ref="C132:V132" si="22">SUM(C119:C130)</f>
        <v>0</v>
      </c>
      <c r="D132" s="27">
        <f t="shared" si="22"/>
        <v>0</v>
      </c>
      <c r="E132" s="27">
        <f t="shared" si="22"/>
        <v>0</v>
      </c>
      <c r="F132" s="27">
        <f t="shared" si="22"/>
        <v>0</v>
      </c>
      <c r="G132" s="27">
        <f t="shared" si="22"/>
        <v>0</v>
      </c>
      <c r="H132" s="27">
        <f t="shared" si="22"/>
        <v>0</v>
      </c>
      <c r="I132" s="27">
        <f t="shared" si="22"/>
        <v>0</v>
      </c>
      <c r="J132" s="27">
        <f t="shared" si="22"/>
        <v>0</v>
      </c>
      <c r="K132" s="27">
        <f t="shared" si="22"/>
        <v>0</v>
      </c>
      <c r="L132" s="27">
        <f t="shared" si="22"/>
        <v>0</v>
      </c>
      <c r="M132" s="27">
        <f t="shared" si="22"/>
        <v>0</v>
      </c>
      <c r="N132" s="27">
        <f t="shared" si="22"/>
        <v>0</v>
      </c>
      <c r="O132" s="27">
        <f t="shared" si="22"/>
        <v>0</v>
      </c>
      <c r="P132" s="27">
        <f t="shared" si="22"/>
        <v>0</v>
      </c>
      <c r="Q132" s="27">
        <f t="shared" si="22"/>
        <v>0</v>
      </c>
      <c r="R132" s="27">
        <f t="shared" si="22"/>
        <v>0</v>
      </c>
      <c r="S132" s="27">
        <f t="shared" si="22"/>
        <v>0</v>
      </c>
      <c r="T132" s="27">
        <f t="shared" si="22"/>
        <v>0</v>
      </c>
      <c r="U132" s="27">
        <f t="shared" si="22"/>
        <v>0</v>
      </c>
      <c r="V132" s="27">
        <f t="shared" si="22"/>
        <v>0</v>
      </c>
    </row>
  </sheetData>
  <mergeCells count="41">
    <mergeCell ref="B3:C3"/>
    <mergeCell ref="B4:C4"/>
    <mergeCell ref="B95:H95"/>
    <mergeCell ref="I95:O95"/>
    <mergeCell ref="P95:V95"/>
    <mergeCell ref="A96:A97"/>
    <mergeCell ref="EL95:ER95"/>
    <mergeCell ref="BT95:BZ95"/>
    <mergeCell ref="CA95:CG95"/>
    <mergeCell ref="CH95:CN95"/>
    <mergeCell ref="CO95:CU95"/>
    <mergeCell ref="CV95:DB95"/>
    <mergeCell ref="DC95:DI95"/>
    <mergeCell ref="AD95:AJ95"/>
    <mergeCell ref="AK95:AQ95"/>
    <mergeCell ref="AR95:AX95"/>
    <mergeCell ref="AY95:BE95"/>
    <mergeCell ref="BF95:BL95"/>
    <mergeCell ref="BM95:BS95"/>
    <mergeCell ref="W95:AC95"/>
    <mergeCell ref="GB95:GH95"/>
    <mergeCell ref="DJ95:DP95"/>
    <mergeCell ref="DQ95:DW95"/>
    <mergeCell ref="DX95:ED95"/>
    <mergeCell ref="EE95:EK95"/>
    <mergeCell ref="T117:V117"/>
    <mergeCell ref="GI95:GO95"/>
    <mergeCell ref="GP95:GV95"/>
    <mergeCell ref="GW95:HC95"/>
    <mergeCell ref="A117:A118"/>
    <mergeCell ref="B117:D117"/>
    <mergeCell ref="E117:G117"/>
    <mergeCell ref="H117:J117"/>
    <mergeCell ref="K117:M117"/>
    <mergeCell ref="N117:P117"/>
    <mergeCell ref="Q117:S117"/>
    <mergeCell ref="ES95:EY95"/>
    <mergeCell ref="EZ95:FF95"/>
    <mergeCell ref="FG95:FM95"/>
    <mergeCell ref="FN95:FT95"/>
    <mergeCell ref="FU95:GA9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U186"/>
  <sheetViews>
    <sheetView showGridLines="0" zoomScale="95" zoomScaleNormal="95" workbookViewId="0">
      <selection activeCell="A56" sqref="A56"/>
    </sheetView>
  </sheetViews>
  <sheetFormatPr defaultRowHeight="14.4" x14ac:dyDescent="0.3"/>
  <cols>
    <col min="1" max="1" width="25" customWidth="1"/>
    <col min="2" max="2" width="17.6640625" bestFit="1" customWidth="1"/>
    <col min="3" max="5" width="17.6640625" customWidth="1"/>
    <col min="6" max="6" width="17" bestFit="1" customWidth="1"/>
    <col min="7" max="8" width="17.5546875" customWidth="1"/>
    <col min="9" max="20" width="16.33203125" customWidth="1"/>
  </cols>
  <sheetData>
    <row r="1" spans="1:13" ht="3" customHeight="1" x14ac:dyDescent="0.3"/>
    <row r="2" spans="1:13" ht="17.399999999999999" x14ac:dyDescent="0.35">
      <c r="A2" s="311" t="s">
        <v>0</v>
      </c>
      <c r="B2" s="353">
        <f>'PREL INFO'!C2</f>
        <v>0</v>
      </c>
      <c r="C2" s="353"/>
      <c r="D2" s="353"/>
      <c r="E2" s="47"/>
    </row>
    <row r="3" spans="1:13" ht="17.399999999999999" x14ac:dyDescent="0.35">
      <c r="A3" s="312" t="s">
        <v>9</v>
      </c>
      <c r="B3" s="519" t="str">
        <f>'PREL INFO'!C15</f>
        <v>2025-26</v>
      </c>
      <c r="C3" s="519"/>
      <c r="D3" s="457"/>
      <c r="E3" s="48"/>
    </row>
    <row r="4" spans="1:13" ht="17.399999999999999" x14ac:dyDescent="0.35">
      <c r="A4" s="313" t="s">
        <v>78</v>
      </c>
      <c r="B4" s="521" t="s">
        <v>216</v>
      </c>
      <c r="C4" s="521"/>
      <c r="D4" s="458"/>
      <c r="E4" s="49"/>
    </row>
    <row r="7" spans="1:13" ht="18" x14ac:dyDescent="0.35">
      <c r="A7" s="14" t="s">
        <v>170</v>
      </c>
    </row>
    <row r="9" spans="1:13" ht="18" customHeight="1" x14ac:dyDescent="0.3">
      <c r="A9" s="309" t="s">
        <v>81</v>
      </c>
      <c r="B9" s="16"/>
      <c r="C9" s="134"/>
      <c r="D9" s="460"/>
      <c r="E9" s="135"/>
      <c r="G9" s="324" t="s">
        <v>81</v>
      </c>
      <c r="H9" s="472"/>
      <c r="I9" s="65"/>
      <c r="J9" s="65"/>
      <c r="K9" s="65"/>
      <c r="L9" s="65"/>
      <c r="M9" s="47"/>
    </row>
    <row r="10" spans="1:13" ht="28.8" x14ac:dyDescent="0.3">
      <c r="A10" s="327" t="s">
        <v>217</v>
      </c>
      <c r="B10" s="322" t="s">
        <v>218</v>
      </c>
      <c r="C10" s="322" t="s">
        <v>221</v>
      </c>
      <c r="D10" s="461"/>
      <c r="E10" s="359" t="s">
        <v>220</v>
      </c>
      <c r="G10" s="382" t="s">
        <v>228</v>
      </c>
      <c r="H10" s="473"/>
      <c r="I10" s="539" t="s">
        <v>471</v>
      </c>
      <c r="J10" s="540"/>
      <c r="K10" s="540"/>
      <c r="L10" s="540"/>
      <c r="M10" s="541"/>
    </row>
    <row r="11" spans="1:13" x14ac:dyDescent="0.3">
      <c r="A11" s="136" t="s">
        <v>222</v>
      </c>
      <c r="B11" s="146">
        <f>'GSTR 1'!B57+'GSTR 1'!B156</f>
        <v>0</v>
      </c>
      <c r="C11" s="146">
        <f>'BOA OUT (AV)'!F24+'BOA OUT (AV)'!K198</f>
        <v>0</v>
      </c>
      <c r="D11" s="462"/>
      <c r="E11" s="147">
        <f>B11-C11</f>
        <v>0</v>
      </c>
      <c r="G11" s="149">
        <f t="shared" ref="G11:G16" si="0">C11</f>
        <v>0</v>
      </c>
      <c r="H11" s="474"/>
      <c r="I11" s="542"/>
      <c r="J11" s="543"/>
      <c r="K11" s="543"/>
      <c r="L11" s="543"/>
      <c r="M11" s="544"/>
    </row>
    <row r="12" spans="1:13" x14ac:dyDescent="0.3">
      <c r="A12" s="137" t="s">
        <v>223</v>
      </c>
      <c r="B12" s="148">
        <f>'GSTR 1'!B222</f>
        <v>0</v>
      </c>
      <c r="C12" s="148">
        <f>'BOA OUT (AV)'!B154+'BOA OUT (AV)'!D154+'BOA OUT (AV)'!F154+'BOA OUT (AV)'!H154+'BOA OUT (AV)'!B176+'BOA OUT (AV)'!D176+'BOA OUT (AV)'!F176+'BOA OUT (AV)'!H176</f>
        <v>0</v>
      </c>
      <c r="D12" s="462"/>
      <c r="E12" s="147">
        <f>B12-C12</f>
        <v>0</v>
      </c>
      <c r="G12" s="149">
        <f t="shared" si="0"/>
        <v>0</v>
      </c>
      <c r="H12" s="474"/>
      <c r="I12" s="550"/>
      <c r="J12" s="551"/>
      <c r="K12" s="551"/>
      <c r="L12" s="551"/>
      <c r="M12" s="552"/>
    </row>
    <row r="13" spans="1:13" x14ac:dyDescent="0.3">
      <c r="A13" s="137" t="s">
        <v>224</v>
      </c>
      <c r="B13" s="148">
        <f>'GSTR 1'!B255</f>
        <v>0</v>
      </c>
      <c r="C13" s="148">
        <f>'BOA OUT (AV)'!C154+'BOA OUT (AV)'!E154+'BOA OUT (AV)'!G154+'BOA OUT (AV)'!I154+'BOA OUT (AV)'!C176+'BOA OUT (AV)'!E176+'BOA OUT (AV)'!G176+'BOA OUT (AV)'!I176</f>
        <v>0</v>
      </c>
      <c r="D13" s="462"/>
      <c r="E13" s="147">
        <f>B13-C13</f>
        <v>0</v>
      </c>
      <c r="G13" s="149">
        <f t="shared" si="0"/>
        <v>0</v>
      </c>
      <c r="H13" s="474"/>
      <c r="I13" s="550"/>
      <c r="J13" s="551"/>
      <c r="K13" s="551"/>
      <c r="L13" s="551"/>
      <c r="M13" s="552"/>
    </row>
    <row r="14" spans="1:13" x14ac:dyDescent="0.3">
      <c r="A14" s="137" t="s">
        <v>225</v>
      </c>
      <c r="B14" s="148">
        <f>'GSTR 1'!B90</f>
        <v>0</v>
      </c>
      <c r="C14" s="148">
        <f>'BOA OUT (AV)'!F45</f>
        <v>0</v>
      </c>
      <c r="D14" s="462"/>
      <c r="E14" s="147">
        <f>B14-C14</f>
        <v>0</v>
      </c>
      <c r="G14" s="149">
        <f t="shared" si="0"/>
        <v>0</v>
      </c>
      <c r="H14" s="474"/>
      <c r="I14" s="550"/>
      <c r="J14" s="551"/>
      <c r="K14" s="551"/>
      <c r="L14" s="551"/>
      <c r="M14" s="552"/>
    </row>
    <row r="15" spans="1:13" x14ac:dyDescent="0.3">
      <c r="A15" s="137" t="s">
        <v>226</v>
      </c>
      <c r="B15" s="148">
        <f>'GSTR 1'!C288</f>
        <v>0</v>
      </c>
      <c r="C15" s="387"/>
      <c r="D15" s="463"/>
      <c r="E15" s="388"/>
      <c r="G15" s="149">
        <f t="shared" si="0"/>
        <v>0</v>
      </c>
      <c r="H15" s="474"/>
      <c r="I15" s="550"/>
      <c r="J15" s="551"/>
      <c r="K15" s="551"/>
      <c r="L15" s="551"/>
      <c r="M15" s="552"/>
    </row>
    <row r="16" spans="1:13" x14ac:dyDescent="0.3">
      <c r="A16" s="137" t="s">
        <v>227</v>
      </c>
      <c r="B16" s="148">
        <f>'GSTR 1'!C321</f>
        <v>0</v>
      </c>
      <c r="C16" s="387"/>
      <c r="D16" s="463"/>
      <c r="E16" s="388"/>
      <c r="G16" s="149">
        <f t="shared" si="0"/>
        <v>0</v>
      </c>
      <c r="H16" s="474"/>
      <c r="I16" s="550"/>
      <c r="J16" s="551"/>
      <c r="K16" s="551"/>
      <c r="L16" s="551"/>
      <c r="M16" s="552"/>
    </row>
    <row r="17" spans="1:13" ht="15" thickBot="1" x14ac:dyDescent="0.35">
      <c r="A17" s="139"/>
      <c r="B17" s="140"/>
      <c r="C17" s="141"/>
      <c r="D17" s="464"/>
      <c r="E17" s="142"/>
      <c r="G17" s="150"/>
      <c r="H17" s="475"/>
      <c r="I17" s="553"/>
      <c r="J17" s="554"/>
      <c r="K17" s="554"/>
      <c r="L17" s="554"/>
      <c r="M17" s="555"/>
    </row>
    <row r="18" spans="1:13" ht="16.2" thickTop="1" x14ac:dyDescent="0.3">
      <c r="A18" s="386" t="s">
        <v>149</v>
      </c>
      <c r="B18" s="400">
        <f>B11+B12-B13-B14+B15-B16</f>
        <v>0</v>
      </c>
      <c r="C18" s="400">
        <f>C11+C12-C13-C14+C15-C16</f>
        <v>0</v>
      </c>
      <c r="D18" s="465"/>
      <c r="E18" s="401">
        <f t="shared" ref="E18" si="1">SUM(E11:E16)</f>
        <v>0</v>
      </c>
      <c r="F18" s="402"/>
      <c r="G18" s="403">
        <f>SUM(G11:G17)</f>
        <v>0</v>
      </c>
      <c r="H18" s="476"/>
      <c r="I18" s="546"/>
      <c r="J18" s="547"/>
      <c r="K18" s="547"/>
      <c r="L18" s="547"/>
      <c r="M18" s="548"/>
    </row>
    <row r="19" spans="1:13" x14ac:dyDescent="0.3">
      <c r="A19" s="37"/>
      <c r="B19" s="38"/>
      <c r="C19" s="38"/>
      <c r="D19" s="38"/>
      <c r="E19" s="38"/>
    </row>
    <row r="20" spans="1:13" ht="15.6" x14ac:dyDescent="0.3">
      <c r="A20" s="384" t="s">
        <v>452</v>
      </c>
      <c r="B20" s="405">
        <f>'3B OUTWARD'!B56</f>
        <v>0</v>
      </c>
      <c r="C20" s="405">
        <f>'3B OUTWARD'!B56</f>
        <v>0</v>
      </c>
      <c r="D20" s="405"/>
      <c r="E20" s="22"/>
    </row>
    <row r="21" spans="1:13" ht="17.399999999999999" x14ac:dyDescent="0.35">
      <c r="A21" s="266"/>
      <c r="B21" s="383">
        <f>B18-B20</f>
        <v>0</v>
      </c>
      <c r="C21" s="383">
        <f>C18-C20</f>
        <v>0</v>
      </c>
      <c r="D21" s="383"/>
      <c r="E21" s="383"/>
    </row>
    <row r="22" spans="1:13" x14ac:dyDescent="0.3">
      <c r="A22" s="2"/>
      <c r="B22" s="66"/>
      <c r="C22" s="66"/>
      <c r="D22" s="66"/>
      <c r="E22" s="66"/>
      <c r="F22" s="66"/>
      <c r="G22" s="66"/>
      <c r="H22" s="66"/>
    </row>
    <row r="23" spans="1:13" x14ac:dyDescent="0.3">
      <c r="A23" s="2"/>
      <c r="B23" s="66"/>
      <c r="C23" s="66"/>
      <c r="D23" s="66"/>
      <c r="E23" s="66"/>
      <c r="F23" s="66"/>
      <c r="G23" s="66"/>
      <c r="H23" s="66"/>
    </row>
    <row r="24" spans="1:13" x14ac:dyDescent="0.3">
      <c r="A24" s="2"/>
      <c r="B24" s="66"/>
      <c r="C24" s="66"/>
      <c r="D24" s="66"/>
      <c r="E24" s="66"/>
      <c r="F24" s="66"/>
      <c r="G24" s="66"/>
      <c r="H24" s="66"/>
    </row>
    <row r="25" spans="1:13" ht="18" x14ac:dyDescent="0.35">
      <c r="A25" s="14" t="s">
        <v>229</v>
      </c>
      <c r="B25" s="66"/>
      <c r="C25" s="66"/>
      <c r="D25" s="66"/>
      <c r="E25" s="66"/>
      <c r="F25" s="66"/>
      <c r="G25" s="66"/>
      <c r="H25" s="66"/>
    </row>
    <row r="27" spans="1:13" ht="28.8" x14ac:dyDescent="0.3">
      <c r="A27" s="309" t="s">
        <v>217</v>
      </c>
      <c r="B27" s="390" t="s">
        <v>218</v>
      </c>
      <c r="C27" s="390" t="s">
        <v>221</v>
      </c>
      <c r="D27" s="459"/>
      <c r="E27" s="391" t="s">
        <v>220</v>
      </c>
      <c r="G27" s="382" t="s">
        <v>228</v>
      </c>
      <c r="H27" s="473"/>
      <c r="I27" s="539" t="s">
        <v>471</v>
      </c>
      <c r="J27" s="540"/>
      <c r="K27" s="540"/>
      <c r="L27" s="540"/>
      <c r="M27" s="541"/>
    </row>
    <row r="28" spans="1:13" x14ac:dyDescent="0.3">
      <c r="A28" s="137" t="s">
        <v>230</v>
      </c>
      <c r="B28" s="138">
        <f>'GSTR 1'!B123</f>
        <v>0</v>
      </c>
      <c r="C28" s="148">
        <f>'BOA OUT (AV)'!E87</f>
        <v>0</v>
      </c>
      <c r="D28" s="466"/>
      <c r="E28" s="444">
        <f>B28-C28</f>
        <v>0</v>
      </c>
      <c r="G28" s="149">
        <f>C28</f>
        <v>0</v>
      </c>
      <c r="H28" s="474"/>
      <c r="I28" s="542"/>
      <c r="J28" s="543"/>
      <c r="K28" s="543"/>
      <c r="L28" s="543"/>
      <c r="M28" s="544"/>
    </row>
    <row r="29" spans="1:13" x14ac:dyDescent="0.3">
      <c r="A29" s="137" t="s">
        <v>231</v>
      </c>
      <c r="B29" s="138">
        <f>'GSTR 1'!B189</f>
        <v>0</v>
      </c>
      <c r="C29" s="148">
        <f>'BOA OUT (AV)'!G109+'BOA OUT (AV)'!F109</f>
        <v>0</v>
      </c>
      <c r="D29" s="466"/>
      <c r="E29" s="444">
        <f>B29-C29</f>
        <v>0</v>
      </c>
      <c r="G29" s="149">
        <f>C29</f>
        <v>0</v>
      </c>
      <c r="H29" s="474"/>
      <c r="I29" s="550" t="s">
        <v>560</v>
      </c>
      <c r="J29" s="551"/>
      <c r="K29" s="551"/>
      <c r="L29" s="551"/>
      <c r="M29" s="552"/>
    </row>
    <row r="30" spans="1:13" x14ac:dyDescent="0.3">
      <c r="A30" s="137" t="s">
        <v>232</v>
      </c>
      <c r="B30" s="138">
        <f>'GSTR 1'!C189</f>
        <v>0</v>
      </c>
      <c r="C30" s="148">
        <f>'BOA OUT (AV)'!F66+'BOA OUT (AV)'!E66</f>
        <v>0</v>
      </c>
      <c r="D30" s="466"/>
      <c r="E30" s="444">
        <f>B30-C30</f>
        <v>0</v>
      </c>
      <c r="G30" s="149">
        <f>C30</f>
        <v>0</v>
      </c>
      <c r="H30" s="474"/>
      <c r="I30" s="550"/>
      <c r="J30" s="551"/>
      <c r="K30" s="551"/>
      <c r="L30" s="551"/>
      <c r="M30" s="552"/>
    </row>
    <row r="31" spans="1:13" x14ac:dyDescent="0.3">
      <c r="A31" s="392" t="s">
        <v>474</v>
      </c>
      <c r="B31" s="271">
        <f>'GSTR 1'!D177</f>
        <v>0</v>
      </c>
      <c r="C31" s="445">
        <f>'BOA OUT (AV)'!G132+'BOA OUT (AV)'!F132</f>
        <v>0</v>
      </c>
      <c r="D31" s="467"/>
      <c r="E31" s="444">
        <f>B31-C31</f>
        <v>0</v>
      </c>
      <c r="G31" s="149">
        <f>C31</f>
        <v>0</v>
      </c>
      <c r="H31" s="474"/>
      <c r="I31" s="258"/>
      <c r="J31" s="259"/>
      <c r="K31" s="259"/>
      <c r="L31" s="259"/>
      <c r="M31" s="260"/>
    </row>
    <row r="32" spans="1:13" ht="28.8" x14ac:dyDescent="0.3">
      <c r="A32" s="393" t="s">
        <v>541</v>
      </c>
      <c r="B32" s="389"/>
      <c r="C32" s="445">
        <f>'BOA OUT (AV)'!G66</f>
        <v>0</v>
      </c>
      <c r="D32" s="467"/>
      <c r="E32" s="444">
        <f>B32-C32</f>
        <v>0</v>
      </c>
      <c r="G32" s="149">
        <f>C32</f>
        <v>0</v>
      </c>
      <c r="H32" s="474"/>
      <c r="I32" s="550"/>
      <c r="J32" s="551"/>
      <c r="K32" s="551"/>
      <c r="L32" s="551"/>
      <c r="M32" s="552"/>
    </row>
    <row r="33" spans="1:13" ht="15" thickBot="1" x14ac:dyDescent="0.35">
      <c r="A33" s="252"/>
      <c r="B33" s="143"/>
      <c r="C33" s="145"/>
      <c r="D33" s="468"/>
      <c r="E33" s="394"/>
      <c r="G33" s="150"/>
      <c r="H33" s="475"/>
      <c r="I33" s="553"/>
      <c r="J33" s="554"/>
      <c r="K33" s="554"/>
      <c r="L33" s="554"/>
      <c r="M33" s="555"/>
    </row>
    <row r="34" spans="1:13" ht="16.2" thickTop="1" x14ac:dyDescent="0.3">
      <c r="A34" s="395" t="s">
        <v>149</v>
      </c>
      <c r="B34" s="406">
        <f>B28+B29-B30</f>
        <v>0</v>
      </c>
      <c r="C34" s="406">
        <f>SUM(C28:C32)</f>
        <v>0</v>
      </c>
      <c r="D34" s="469"/>
      <c r="E34" s="407">
        <f>SUM(E28:E32)</f>
        <v>0</v>
      </c>
      <c r="F34" s="402"/>
      <c r="G34" s="403">
        <f>SUM(G28:G33)</f>
        <v>0</v>
      </c>
      <c r="H34" s="476"/>
      <c r="I34" s="546"/>
      <c r="J34" s="547"/>
      <c r="K34" s="547"/>
      <c r="L34" s="547"/>
      <c r="M34" s="548"/>
    </row>
    <row r="35" spans="1:13" x14ac:dyDescent="0.3">
      <c r="A35" s="37"/>
      <c r="B35" s="38"/>
      <c r="C35" s="38"/>
      <c r="D35" s="38"/>
      <c r="E35" s="38"/>
    </row>
    <row r="36" spans="1:13" x14ac:dyDescent="0.3">
      <c r="A36" s="384" t="s">
        <v>452</v>
      </c>
      <c r="B36" s="404">
        <f>'3B OUTWARD'!B78+'3B OUTWARD'!C78+'3B OUTWARD'!I78</f>
        <v>0</v>
      </c>
      <c r="C36" s="404">
        <f>'3B OUTWARD'!B90+'3B OUTWARD'!C90</f>
        <v>0</v>
      </c>
      <c r="D36" s="404"/>
      <c r="E36" s="22"/>
    </row>
    <row r="37" spans="1:13" ht="17.399999999999999" x14ac:dyDescent="0.35">
      <c r="A37" s="266"/>
      <c r="B37" s="383">
        <f>B34-B36</f>
        <v>0</v>
      </c>
      <c r="C37" s="383">
        <f>C34-C36</f>
        <v>0</v>
      </c>
      <c r="D37" s="383"/>
      <c r="E37" s="383"/>
    </row>
    <row r="41" spans="1:13" ht="18" x14ac:dyDescent="0.35">
      <c r="A41" s="14" t="s">
        <v>199</v>
      </c>
    </row>
    <row r="43" spans="1:13" ht="28.8" x14ac:dyDescent="0.3">
      <c r="A43" s="324" t="s">
        <v>217</v>
      </c>
      <c r="B43" s="396" t="s">
        <v>221</v>
      </c>
      <c r="C43" s="396" t="s">
        <v>219</v>
      </c>
      <c r="D43" s="470"/>
      <c r="E43" s="397" t="s">
        <v>220</v>
      </c>
      <c r="G43" s="382" t="s">
        <v>228</v>
      </c>
      <c r="H43" s="473"/>
      <c r="I43" s="539" t="s">
        <v>471</v>
      </c>
      <c r="J43" s="540"/>
      <c r="K43" s="540"/>
      <c r="L43" s="540"/>
      <c r="M43" s="541"/>
    </row>
    <row r="44" spans="1:13" x14ac:dyDescent="0.3">
      <c r="A44" s="227" t="s">
        <v>233</v>
      </c>
      <c r="B44" s="52">
        <f>'BOA OUT (AV)'!K242+'BOA OUT (AV)'!J242</f>
        <v>0</v>
      </c>
      <c r="C44" s="398"/>
      <c r="D44" s="398"/>
      <c r="E44" s="398"/>
      <c r="G44" s="149">
        <f>B44</f>
        <v>0</v>
      </c>
      <c r="H44" s="474"/>
      <c r="I44" s="542"/>
      <c r="J44" s="543"/>
      <c r="K44" s="543"/>
      <c r="L44" s="543"/>
      <c r="M44" s="544"/>
    </row>
    <row r="45" spans="1:13" x14ac:dyDescent="0.3">
      <c r="A45" s="227" t="s">
        <v>234</v>
      </c>
      <c r="B45" s="52">
        <f>'BOA OUT (AV)'!B220+'BOA OUT (AV)'!C220</f>
        <v>0</v>
      </c>
      <c r="C45" s="399"/>
      <c r="D45" s="399"/>
      <c r="E45" s="398"/>
      <c r="G45" s="149">
        <f>B45</f>
        <v>0</v>
      </c>
      <c r="H45" s="474"/>
      <c r="I45" s="550"/>
      <c r="J45" s="551"/>
      <c r="K45" s="551"/>
      <c r="L45" s="551"/>
      <c r="M45" s="552"/>
    </row>
    <row r="46" spans="1:13" x14ac:dyDescent="0.3">
      <c r="A46" s="227" t="s">
        <v>235</v>
      </c>
      <c r="B46" s="52">
        <f>'BOA OUT (AV)'!D220+'BOA OUT (AV)'!E220</f>
        <v>0</v>
      </c>
      <c r="C46" s="399"/>
      <c r="D46" s="399"/>
      <c r="E46" s="398"/>
      <c r="G46" s="149">
        <f>B46</f>
        <v>0</v>
      </c>
      <c r="H46" s="474"/>
      <c r="I46" s="550"/>
      <c r="J46" s="551"/>
      <c r="K46" s="551"/>
      <c r="L46" s="551"/>
      <c r="M46" s="552"/>
    </row>
    <row r="47" spans="1:13" ht="15" thickBot="1" x14ac:dyDescent="0.35">
      <c r="A47" s="252"/>
      <c r="B47" s="145"/>
      <c r="C47" s="144"/>
      <c r="D47" s="471"/>
      <c r="E47" s="253"/>
      <c r="G47" s="150"/>
      <c r="H47" s="475"/>
      <c r="I47" s="261"/>
      <c r="J47" s="262"/>
      <c r="K47" s="262"/>
      <c r="L47" s="262"/>
      <c r="M47" s="263"/>
    </row>
    <row r="48" spans="1:13" ht="16.2" thickTop="1" x14ac:dyDescent="0.3">
      <c r="A48" s="385" t="s">
        <v>149</v>
      </c>
      <c r="B48" s="400">
        <f>SUM(B44:B47)</f>
        <v>0</v>
      </c>
      <c r="C48" s="400">
        <f>'3B OUTWARD'!D90</f>
        <v>0</v>
      </c>
      <c r="D48" s="465"/>
      <c r="E48" s="401">
        <f>B48-C48</f>
        <v>0</v>
      </c>
      <c r="F48" s="402"/>
      <c r="G48" s="403">
        <f>SUM(G44:G47)</f>
        <v>0</v>
      </c>
      <c r="H48" s="476"/>
      <c r="I48" s="546"/>
      <c r="J48" s="547"/>
      <c r="K48" s="547"/>
      <c r="L48" s="547"/>
      <c r="M48" s="548"/>
    </row>
    <row r="52" spans="1:20" ht="18" x14ac:dyDescent="0.35">
      <c r="A52" s="14" t="s">
        <v>555</v>
      </c>
    </row>
    <row r="54" spans="1:20" ht="20.25" customHeight="1" x14ac:dyDescent="0.3">
      <c r="A54" s="560" t="s">
        <v>82</v>
      </c>
      <c r="B54" s="558" t="s">
        <v>446</v>
      </c>
      <c r="C54" s="558"/>
      <c r="D54" s="558"/>
      <c r="E54" s="558"/>
      <c r="F54" s="558" t="s">
        <v>101</v>
      </c>
      <c r="G54" s="558"/>
      <c r="H54" s="558"/>
      <c r="I54" s="558"/>
      <c r="J54" s="558" t="s">
        <v>105</v>
      </c>
      <c r="K54" s="558"/>
      <c r="L54" s="558"/>
      <c r="M54" s="558"/>
      <c r="N54" s="558" t="s">
        <v>106</v>
      </c>
      <c r="O54" s="558"/>
      <c r="P54" s="558"/>
      <c r="Q54" s="558"/>
      <c r="R54" s="558" t="s">
        <v>157</v>
      </c>
      <c r="S54" s="558"/>
      <c r="T54" s="559"/>
    </row>
    <row r="55" spans="1:20" ht="20.25" customHeight="1" x14ac:dyDescent="0.3">
      <c r="A55" s="561"/>
      <c r="B55" s="328" t="s">
        <v>166</v>
      </c>
      <c r="C55" s="328" t="s">
        <v>556</v>
      </c>
      <c r="D55" s="328"/>
      <c r="E55" s="328" t="s">
        <v>456</v>
      </c>
      <c r="F55" s="328" t="s">
        <v>166</v>
      </c>
      <c r="G55" s="328" t="s">
        <v>556</v>
      </c>
      <c r="H55" s="328"/>
      <c r="I55" s="328" t="s">
        <v>456</v>
      </c>
      <c r="J55" s="328" t="s">
        <v>166</v>
      </c>
      <c r="K55" s="328" t="s">
        <v>556</v>
      </c>
      <c r="L55" s="328"/>
      <c r="M55" s="328" t="s">
        <v>456</v>
      </c>
      <c r="N55" s="328" t="s">
        <v>166</v>
      </c>
      <c r="O55" s="328" t="s">
        <v>556</v>
      </c>
      <c r="P55" s="328"/>
      <c r="Q55" s="328" t="s">
        <v>456</v>
      </c>
      <c r="R55" s="328" t="s">
        <v>166</v>
      </c>
      <c r="S55" s="328" t="s">
        <v>556</v>
      </c>
      <c r="T55" s="448" t="s">
        <v>456</v>
      </c>
    </row>
    <row r="56" spans="1:20" x14ac:dyDescent="0.3">
      <c r="A56" s="449">
        <v>45748</v>
      </c>
      <c r="B56" s="86">
        <f>C102</f>
        <v>0</v>
      </c>
      <c r="C56" s="86">
        <f>C77</f>
        <v>0</v>
      </c>
      <c r="D56" s="86"/>
      <c r="E56" s="86">
        <f t="shared" ref="E56:E67" si="2">B56-C56</f>
        <v>0</v>
      </c>
      <c r="F56" s="86">
        <f>G102</f>
        <v>0</v>
      </c>
      <c r="G56" s="86">
        <f>G77</f>
        <v>0</v>
      </c>
      <c r="H56" s="86"/>
      <c r="I56" s="86">
        <f>F56-G56</f>
        <v>0</v>
      </c>
      <c r="J56" s="86">
        <f>K102</f>
        <v>0</v>
      </c>
      <c r="K56" s="86">
        <f>K77</f>
        <v>0</v>
      </c>
      <c r="L56" s="86"/>
      <c r="M56" s="86">
        <f>J56-K56</f>
        <v>0</v>
      </c>
      <c r="N56" s="86">
        <f>O102</f>
        <v>0</v>
      </c>
      <c r="O56" s="86">
        <f>O77</f>
        <v>0</v>
      </c>
      <c r="P56" s="86"/>
      <c r="Q56" s="86">
        <f>N56-O56</f>
        <v>0</v>
      </c>
      <c r="R56" s="86">
        <f>S102</f>
        <v>0</v>
      </c>
      <c r="S56" s="86">
        <f>S77</f>
        <v>0</v>
      </c>
      <c r="T56" s="450">
        <f>R56-S56</f>
        <v>0</v>
      </c>
    </row>
    <row r="57" spans="1:20" x14ac:dyDescent="0.3">
      <c r="A57" s="449">
        <v>45778</v>
      </c>
      <c r="B57" s="86">
        <f t="shared" ref="B57:B67" si="3">C103</f>
        <v>0</v>
      </c>
      <c r="C57" s="86">
        <f t="shared" ref="C57:C67" si="4">C78</f>
        <v>0</v>
      </c>
      <c r="D57" s="86"/>
      <c r="E57" s="86">
        <f t="shared" si="2"/>
        <v>0</v>
      </c>
      <c r="F57" s="86">
        <f t="shared" ref="F57:F67" si="5">G103</f>
        <v>0</v>
      </c>
      <c r="G57" s="86">
        <f t="shared" ref="G57:G67" si="6">G78</f>
        <v>0</v>
      </c>
      <c r="H57" s="86"/>
      <c r="I57" s="86">
        <f t="shared" ref="I57:I67" si="7">F57-G57</f>
        <v>0</v>
      </c>
      <c r="J57" s="86">
        <f t="shared" ref="J57:J67" si="8">K103</f>
        <v>0</v>
      </c>
      <c r="K57" s="86">
        <f t="shared" ref="K57:K67" si="9">K78</f>
        <v>0</v>
      </c>
      <c r="L57" s="86"/>
      <c r="M57" s="86">
        <f t="shared" ref="M57:M67" si="10">J57-K57</f>
        <v>0</v>
      </c>
      <c r="N57" s="86">
        <f t="shared" ref="N57:N67" si="11">O103</f>
        <v>0</v>
      </c>
      <c r="O57" s="86">
        <f t="shared" ref="O57:O67" si="12">O78</f>
        <v>0</v>
      </c>
      <c r="P57" s="86"/>
      <c r="Q57" s="86">
        <f t="shared" ref="Q57:Q67" si="13">N57-O57</f>
        <v>0</v>
      </c>
      <c r="R57" s="86">
        <f t="shared" ref="R57:R67" si="14">S103</f>
        <v>0</v>
      </c>
      <c r="S57" s="86">
        <f t="shared" ref="S57:S67" si="15">S78</f>
        <v>0</v>
      </c>
      <c r="T57" s="450">
        <f t="shared" ref="T57:T67" si="16">R57-S57</f>
        <v>0</v>
      </c>
    </row>
    <row r="58" spans="1:20" x14ac:dyDescent="0.3">
      <c r="A58" s="449">
        <v>45809</v>
      </c>
      <c r="B58" s="86">
        <f t="shared" si="3"/>
        <v>0</v>
      </c>
      <c r="C58" s="86">
        <f t="shared" si="4"/>
        <v>0</v>
      </c>
      <c r="D58" s="86"/>
      <c r="E58" s="86">
        <f t="shared" si="2"/>
        <v>0</v>
      </c>
      <c r="F58" s="86">
        <f t="shared" si="5"/>
        <v>0</v>
      </c>
      <c r="G58" s="86">
        <f t="shared" si="6"/>
        <v>0</v>
      </c>
      <c r="H58" s="86"/>
      <c r="I58" s="86">
        <f t="shared" si="7"/>
        <v>0</v>
      </c>
      <c r="J58" s="86">
        <f t="shared" si="8"/>
        <v>0</v>
      </c>
      <c r="K58" s="86">
        <f t="shared" si="9"/>
        <v>0</v>
      </c>
      <c r="L58" s="86"/>
      <c r="M58" s="86">
        <f t="shared" si="10"/>
        <v>0</v>
      </c>
      <c r="N58" s="86">
        <f t="shared" si="11"/>
        <v>0</v>
      </c>
      <c r="O58" s="86">
        <f t="shared" si="12"/>
        <v>0</v>
      </c>
      <c r="P58" s="86"/>
      <c r="Q58" s="86">
        <f t="shared" si="13"/>
        <v>0</v>
      </c>
      <c r="R58" s="86">
        <f t="shared" si="14"/>
        <v>0</v>
      </c>
      <c r="S58" s="86">
        <f t="shared" si="15"/>
        <v>0</v>
      </c>
      <c r="T58" s="450">
        <f t="shared" si="16"/>
        <v>0</v>
      </c>
    </row>
    <row r="59" spans="1:20" x14ac:dyDescent="0.3">
      <c r="A59" s="449">
        <v>45839</v>
      </c>
      <c r="B59" s="86">
        <f t="shared" si="3"/>
        <v>0</v>
      </c>
      <c r="C59" s="86">
        <f t="shared" si="4"/>
        <v>0</v>
      </c>
      <c r="D59" s="86"/>
      <c r="E59" s="86">
        <f t="shared" si="2"/>
        <v>0</v>
      </c>
      <c r="F59" s="86">
        <f t="shared" si="5"/>
        <v>0</v>
      </c>
      <c r="G59" s="86">
        <f t="shared" si="6"/>
        <v>0</v>
      </c>
      <c r="H59" s="86"/>
      <c r="I59" s="86">
        <f t="shared" si="7"/>
        <v>0</v>
      </c>
      <c r="J59" s="86">
        <f t="shared" si="8"/>
        <v>0</v>
      </c>
      <c r="K59" s="86">
        <f t="shared" si="9"/>
        <v>0</v>
      </c>
      <c r="L59" s="86"/>
      <c r="M59" s="86">
        <f t="shared" si="10"/>
        <v>0</v>
      </c>
      <c r="N59" s="86">
        <f t="shared" si="11"/>
        <v>0</v>
      </c>
      <c r="O59" s="86">
        <f t="shared" si="12"/>
        <v>0</v>
      </c>
      <c r="P59" s="86"/>
      <c r="Q59" s="86">
        <f t="shared" si="13"/>
        <v>0</v>
      </c>
      <c r="R59" s="86">
        <f t="shared" si="14"/>
        <v>0</v>
      </c>
      <c r="S59" s="86">
        <f t="shared" si="15"/>
        <v>0</v>
      </c>
      <c r="T59" s="450">
        <f t="shared" si="16"/>
        <v>0</v>
      </c>
    </row>
    <row r="60" spans="1:20" x14ac:dyDescent="0.3">
      <c r="A60" s="449">
        <v>45870</v>
      </c>
      <c r="B60" s="86">
        <f t="shared" si="3"/>
        <v>0</v>
      </c>
      <c r="C60" s="86">
        <f t="shared" si="4"/>
        <v>0</v>
      </c>
      <c r="D60" s="86"/>
      <c r="E60" s="86">
        <f t="shared" si="2"/>
        <v>0</v>
      </c>
      <c r="F60" s="86">
        <f t="shared" si="5"/>
        <v>0</v>
      </c>
      <c r="G60" s="86">
        <f t="shared" si="6"/>
        <v>0</v>
      </c>
      <c r="H60" s="86"/>
      <c r="I60" s="86">
        <f t="shared" si="7"/>
        <v>0</v>
      </c>
      <c r="J60" s="86">
        <f t="shared" si="8"/>
        <v>0</v>
      </c>
      <c r="K60" s="86">
        <f t="shared" si="9"/>
        <v>0</v>
      </c>
      <c r="L60" s="86"/>
      <c r="M60" s="86">
        <f t="shared" si="10"/>
        <v>0</v>
      </c>
      <c r="N60" s="86">
        <f t="shared" si="11"/>
        <v>0</v>
      </c>
      <c r="O60" s="86">
        <f t="shared" si="12"/>
        <v>0</v>
      </c>
      <c r="P60" s="86"/>
      <c r="Q60" s="86">
        <f t="shared" si="13"/>
        <v>0</v>
      </c>
      <c r="R60" s="86">
        <f t="shared" si="14"/>
        <v>0</v>
      </c>
      <c r="S60" s="86">
        <f t="shared" si="15"/>
        <v>0</v>
      </c>
      <c r="T60" s="450">
        <f t="shared" si="16"/>
        <v>0</v>
      </c>
    </row>
    <row r="61" spans="1:20" x14ac:dyDescent="0.3">
      <c r="A61" s="449">
        <v>45901</v>
      </c>
      <c r="B61" s="86">
        <f t="shared" si="3"/>
        <v>0</v>
      </c>
      <c r="C61" s="86">
        <f t="shared" si="4"/>
        <v>0</v>
      </c>
      <c r="D61" s="86"/>
      <c r="E61" s="86">
        <f t="shared" si="2"/>
        <v>0</v>
      </c>
      <c r="F61" s="86">
        <f t="shared" si="5"/>
        <v>0</v>
      </c>
      <c r="G61" s="86">
        <f t="shared" si="6"/>
        <v>0</v>
      </c>
      <c r="H61" s="86"/>
      <c r="I61" s="86">
        <f t="shared" si="7"/>
        <v>0</v>
      </c>
      <c r="J61" s="86">
        <f t="shared" si="8"/>
        <v>0</v>
      </c>
      <c r="K61" s="86">
        <f t="shared" si="9"/>
        <v>0</v>
      </c>
      <c r="L61" s="86"/>
      <c r="M61" s="86">
        <f t="shared" si="10"/>
        <v>0</v>
      </c>
      <c r="N61" s="86">
        <f t="shared" si="11"/>
        <v>0</v>
      </c>
      <c r="O61" s="86">
        <f t="shared" si="12"/>
        <v>0</v>
      </c>
      <c r="P61" s="86"/>
      <c r="Q61" s="86">
        <f t="shared" si="13"/>
        <v>0</v>
      </c>
      <c r="R61" s="86">
        <f t="shared" si="14"/>
        <v>0</v>
      </c>
      <c r="S61" s="86">
        <f t="shared" si="15"/>
        <v>0</v>
      </c>
      <c r="T61" s="450">
        <f t="shared" si="16"/>
        <v>0</v>
      </c>
    </row>
    <row r="62" spans="1:20" x14ac:dyDescent="0.3">
      <c r="A62" s="449">
        <v>45931</v>
      </c>
      <c r="B62" s="86">
        <f t="shared" si="3"/>
        <v>0</v>
      </c>
      <c r="C62" s="86">
        <f t="shared" si="4"/>
        <v>0</v>
      </c>
      <c r="D62" s="86"/>
      <c r="E62" s="86">
        <f t="shared" si="2"/>
        <v>0</v>
      </c>
      <c r="F62" s="86">
        <f t="shared" si="5"/>
        <v>0</v>
      </c>
      <c r="G62" s="86">
        <f t="shared" si="6"/>
        <v>0</v>
      </c>
      <c r="H62" s="86"/>
      <c r="I62" s="86">
        <f t="shared" si="7"/>
        <v>0</v>
      </c>
      <c r="J62" s="86">
        <f t="shared" si="8"/>
        <v>0</v>
      </c>
      <c r="K62" s="86">
        <f t="shared" si="9"/>
        <v>0</v>
      </c>
      <c r="L62" s="86"/>
      <c r="M62" s="86">
        <f t="shared" si="10"/>
        <v>0</v>
      </c>
      <c r="N62" s="86">
        <f t="shared" si="11"/>
        <v>0</v>
      </c>
      <c r="O62" s="86">
        <f t="shared" si="12"/>
        <v>0</v>
      </c>
      <c r="P62" s="86"/>
      <c r="Q62" s="86">
        <f t="shared" si="13"/>
        <v>0</v>
      </c>
      <c r="R62" s="86">
        <f t="shared" si="14"/>
        <v>0</v>
      </c>
      <c r="S62" s="86">
        <f t="shared" si="15"/>
        <v>0</v>
      </c>
      <c r="T62" s="450">
        <f t="shared" si="16"/>
        <v>0</v>
      </c>
    </row>
    <row r="63" spans="1:20" x14ac:dyDescent="0.3">
      <c r="A63" s="449">
        <v>45962</v>
      </c>
      <c r="B63" s="86">
        <f t="shared" si="3"/>
        <v>0</v>
      </c>
      <c r="C63" s="86">
        <f t="shared" si="4"/>
        <v>0</v>
      </c>
      <c r="D63" s="86"/>
      <c r="E63" s="86">
        <f t="shared" si="2"/>
        <v>0</v>
      </c>
      <c r="F63" s="86">
        <f t="shared" si="5"/>
        <v>0</v>
      </c>
      <c r="G63" s="86">
        <f t="shared" si="6"/>
        <v>0</v>
      </c>
      <c r="H63" s="86"/>
      <c r="I63" s="86">
        <f t="shared" si="7"/>
        <v>0</v>
      </c>
      <c r="J63" s="86">
        <f t="shared" si="8"/>
        <v>0</v>
      </c>
      <c r="K63" s="86">
        <f t="shared" si="9"/>
        <v>0</v>
      </c>
      <c r="L63" s="86"/>
      <c r="M63" s="86">
        <f t="shared" si="10"/>
        <v>0</v>
      </c>
      <c r="N63" s="86">
        <f t="shared" si="11"/>
        <v>0</v>
      </c>
      <c r="O63" s="86">
        <f t="shared" si="12"/>
        <v>0</v>
      </c>
      <c r="P63" s="86"/>
      <c r="Q63" s="86">
        <f t="shared" si="13"/>
        <v>0</v>
      </c>
      <c r="R63" s="86">
        <f t="shared" si="14"/>
        <v>0</v>
      </c>
      <c r="S63" s="86">
        <f t="shared" si="15"/>
        <v>0</v>
      </c>
      <c r="T63" s="450">
        <f t="shared" si="16"/>
        <v>0</v>
      </c>
    </row>
    <row r="64" spans="1:20" x14ac:dyDescent="0.3">
      <c r="A64" s="449">
        <v>45992</v>
      </c>
      <c r="B64" s="86">
        <f t="shared" si="3"/>
        <v>0</v>
      </c>
      <c r="C64" s="86">
        <f t="shared" si="4"/>
        <v>0</v>
      </c>
      <c r="D64" s="86"/>
      <c r="E64" s="86">
        <f t="shared" si="2"/>
        <v>0</v>
      </c>
      <c r="F64" s="86">
        <f t="shared" si="5"/>
        <v>0</v>
      </c>
      <c r="G64" s="86">
        <f t="shared" si="6"/>
        <v>0</v>
      </c>
      <c r="H64" s="86"/>
      <c r="I64" s="86">
        <f t="shared" si="7"/>
        <v>0</v>
      </c>
      <c r="J64" s="86">
        <f t="shared" si="8"/>
        <v>0</v>
      </c>
      <c r="K64" s="86">
        <f t="shared" si="9"/>
        <v>0</v>
      </c>
      <c r="L64" s="86"/>
      <c r="M64" s="86">
        <f t="shared" si="10"/>
        <v>0</v>
      </c>
      <c r="N64" s="86">
        <f t="shared" si="11"/>
        <v>0</v>
      </c>
      <c r="O64" s="86">
        <f t="shared" si="12"/>
        <v>0</v>
      </c>
      <c r="P64" s="86"/>
      <c r="Q64" s="86">
        <f t="shared" si="13"/>
        <v>0</v>
      </c>
      <c r="R64" s="86">
        <f t="shared" si="14"/>
        <v>0</v>
      </c>
      <c r="S64" s="86">
        <f t="shared" si="15"/>
        <v>0</v>
      </c>
      <c r="T64" s="450">
        <f t="shared" si="16"/>
        <v>0</v>
      </c>
    </row>
    <row r="65" spans="1:21" x14ac:dyDescent="0.3">
      <c r="A65" s="449">
        <v>46023</v>
      </c>
      <c r="B65" s="86">
        <f t="shared" si="3"/>
        <v>0</v>
      </c>
      <c r="C65" s="86">
        <f t="shared" si="4"/>
        <v>0</v>
      </c>
      <c r="D65" s="86"/>
      <c r="E65" s="86">
        <f t="shared" si="2"/>
        <v>0</v>
      </c>
      <c r="F65" s="86">
        <f t="shared" si="5"/>
        <v>0</v>
      </c>
      <c r="G65" s="86">
        <f t="shared" si="6"/>
        <v>0</v>
      </c>
      <c r="H65" s="86"/>
      <c r="I65" s="86">
        <f t="shared" si="7"/>
        <v>0</v>
      </c>
      <c r="J65" s="86">
        <f t="shared" si="8"/>
        <v>0</v>
      </c>
      <c r="K65" s="86">
        <f t="shared" si="9"/>
        <v>0</v>
      </c>
      <c r="L65" s="86"/>
      <c r="M65" s="86">
        <f t="shared" si="10"/>
        <v>0</v>
      </c>
      <c r="N65" s="86">
        <f t="shared" si="11"/>
        <v>0</v>
      </c>
      <c r="O65" s="86">
        <f t="shared" si="12"/>
        <v>0</v>
      </c>
      <c r="P65" s="86"/>
      <c r="Q65" s="86">
        <f t="shared" si="13"/>
        <v>0</v>
      </c>
      <c r="R65" s="86">
        <f t="shared" si="14"/>
        <v>0</v>
      </c>
      <c r="S65" s="86">
        <f t="shared" si="15"/>
        <v>0</v>
      </c>
      <c r="T65" s="450">
        <f t="shared" si="16"/>
        <v>0</v>
      </c>
    </row>
    <row r="66" spans="1:21" x14ac:dyDescent="0.3">
      <c r="A66" s="449">
        <v>46054</v>
      </c>
      <c r="B66" s="86">
        <f t="shared" si="3"/>
        <v>0</v>
      </c>
      <c r="C66" s="86">
        <f t="shared" si="4"/>
        <v>0</v>
      </c>
      <c r="D66" s="86"/>
      <c r="E66" s="86">
        <f t="shared" si="2"/>
        <v>0</v>
      </c>
      <c r="F66" s="86">
        <f t="shared" si="5"/>
        <v>0</v>
      </c>
      <c r="G66" s="86">
        <f t="shared" si="6"/>
        <v>0</v>
      </c>
      <c r="H66" s="86"/>
      <c r="I66" s="86">
        <f t="shared" si="7"/>
        <v>0</v>
      </c>
      <c r="J66" s="86">
        <f t="shared" si="8"/>
        <v>0</v>
      </c>
      <c r="K66" s="86">
        <f t="shared" si="9"/>
        <v>0</v>
      </c>
      <c r="L66" s="86"/>
      <c r="M66" s="86">
        <f t="shared" si="10"/>
        <v>0</v>
      </c>
      <c r="N66" s="86">
        <f t="shared" si="11"/>
        <v>0</v>
      </c>
      <c r="O66" s="86">
        <f t="shared" si="12"/>
        <v>0</v>
      </c>
      <c r="P66" s="86"/>
      <c r="Q66" s="86">
        <f t="shared" si="13"/>
        <v>0</v>
      </c>
      <c r="R66" s="86">
        <f t="shared" si="14"/>
        <v>0</v>
      </c>
      <c r="S66" s="86">
        <f t="shared" si="15"/>
        <v>0</v>
      </c>
      <c r="T66" s="450">
        <f t="shared" si="16"/>
        <v>0</v>
      </c>
    </row>
    <row r="67" spans="1:21" x14ac:dyDescent="0.3">
      <c r="A67" s="449">
        <v>46082</v>
      </c>
      <c r="B67" s="86">
        <f t="shared" si="3"/>
        <v>0</v>
      </c>
      <c r="C67" s="86">
        <f t="shared" si="4"/>
        <v>0</v>
      </c>
      <c r="D67" s="86"/>
      <c r="E67" s="86">
        <f t="shared" si="2"/>
        <v>0</v>
      </c>
      <c r="F67" s="86">
        <f t="shared" si="5"/>
        <v>0</v>
      </c>
      <c r="G67" s="86">
        <f t="shared" si="6"/>
        <v>0</v>
      </c>
      <c r="H67" s="86"/>
      <c r="I67" s="86">
        <f t="shared" si="7"/>
        <v>0</v>
      </c>
      <c r="J67" s="86">
        <f t="shared" si="8"/>
        <v>0</v>
      </c>
      <c r="K67" s="86">
        <f t="shared" si="9"/>
        <v>0</v>
      </c>
      <c r="L67" s="86"/>
      <c r="M67" s="86">
        <f t="shared" si="10"/>
        <v>0</v>
      </c>
      <c r="N67" s="86">
        <f t="shared" si="11"/>
        <v>0</v>
      </c>
      <c r="O67" s="86">
        <f t="shared" si="12"/>
        <v>0</v>
      </c>
      <c r="P67" s="86"/>
      <c r="Q67" s="86">
        <f t="shared" si="13"/>
        <v>0</v>
      </c>
      <c r="R67" s="86">
        <f t="shared" si="14"/>
        <v>0</v>
      </c>
      <c r="S67" s="86">
        <f t="shared" si="15"/>
        <v>0</v>
      </c>
      <c r="T67" s="450">
        <f t="shared" si="16"/>
        <v>0</v>
      </c>
    </row>
    <row r="68" spans="1:21" x14ac:dyDescent="0.3">
      <c r="A68" s="451"/>
      <c r="T68" s="452"/>
    </row>
    <row r="69" spans="1:21" ht="21" customHeight="1" x14ac:dyDescent="0.3">
      <c r="A69" s="453"/>
      <c r="B69" s="454">
        <f>SUM(B56:B68)</f>
        <v>0</v>
      </c>
      <c r="C69" s="454">
        <f t="shared" ref="C69:T69" si="17">SUM(C56:C68)</f>
        <v>0</v>
      </c>
      <c r="D69" s="454"/>
      <c r="E69" s="454">
        <f t="shared" si="17"/>
        <v>0</v>
      </c>
      <c r="F69" s="454">
        <f t="shared" si="17"/>
        <v>0</v>
      </c>
      <c r="G69" s="454">
        <f t="shared" si="17"/>
        <v>0</v>
      </c>
      <c r="H69" s="454"/>
      <c r="I69" s="454">
        <f t="shared" si="17"/>
        <v>0</v>
      </c>
      <c r="J69" s="454">
        <f t="shared" si="17"/>
        <v>0</v>
      </c>
      <c r="K69" s="454">
        <f t="shared" si="17"/>
        <v>0</v>
      </c>
      <c r="L69" s="454"/>
      <c r="M69" s="454">
        <f t="shared" si="17"/>
        <v>0</v>
      </c>
      <c r="N69" s="454">
        <f t="shared" si="17"/>
        <v>0</v>
      </c>
      <c r="O69" s="454">
        <f t="shared" si="17"/>
        <v>0</v>
      </c>
      <c r="P69" s="454"/>
      <c r="Q69" s="454">
        <f t="shared" si="17"/>
        <v>0</v>
      </c>
      <c r="R69" s="454">
        <f t="shared" si="17"/>
        <v>0</v>
      </c>
      <c r="S69" s="454">
        <f t="shared" si="17"/>
        <v>0</v>
      </c>
      <c r="T69" s="455">
        <f t="shared" si="17"/>
        <v>0</v>
      </c>
    </row>
    <row r="70" spans="1:21" ht="17.399999999999999" x14ac:dyDescent="0.35">
      <c r="A70" s="57"/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</row>
    <row r="71" spans="1:21" ht="17.399999999999999" x14ac:dyDescent="0.35">
      <c r="A71" s="57"/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</row>
    <row r="73" spans="1:21" ht="18" x14ac:dyDescent="0.35">
      <c r="A73" s="14" t="s">
        <v>542</v>
      </c>
    </row>
    <row r="75" spans="1:21" ht="20.100000000000001" customHeight="1" x14ac:dyDescent="0.3">
      <c r="A75" s="549" t="s">
        <v>82</v>
      </c>
      <c r="B75" s="545" t="s">
        <v>446</v>
      </c>
      <c r="C75" s="545"/>
      <c r="D75" s="545"/>
      <c r="E75" s="545"/>
      <c r="F75" s="545" t="s">
        <v>101</v>
      </c>
      <c r="G75" s="545"/>
      <c r="H75" s="545"/>
      <c r="I75" s="545"/>
      <c r="J75" s="545" t="s">
        <v>105</v>
      </c>
      <c r="K75" s="545"/>
      <c r="L75" s="545"/>
      <c r="M75" s="545"/>
      <c r="N75" s="545" t="s">
        <v>106</v>
      </c>
      <c r="O75" s="545"/>
      <c r="P75" s="545"/>
      <c r="Q75" s="545"/>
      <c r="R75" s="539" t="s">
        <v>157</v>
      </c>
      <c r="S75" s="540"/>
      <c r="T75" s="540"/>
      <c r="U75" s="541"/>
    </row>
    <row r="76" spans="1:21" ht="20.100000000000001" customHeight="1" x14ac:dyDescent="0.3">
      <c r="A76" s="527"/>
      <c r="B76" s="328" t="s">
        <v>454</v>
      </c>
      <c r="C76" s="328" t="s">
        <v>455</v>
      </c>
      <c r="D76" s="328" t="s">
        <v>559</v>
      </c>
      <c r="E76" s="328" t="s">
        <v>456</v>
      </c>
      <c r="F76" s="328" t="s">
        <v>454</v>
      </c>
      <c r="G76" s="328" t="s">
        <v>455</v>
      </c>
      <c r="H76" s="328" t="s">
        <v>559</v>
      </c>
      <c r="I76" s="328" t="s">
        <v>456</v>
      </c>
      <c r="J76" s="328" t="s">
        <v>454</v>
      </c>
      <c r="K76" s="328" t="s">
        <v>455</v>
      </c>
      <c r="L76" s="328" t="s">
        <v>559</v>
      </c>
      <c r="M76" s="328" t="s">
        <v>456</v>
      </c>
      <c r="N76" s="328" t="s">
        <v>454</v>
      </c>
      <c r="O76" s="328" t="s">
        <v>455</v>
      </c>
      <c r="P76" s="328" t="s">
        <v>559</v>
      </c>
      <c r="Q76" s="328" t="s">
        <v>456</v>
      </c>
      <c r="R76" s="328" t="s">
        <v>454</v>
      </c>
      <c r="S76" s="328" t="s">
        <v>455</v>
      </c>
      <c r="T76" s="456" t="s">
        <v>559</v>
      </c>
      <c r="U76" s="329" t="s">
        <v>456</v>
      </c>
    </row>
    <row r="77" spans="1:21" x14ac:dyDescent="0.3">
      <c r="A77" s="21">
        <f>DATE(INT(LEFT($B$3,4)),4,1)</f>
        <v>45748</v>
      </c>
      <c r="B77" s="86">
        <f>'BOA OUT (AV)'!F11-'BOA OUT (AV)'!F32+'BOA OUT (AV)'!K185</f>
        <v>0</v>
      </c>
      <c r="C77" s="86">
        <f>'3B OUTWARD'!B31</f>
        <v>0</v>
      </c>
      <c r="D77" s="86"/>
      <c r="E77" s="86">
        <f>B77-C77-D77</f>
        <v>0</v>
      </c>
      <c r="F77" s="86">
        <f>SUMIF('BOA OUT (GST)'!$B$11:$M$11,$F$75,'BOA OUT (GST)'!B12:M12)+SUMIF('BOA OUT (GST)'!$B$55:$M$55,$F$75,'BOA OUT (GST)'!B56:M56)-SUMIF('BOA OUT (GST)'!$B$33:$M$33,RECO!$F$75,'BOA OUT (GST)'!B34:M34)</f>
        <v>0</v>
      </c>
      <c r="G77" s="86">
        <f>'3B OUTWARD'!C31</f>
        <v>0</v>
      </c>
      <c r="H77" s="86"/>
      <c r="I77" s="86">
        <f>F77-G77-H77</f>
        <v>0</v>
      </c>
      <c r="J77" s="86">
        <f>SUMIF('BOA OUT (GST)'!$B$11:$M$11,$J$75,'BOA OUT (GST)'!B12:M12)+SUMIF('BOA OUT (GST)'!$B$55:$M$55,$J$75,'BOA OUT (GST)'!B56:M56)-SUMIF('BOA OUT (GST)'!$B$33:$M$33,RECO!$J$75,'BOA OUT (GST)'!B34:M34)</f>
        <v>0</v>
      </c>
      <c r="K77" s="86">
        <f>'3B OUTWARD'!D31</f>
        <v>0</v>
      </c>
      <c r="L77" s="86"/>
      <c r="M77" s="86">
        <f>J77-K77-L77</f>
        <v>0</v>
      </c>
      <c r="N77" s="86">
        <f>SUMIF('BOA OUT (GST)'!$B$11:$M$11,$N$75,'BOA OUT (GST)'!B12:M12)+SUMIF('BOA OUT (GST)'!$B$55:$M$55,$N$75,'BOA OUT (GST)'!B56:M56)-SUMIF('BOA OUT (GST)'!$B$33:$M$33,RECO!$N$75,'BOA OUT (GST)'!B34:M34)</f>
        <v>0</v>
      </c>
      <c r="O77" s="86">
        <f>'3B OUTWARD'!E31</f>
        <v>0</v>
      </c>
      <c r="P77" s="86"/>
      <c r="Q77" s="86">
        <f>N77-O77-P77</f>
        <v>0</v>
      </c>
      <c r="R77" s="86">
        <f>'BOA OUT (GST)'!N12+'BOA OUT (GST)'!N56-'BOA OUT (GST)'!N34</f>
        <v>0</v>
      </c>
      <c r="S77" s="86">
        <f>'3B OUTWARD'!F31</f>
        <v>0</v>
      </c>
      <c r="T77" s="86"/>
      <c r="U77" s="86">
        <f>R77-S77-T77</f>
        <v>0</v>
      </c>
    </row>
    <row r="78" spans="1:21" x14ac:dyDescent="0.3">
      <c r="A78" s="21">
        <f>DATE(INT(LEFT($B$3,4)),5,1)</f>
        <v>45778</v>
      </c>
      <c r="B78" s="86">
        <f>'BOA OUT (AV)'!F12-'BOA OUT (AV)'!F33+'BOA OUT (AV)'!K186</f>
        <v>0</v>
      </c>
      <c r="C78" s="86">
        <f>'3B OUTWARD'!B32</f>
        <v>0</v>
      </c>
      <c r="D78" s="86"/>
      <c r="E78" s="86">
        <f t="shared" ref="E78:E88" si="18">B78-C78-D78</f>
        <v>0</v>
      </c>
      <c r="F78" s="86">
        <f>SUMIF('BOA OUT (GST)'!$B$11:$M$11,$F$75,'BOA OUT (GST)'!B13:M13)+SUMIF('BOA OUT (GST)'!$B$55:$M$55,$F$75,'BOA OUT (GST)'!B57:M57)-SUMIF('BOA OUT (GST)'!$B$33:$M$33,RECO!$F$75,'BOA OUT (GST)'!B35:M35)</f>
        <v>0</v>
      </c>
      <c r="G78" s="86">
        <f>'3B OUTWARD'!C32</f>
        <v>0</v>
      </c>
      <c r="H78" s="86"/>
      <c r="I78" s="86">
        <f t="shared" ref="I78:I88" si="19">F78-G78-H78</f>
        <v>0</v>
      </c>
      <c r="J78" s="86">
        <f>SUMIF('BOA OUT (GST)'!$B$11:$M$11,$J$75,'BOA OUT (GST)'!B13:M13)+SUMIF('BOA OUT (GST)'!$B$55:$M$55,$J$75,'BOA OUT (GST)'!B57:M57)-SUMIF('BOA OUT (GST)'!$B$33:$M$33,RECO!$J$75,'BOA OUT (GST)'!B35:M35)</f>
        <v>0</v>
      </c>
      <c r="K78" s="86">
        <f>'3B OUTWARD'!D32</f>
        <v>0</v>
      </c>
      <c r="L78" s="86"/>
      <c r="M78" s="86">
        <f t="shared" ref="M78:M88" si="20">J78-K78-L78</f>
        <v>0</v>
      </c>
      <c r="N78" s="86">
        <f>SUMIF('BOA OUT (GST)'!$B$11:$M$11,$N$75,'BOA OUT (GST)'!B13:M13)+SUMIF('BOA OUT (GST)'!$B$55:$M$55,$N$75,'BOA OUT (GST)'!B57:M57)-SUMIF('BOA OUT (GST)'!$B$33:$M$33,RECO!$N$75,'BOA OUT (GST)'!B35:M35)</f>
        <v>0</v>
      </c>
      <c r="O78" s="86">
        <f>'3B OUTWARD'!E32</f>
        <v>0</v>
      </c>
      <c r="P78" s="86"/>
      <c r="Q78" s="86">
        <f t="shared" ref="Q78:Q88" si="21">N78-O78-P78</f>
        <v>0</v>
      </c>
      <c r="R78" s="86">
        <f>'BOA OUT (GST)'!N13+'BOA OUT (GST)'!N57-'BOA OUT (GST)'!N35</f>
        <v>0</v>
      </c>
      <c r="S78" s="86">
        <f>'3B OUTWARD'!F32</f>
        <v>0</v>
      </c>
      <c r="T78" s="86"/>
      <c r="U78" s="86">
        <f t="shared" ref="U78:U88" si="22">R78-S78-T78</f>
        <v>0</v>
      </c>
    </row>
    <row r="79" spans="1:21" x14ac:dyDescent="0.3">
      <c r="A79" s="21">
        <f>DATE(INT(LEFT($B$3,4)),6,1)</f>
        <v>45809</v>
      </c>
      <c r="B79" s="86">
        <f>'BOA OUT (AV)'!F13-'BOA OUT (AV)'!F34+'BOA OUT (AV)'!K187</f>
        <v>0</v>
      </c>
      <c r="C79" s="86">
        <f>'3B OUTWARD'!B33</f>
        <v>0</v>
      </c>
      <c r="D79" s="86"/>
      <c r="E79" s="86">
        <f t="shared" si="18"/>
        <v>0</v>
      </c>
      <c r="F79" s="86">
        <f>SUMIF('BOA OUT (GST)'!$B$11:$M$11,$F$75,'BOA OUT (GST)'!B14:M14)+SUMIF('BOA OUT (GST)'!$B$55:$M$55,$F$75,'BOA OUT (GST)'!B58:M58)-SUMIF('BOA OUT (GST)'!$B$33:$M$33,RECO!$F$75,'BOA OUT (GST)'!B36:M36)</f>
        <v>0</v>
      </c>
      <c r="G79" s="86">
        <f>'3B OUTWARD'!C33</f>
        <v>0</v>
      </c>
      <c r="H79" s="86"/>
      <c r="I79" s="86">
        <f t="shared" si="19"/>
        <v>0</v>
      </c>
      <c r="J79" s="86">
        <f>SUMIF('BOA OUT (GST)'!$B$11:$M$11,$J$75,'BOA OUT (GST)'!B14:M14)+SUMIF('BOA OUT (GST)'!$B$55:$M$55,$J$75,'BOA OUT (GST)'!B58:M58)-SUMIF('BOA OUT (GST)'!$B$33:$M$33,RECO!$J$75,'BOA OUT (GST)'!B36:M36)</f>
        <v>0</v>
      </c>
      <c r="K79" s="86">
        <f>'3B OUTWARD'!D33</f>
        <v>0</v>
      </c>
      <c r="L79" s="86"/>
      <c r="M79" s="86">
        <f t="shared" si="20"/>
        <v>0</v>
      </c>
      <c r="N79" s="86">
        <f>SUMIF('BOA OUT (GST)'!$B$11:$M$11,$N$75,'BOA OUT (GST)'!B14:M14)+SUMIF('BOA OUT (GST)'!$B$55:$M$55,$N$75,'BOA OUT (GST)'!B58:M58)-SUMIF('BOA OUT (GST)'!$B$33:$M$33,RECO!$N$75,'BOA OUT (GST)'!B36:M36)</f>
        <v>0</v>
      </c>
      <c r="O79" s="86">
        <f>'3B OUTWARD'!E33</f>
        <v>0</v>
      </c>
      <c r="P79" s="86"/>
      <c r="Q79" s="86">
        <f t="shared" si="21"/>
        <v>0</v>
      </c>
      <c r="R79" s="86">
        <f>'BOA OUT (GST)'!N14+'BOA OUT (GST)'!N58-'BOA OUT (GST)'!N36</f>
        <v>0</v>
      </c>
      <c r="S79" s="86">
        <f>'3B OUTWARD'!F33</f>
        <v>0</v>
      </c>
      <c r="T79" s="86"/>
      <c r="U79" s="86">
        <f t="shared" si="22"/>
        <v>0</v>
      </c>
    </row>
    <row r="80" spans="1:21" x14ac:dyDescent="0.3">
      <c r="A80" s="21">
        <f>DATE(INT(LEFT($B$3,4)),7,1)</f>
        <v>45839</v>
      </c>
      <c r="B80" s="86">
        <f>'BOA OUT (AV)'!F14-'BOA OUT (AV)'!F35+'BOA OUT (AV)'!K188</f>
        <v>0</v>
      </c>
      <c r="C80" s="86">
        <f>'3B OUTWARD'!B34</f>
        <v>0</v>
      </c>
      <c r="D80" s="86"/>
      <c r="E80" s="86">
        <f t="shared" si="18"/>
        <v>0</v>
      </c>
      <c r="F80" s="86">
        <f>SUMIF('BOA OUT (GST)'!$B$11:$M$11,$F$75,'BOA OUT (GST)'!B15:M15)+SUMIF('BOA OUT (GST)'!$B$55:$M$55,$F$75,'BOA OUT (GST)'!B59:M59)-SUMIF('BOA OUT (GST)'!$B$33:$M$33,RECO!$F$75,'BOA OUT (GST)'!B37:M37)</f>
        <v>0</v>
      </c>
      <c r="G80" s="86">
        <f>'3B OUTWARD'!C34</f>
        <v>0</v>
      </c>
      <c r="H80" s="86"/>
      <c r="I80" s="86">
        <f t="shared" si="19"/>
        <v>0</v>
      </c>
      <c r="J80" s="86">
        <f>SUMIF('BOA OUT (GST)'!$B$11:$M$11,$J$75,'BOA OUT (GST)'!B15:M15)+SUMIF('BOA OUT (GST)'!$B$55:$M$55,$J$75,'BOA OUT (GST)'!B59:M59)-SUMIF('BOA OUT (GST)'!$B$33:$M$33,RECO!$J$75,'BOA OUT (GST)'!B37:M37)</f>
        <v>0</v>
      </c>
      <c r="K80" s="86">
        <f>'3B OUTWARD'!D34</f>
        <v>0</v>
      </c>
      <c r="L80" s="86"/>
      <c r="M80" s="86">
        <f t="shared" si="20"/>
        <v>0</v>
      </c>
      <c r="N80" s="86">
        <f>SUMIF('BOA OUT (GST)'!$B$11:$M$11,$N$75,'BOA OUT (GST)'!B15:M15)+SUMIF('BOA OUT (GST)'!$B$55:$M$55,$N$75,'BOA OUT (GST)'!B59:M59)-SUMIF('BOA OUT (GST)'!$B$33:$M$33,RECO!$N$75,'BOA OUT (GST)'!B37:M37)</f>
        <v>0</v>
      </c>
      <c r="O80" s="86">
        <f>'3B OUTWARD'!E34</f>
        <v>0</v>
      </c>
      <c r="P80" s="86"/>
      <c r="Q80" s="86">
        <f t="shared" si="21"/>
        <v>0</v>
      </c>
      <c r="R80" s="86">
        <f>'BOA OUT (GST)'!N15+'BOA OUT (GST)'!N59-'BOA OUT (GST)'!N37</f>
        <v>0</v>
      </c>
      <c r="S80" s="86">
        <f>'3B OUTWARD'!F34</f>
        <v>0</v>
      </c>
      <c r="T80" s="86"/>
      <c r="U80" s="86">
        <f t="shared" si="22"/>
        <v>0</v>
      </c>
    </row>
    <row r="81" spans="1:21" x14ac:dyDescent="0.3">
      <c r="A81" s="21">
        <f>DATE(INT(LEFT($B$3,4)),8,1)</f>
        <v>45870</v>
      </c>
      <c r="B81" s="86">
        <f>'BOA OUT (AV)'!F15-'BOA OUT (AV)'!F36+'BOA OUT (AV)'!K189</f>
        <v>0</v>
      </c>
      <c r="C81" s="86">
        <f>'3B OUTWARD'!B35</f>
        <v>0</v>
      </c>
      <c r="D81" s="86"/>
      <c r="E81" s="86">
        <f t="shared" si="18"/>
        <v>0</v>
      </c>
      <c r="F81" s="86">
        <f>SUMIF('BOA OUT (GST)'!$B$11:$M$11,$F$75,'BOA OUT (GST)'!B16:M16)+SUMIF('BOA OUT (GST)'!$B$55:$M$55,$F$75,'BOA OUT (GST)'!B60:M60)-SUMIF('BOA OUT (GST)'!$B$33:$M$33,RECO!$F$75,'BOA OUT (GST)'!B38:M38)</f>
        <v>0</v>
      </c>
      <c r="G81" s="86">
        <f>'3B OUTWARD'!C35</f>
        <v>0</v>
      </c>
      <c r="H81" s="86"/>
      <c r="I81" s="86">
        <f t="shared" si="19"/>
        <v>0</v>
      </c>
      <c r="J81" s="86">
        <f>SUMIF('BOA OUT (GST)'!$B$11:$M$11,$J$75,'BOA OUT (GST)'!B16:M16)+SUMIF('BOA OUT (GST)'!$B$55:$M$55,$J$75,'BOA OUT (GST)'!B60:M60)-SUMIF('BOA OUT (GST)'!$B$33:$M$33,RECO!$J$75,'BOA OUT (GST)'!B38:M38)</f>
        <v>0</v>
      </c>
      <c r="K81" s="86">
        <f>'3B OUTWARD'!D35</f>
        <v>0</v>
      </c>
      <c r="L81" s="86"/>
      <c r="M81" s="86">
        <f t="shared" si="20"/>
        <v>0</v>
      </c>
      <c r="N81" s="86">
        <f>SUMIF('BOA OUT (GST)'!$B$11:$M$11,$N$75,'BOA OUT (GST)'!B16:M16)+SUMIF('BOA OUT (GST)'!$B$55:$M$55,$N$75,'BOA OUT (GST)'!B60:M60)-SUMIF('BOA OUT (GST)'!$B$33:$M$33,RECO!$N$75,'BOA OUT (GST)'!B38:M38)</f>
        <v>0</v>
      </c>
      <c r="O81" s="86">
        <f>'3B OUTWARD'!E35</f>
        <v>0</v>
      </c>
      <c r="P81" s="86"/>
      <c r="Q81" s="86">
        <f t="shared" si="21"/>
        <v>0</v>
      </c>
      <c r="R81" s="86">
        <f>'BOA OUT (GST)'!N16+'BOA OUT (GST)'!N60-'BOA OUT (GST)'!N38</f>
        <v>0</v>
      </c>
      <c r="S81" s="86">
        <f>'3B OUTWARD'!F35</f>
        <v>0</v>
      </c>
      <c r="T81" s="86"/>
      <c r="U81" s="86">
        <f t="shared" si="22"/>
        <v>0</v>
      </c>
    </row>
    <row r="82" spans="1:21" x14ac:dyDescent="0.3">
      <c r="A82" s="21">
        <f>DATE(INT(LEFT($B$3,4)),9,1)</f>
        <v>45901</v>
      </c>
      <c r="B82" s="86">
        <f>'BOA OUT (AV)'!F16-'BOA OUT (AV)'!F37+'BOA OUT (AV)'!K190</f>
        <v>0</v>
      </c>
      <c r="C82" s="86">
        <f>'3B OUTWARD'!B36</f>
        <v>0</v>
      </c>
      <c r="D82" s="86"/>
      <c r="E82" s="86">
        <f t="shared" si="18"/>
        <v>0</v>
      </c>
      <c r="F82" s="86">
        <f>SUMIF('BOA OUT (GST)'!$B$11:$M$11,$F$75,'BOA OUT (GST)'!B17:M17)+SUMIF('BOA OUT (GST)'!$B$55:$M$55,$F$75,'BOA OUT (GST)'!B61:M61)-SUMIF('BOA OUT (GST)'!$B$33:$M$33,RECO!$F$75,'BOA OUT (GST)'!B39:M39)</f>
        <v>0</v>
      </c>
      <c r="G82" s="86">
        <f>'3B OUTWARD'!C36</f>
        <v>0</v>
      </c>
      <c r="H82" s="86"/>
      <c r="I82" s="86">
        <f t="shared" si="19"/>
        <v>0</v>
      </c>
      <c r="J82" s="86">
        <f>SUMIF('BOA OUT (GST)'!$B$11:$M$11,$J$75,'BOA OUT (GST)'!B17:M17)+SUMIF('BOA OUT (GST)'!$B$55:$M$55,$J$75,'BOA OUT (GST)'!B61:M61)-SUMIF('BOA OUT (GST)'!$B$33:$M$33,RECO!$J$75,'BOA OUT (GST)'!B39:M39)</f>
        <v>0</v>
      </c>
      <c r="K82" s="86">
        <f>'3B OUTWARD'!D36</f>
        <v>0</v>
      </c>
      <c r="L82" s="86"/>
      <c r="M82" s="86">
        <f t="shared" si="20"/>
        <v>0</v>
      </c>
      <c r="N82" s="86">
        <f>SUMIF('BOA OUT (GST)'!$B$11:$M$11,$N$75,'BOA OUT (GST)'!B17:M17)+SUMIF('BOA OUT (GST)'!$B$55:$M$55,$N$75,'BOA OUT (GST)'!B61:M61)-SUMIF('BOA OUT (GST)'!$B$33:$M$33,RECO!$N$75,'BOA OUT (GST)'!B39:M39)</f>
        <v>0</v>
      </c>
      <c r="O82" s="86">
        <f>'3B OUTWARD'!E36</f>
        <v>0</v>
      </c>
      <c r="P82" s="86"/>
      <c r="Q82" s="86">
        <f t="shared" si="21"/>
        <v>0</v>
      </c>
      <c r="R82" s="86">
        <f>'BOA OUT (GST)'!N17+'BOA OUT (GST)'!N61-'BOA OUT (GST)'!N39</f>
        <v>0</v>
      </c>
      <c r="S82" s="86">
        <f>'3B OUTWARD'!F36</f>
        <v>0</v>
      </c>
      <c r="T82" s="86"/>
      <c r="U82" s="86">
        <f t="shared" si="22"/>
        <v>0</v>
      </c>
    </row>
    <row r="83" spans="1:21" x14ac:dyDescent="0.3">
      <c r="A83" s="21">
        <f>DATE(INT(LEFT($B$3,4)),10,1)</f>
        <v>45931</v>
      </c>
      <c r="B83" s="86">
        <f>'BOA OUT (AV)'!F17-'BOA OUT (AV)'!F38+'BOA OUT (AV)'!K191</f>
        <v>0</v>
      </c>
      <c r="C83" s="86">
        <f>'3B OUTWARD'!B37</f>
        <v>0</v>
      </c>
      <c r="D83" s="86"/>
      <c r="E83" s="86">
        <f t="shared" si="18"/>
        <v>0</v>
      </c>
      <c r="F83" s="86">
        <f>SUMIF('BOA OUT (GST)'!$B$11:$M$11,$F$75,'BOA OUT (GST)'!B18:M18)+SUMIF('BOA OUT (GST)'!$B$55:$M$55,$F$75,'BOA OUT (GST)'!B62:M62)-SUMIF('BOA OUT (GST)'!$B$33:$M$33,RECO!$F$75,'BOA OUT (GST)'!B40:M40)</f>
        <v>0</v>
      </c>
      <c r="G83" s="86">
        <f>'3B OUTWARD'!C37</f>
        <v>0</v>
      </c>
      <c r="H83" s="86"/>
      <c r="I83" s="86">
        <f t="shared" si="19"/>
        <v>0</v>
      </c>
      <c r="J83" s="86">
        <f>SUMIF('BOA OUT (GST)'!$B$11:$M$11,$J$75,'BOA OUT (GST)'!B18:M18)+SUMIF('BOA OUT (GST)'!$B$55:$M$55,$J$75,'BOA OUT (GST)'!B62:M62)-SUMIF('BOA OUT (GST)'!$B$33:$M$33,RECO!$J$75,'BOA OUT (GST)'!B40:M40)</f>
        <v>0</v>
      </c>
      <c r="K83" s="86">
        <f>'3B OUTWARD'!D37</f>
        <v>0</v>
      </c>
      <c r="L83" s="86"/>
      <c r="M83" s="86">
        <f t="shared" si="20"/>
        <v>0</v>
      </c>
      <c r="N83" s="86">
        <f>SUMIF('BOA OUT (GST)'!$B$11:$M$11,$N$75,'BOA OUT (GST)'!B18:M18)+SUMIF('BOA OUT (GST)'!$B$55:$M$55,$N$75,'BOA OUT (GST)'!B62:M62)-SUMIF('BOA OUT (GST)'!$B$33:$M$33,RECO!$N$75,'BOA OUT (GST)'!B40:M40)</f>
        <v>0</v>
      </c>
      <c r="O83" s="86">
        <f>'3B OUTWARD'!E37</f>
        <v>0</v>
      </c>
      <c r="P83" s="86"/>
      <c r="Q83" s="86">
        <f t="shared" si="21"/>
        <v>0</v>
      </c>
      <c r="R83" s="86">
        <f>'BOA OUT (GST)'!N18+'BOA OUT (GST)'!N62-'BOA OUT (GST)'!N40</f>
        <v>0</v>
      </c>
      <c r="S83" s="86">
        <f>'3B OUTWARD'!F37</f>
        <v>0</v>
      </c>
      <c r="T83" s="86"/>
      <c r="U83" s="86">
        <f t="shared" si="22"/>
        <v>0</v>
      </c>
    </row>
    <row r="84" spans="1:21" x14ac:dyDescent="0.3">
      <c r="A84" s="21">
        <f>DATE(INT(LEFT($B$3,4)),11,1)</f>
        <v>45962</v>
      </c>
      <c r="B84" s="86">
        <f>'BOA OUT (AV)'!F18-'BOA OUT (AV)'!F39+'BOA OUT (AV)'!K192</f>
        <v>0</v>
      </c>
      <c r="C84" s="86">
        <f>'3B OUTWARD'!B38</f>
        <v>0</v>
      </c>
      <c r="D84" s="86"/>
      <c r="E84" s="86">
        <f t="shared" si="18"/>
        <v>0</v>
      </c>
      <c r="F84" s="86">
        <f>SUMIF('BOA OUT (GST)'!$B$11:$M$11,$F$75,'BOA OUT (GST)'!B19:M19)+SUMIF('BOA OUT (GST)'!$B$55:$M$55,$F$75,'BOA OUT (GST)'!B63:M63)-SUMIF('BOA OUT (GST)'!$B$33:$M$33,RECO!$F$75,'BOA OUT (GST)'!B41:M41)</f>
        <v>0</v>
      </c>
      <c r="G84" s="86">
        <f>'3B OUTWARD'!C38</f>
        <v>0</v>
      </c>
      <c r="H84" s="86"/>
      <c r="I84" s="86">
        <f t="shared" si="19"/>
        <v>0</v>
      </c>
      <c r="J84" s="86">
        <f>SUMIF('BOA OUT (GST)'!$B$11:$M$11,$J$75,'BOA OUT (GST)'!B19:M19)+SUMIF('BOA OUT (GST)'!$B$55:$M$55,$J$75,'BOA OUT (GST)'!B63:M63)-SUMIF('BOA OUT (GST)'!$B$33:$M$33,RECO!$J$75,'BOA OUT (GST)'!B41:M41)</f>
        <v>0</v>
      </c>
      <c r="K84" s="86">
        <f>'3B OUTWARD'!D38</f>
        <v>0</v>
      </c>
      <c r="L84" s="86"/>
      <c r="M84" s="86">
        <f t="shared" si="20"/>
        <v>0</v>
      </c>
      <c r="N84" s="86">
        <f>SUMIF('BOA OUT (GST)'!$B$11:$M$11,$N$75,'BOA OUT (GST)'!B19:M19)+SUMIF('BOA OUT (GST)'!$B$55:$M$55,$N$75,'BOA OUT (GST)'!B63:M63)-SUMIF('BOA OUT (GST)'!$B$33:$M$33,RECO!$N$75,'BOA OUT (GST)'!B41:M41)</f>
        <v>0</v>
      </c>
      <c r="O84" s="86">
        <f>'3B OUTWARD'!E38</f>
        <v>0</v>
      </c>
      <c r="P84" s="86"/>
      <c r="Q84" s="86">
        <f t="shared" si="21"/>
        <v>0</v>
      </c>
      <c r="R84" s="86">
        <f>'BOA OUT (GST)'!N19+'BOA OUT (GST)'!N63-'BOA OUT (GST)'!N41</f>
        <v>0</v>
      </c>
      <c r="S84" s="86">
        <f>'3B OUTWARD'!F38</f>
        <v>0</v>
      </c>
      <c r="T84" s="86"/>
      <c r="U84" s="86">
        <f t="shared" si="22"/>
        <v>0</v>
      </c>
    </row>
    <row r="85" spans="1:21" x14ac:dyDescent="0.3">
      <c r="A85" s="21">
        <f>DATE(INT(LEFT($B$3,4)),12,1)</f>
        <v>45992</v>
      </c>
      <c r="B85" s="86">
        <f>'BOA OUT (AV)'!F19-'BOA OUT (AV)'!F40+'BOA OUT (AV)'!K193</f>
        <v>0</v>
      </c>
      <c r="C85" s="86">
        <f>'3B OUTWARD'!B39</f>
        <v>0</v>
      </c>
      <c r="D85" s="86"/>
      <c r="E85" s="86">
        <f t="shared" si="18"/>
        <v>0</v>
      </c>
      <c r="F85" s="86">
        <f>SUMIF('BOA OUT (GST)'!$B$11:$M$11,$F$75,'BOA OUT (GST)'!B20:M20)+SUMIF('BOA OUT (GST)'!$B$55:$M$55,$F$75,'BOA OUT (GST)'!B64:M64)-SUMIF('BOA OUT (GST)'!$B$33:$M$33,RECO!$F$75,'BOA OUT (GST)'!B42:M42)</f>
        <v>0</v>
      </c>
      <c r="G85" s="86">
        <f>'3B OUTWARD'!C39</f>
        <v>0</v>
      </c>
      <c r="H85" s="86"/>
      <c r="I85" s="86">
        <f t="shared" si="19"/>
        <v>0</v>
      </c>
      <c r="J85" s="86">
        <f>SUMIF('BOA OUT (GST)'!$B$11:$M$11,$J$75,'BOA OUT (GST)'!B20:M20)+SUMIF('BOA OUT (GST)'!$B$55:$M$55,$J$75,'BOA OUT (GST)'!B64:M64)-SUMIF('BOA OUT (GST)'!$B$33:$M$33,RECO!$J$75,'BOA OUT (GST)'!B42:M42)</f>
        <v>0</v>
      </c>
      <c r="K85" s="86">
        <f>'3B OUTWARD'!D39</f>
        <v>0</v>
      </c>
      <c r="L85" s="86"/>
      <c r="M85" s="86">
        <f t="shared" si="20"/>
        <v>0</v>
      </c>
      <c r="N85" s="86">
        <f>SUMIF('BOA OUT (GST)'!$B$11:$M$11,$N$75,'BOA OUT (GST)'!B20:M20)+SUMIF('BOA OUT (GST)'!$B$55:$M$55,$N$75,'BOA OUT (GST)'!B64:M64)-SUMIF('BOA OUT (GST)'!$B$33:$M$33,RECO!$N$75,'BOA OUT (GST)'!B42:M42)</f>
        <v>0</v>
      </c>
      <c r="O85" s="86">
        <f>'3B OUTWARD'!E39</f>
        <v>0</v>
      </c>
      <c r="P85" s="86"/>
      <c r="Q85" s="86">
        <f t="shared" si="21"/>
        <v>0</v>
      </c>
      <c r="R85" s="86">
        <f>'BOA OUT (GST)'!N20+'BOA OUT (GST)'!N64-'BOA OUT (GST)'!N42</f>
        <v>0</v>
      </c>
      <c r="S85" s="86">
        <f>'3B OUTWARD'!F39</f>
        <v>0</v>
      </c>
      <c r="T85" s="86"/>
      <c r="U85" s="86">
        <f t="shared" si="22"/>
        <v>0</v>
      </c>
    </row>
    <row r="86" spans="1:21" x14ac:dyDescent="0.3">
      <c r="A86" s="21">
        <f>DATE(INT(LEFT($B$3,4))+1,1,1)</f>
        <v>46023</v>
      </c>
      <c r="B86" s="86">
        <f>'BOA OUT (AV)'!F20-'BOA OUT (AV)'!F41+'BOA OUT (AV)'!K194</f>
        <v>0</v>
      </c>
      <c r="C86" s="86">
        <f>'3B OUTWARD'!B40</f>
        <v>0</v>
      </c>
      <c r="D86" s="86"/>
      <c r="E86" s="86">
        <f t="shared" si="18"/>
        <v>0</v>
      </c>
      <c r="F86" s="86">
        <f>SUMIF('BOA OUT (GST)'!$B$11:$M$11,$F$75,'BOA OUT (GST)'!B21:M21)+SUMIF('BOA OUT (GST)'!$B$55:$M$55,$F$75,'BOA OUT (GST)'!B65:M65)-SUMIF('BOA OUT (GST)'!$B$33:$M$33,RECO!$F$75,'BOA OUT (GST)'!B43:M43)</f>
        <v>0</v>
      </c>
      <c r="G86" s="86">
        <f>'3B OUTWARD'!C40</f>
        <v>0</v>
      </c>
      <c r="H86" s="86"/>
      <c r="I86" s="86">
        <f t="shared" si="19"/>
        <v>0</v>
      </c>
      <c r="J86" s="86">
        <f>SUMIF('BOA OUT (GST)'!$B$11:$M$11,$J$75,'BOA OUT (GST)'!B21:M21)+SUMIF('BOA OUT (GST)'!$B$55:$M$55,$J$75,'BOA OUT (GST)'!B65:M65)-SUMIF('BOA OUT (GST)'!$B$33:$M$33,RECO!$J$75,'BOA OUT (GST)'!B43:M43)</f>
        <v>0</v>
      </c>
      <c r="K86" s="86">
        <f>'3B OUTWARD'!D40</f>
        <v>0</v>
      </c>
      <c r="L86" s="86"/>
      <c r="M86" s="86">
        <f t="shared" si="20"/>
        <v>0</v>
      </c>
      <c r="N86" s="86">
        <f>SUMIF('BOA OUT (GST)'!$B$11:$M$11,$N$75,'BOA OUT (GST)'!B21:M21)+SUMIF('BOA OUT (GST)'!$B$55:$M$55,$N$75,'BOA OUT (GST)'!B65:M65)-SUMIF('BOA OUT (GST)'!$B$33:$M$33,RECO!$N$75,'BOA OUT (GST)'!B43:M43)</f>
        <v>0</v>
      </c>
      <c r="O86" s="86">
        <f>'3B OUTWARD'!E40</f>
        <v>0</v>
      </c>
      <c r="P86" s="86"/>
      <c r="Q86" s="86">
        <f t="shared" si="21"/>
        <v>0</v>
      </c>
      <c r="R86" s="86">
        <f>'BOA OUT (GST)'!N21+'BOA OUT (GST)'!N65-'BOA OUT (GST)'!N43</f>
        <v>0</v>
      </c>
      <c r="S86" s="86">
        <f>'3B OUTWARD'!F40</f>
        <v>0</v>
      </c>
      <c r="T86" s="86"/>
      <c r="U86" s="86">
        <f t="shared" si="22"/>
        <v>0</v>
      </c>
    </row>
    <row r="87" spans="1:21" x14ac:dyDescent="0.3">
      <c r="A87" s="21">
        <f>DATE(INT(LEFT($B$3,4))+1,2,1)</f>
        <v>46054</v>
      </c>
      <c r="B87" s="86">
        <f>'BOA OUT (AV)'!F21-'BOA OUT (AV)'!F42+'BOA OUT (AV)'!K195</f>
        <v>0</v>
      </c>
      <c r="C87" s="86">
        <f>'3B OUTWARD'!B41</f>
        <v>0</v>
      </c>
      <c r="D87" s="86"/>
      <c r="E87" s="86">
        <f t="shared" si="18"/>
        <v>0</v>
      </c>
      <c r="F87" s="86">
        <f>SUMIF('BOA OUT (GST)'!$B$11:$M$11,$F$75,'BOA OUT (GST)'!B22:M22)+SUMIF('BOA OUT (GST)'!$B$55:$M$55,$F$75,'BOA OUT (GST)'!B66:M66)-SUMIF('BOA OUT (GST)'!$B$33:$M$33,RECO!$F$75,'BOA OUT (GST)'!B44:M44)</f>
        <v>0</v>
      </c>
      <c r="G87" s="86">
        <f>'3B OUTWARD'!C41</f>
        <v>0</v>
      </c>
      <c r="H87" s="86"/>
      <c r="I87" s="86">
        <f t="shared" si="19"/>
        <v>0</v>
      </c>
      <c r="J87" s="86">
        <f>SUMIF('BOA OUT (GST)'!$B$11:$M$11,$J$75,'BOA OUT (GST)'!B22:M22)+SUMIF('BOA OUT (GST)'!$B$55:$M$55,$J$75,'BOA OUT (GST)'!B66:M66)-SUMIF('BOA OUT (GST)'!$B$33:$M$33,RECO!$J$75,'BOA OUT (GST)'!B44:M44)</f>
        <v>0</v>
      </c>
      <c r="K87" s="86">
        <f>'3B OUTWARD'!D41</f>
        <v>0</v>
      </c>
      <c r="L87" s="86"/>
      <c r="M87" s="86">
        <f t="shared" si="20"/>
        <v>0</v>
      </c>
      <c r="N87" s="86">
        <f>SUMIF('BOA OUT (GST)'!$B$11:$M$11,$N$75,'BOA OUT (GST)'!B22:M22)+SUMIF('BOA OUT (GST)'!$B$55:$M$55,$N$75,'BOA OUT (GST)'!B66:M66)-SUMIF('BOA OUT (GST)'!$B$33:$M$33,RECO!$N$75,'BOA OUT (GST)'!B44:M44)</f>
        <v>0</v>
      </c>
      <c r="O87" s="86">
        <f>'3B OUTWARD'!E41</f>
        <v>0</v>
      </c>
      <c r="P87" s="86"/>
      <c r="Q87" s="86">
        <f t="shared" si="21"/>
        <v>0</v>
      </c>
      <c r="R87" s="86">
        <f>'BOA OUT (GST)'!N22+'BOA OUT (GST)'!N66-'BOA OUT (GST)'!N44</f>
        <v>0</v>
      </c>
      <c r="S87" s="86">
        <f>'3B OUTWARD'!F41</f>
        <v>0</v>
      </c>
      <c r="T87" s="86"/>
      <c r="U87" s="86">
        <f t="shared" si="22"/>
        <v>0</v>
      </c>
    </row>
    <row r="88" spans="1:21" x14ac:dyDescent="0.3">
      <c r="A88" s="21">
        <f>DATE(INT(LEFT($B$3,4))+1,3,1)</f>
        <v>46082</v>
      </c>
      <c r="B88" s="86">
        <f>'BOA OUT (AV)'!F22-'BOA OUT (AV)'!F43+'BOA OUT (AV)'!K196</f>
        <v>0</v>
      </c>
      <c r="C88" s="86">
        <f>'3B OUTWARD'!B42</f>
        <v>0</v>
      </c>
      <c r="D88" s="86"/>
      <c r="E88" s="86">
        <f t="shared" si="18"/>
        <v>0</v>
      </c>
      <c r="F88" s="86">
        <f>SUMIF('BOA OUT (GST)'!$B$11:$M$11,$F$75,'BOA OUT (GST)'!B23:M23)+SUMIF('BOA OUT (GST)'!$B$55:$M$55,$F$75,'BOA OUT (GST)'!B67:M67)-SUMIF('BOA OUT (GST)'!$B$33:$M$33,RECO!$F$75,'BOA OUT (GST)'!B45:M45)</f>
        <v>0</v>
      </c>
      <c r="G88" s="86">
        <f>'3B OUTWARD'!C42</f>
        <v>0</v>
      </c>
      <c r="H88" s="86"/>
      <c r="I88" s="86">
        <f t="shared" si="19"/>
        <v>0</v>
      </c>
      <c r="J88" s="86">
        <f>SUMIF('BOA OUT (GST)'!$B$11:$M$11,$J$75,'BOA OUT (GST)'!B23:M23)+SUMIF('BOA OUT (GST)'!$B$55:$M$55,$J$75,'BOA OUT (GST)'!B67:M67)-SUMIF('BOA OUT (GST)'!$B$33:$M$33,RECO!$J$75,'BOA OUT (GST)'!B45:M45)</f>
        <v>0</v>
      </c>
      <c r="K88" s="86">
        <f>'3B OUTWARD'!D42</f>
        <v>0</v>
      </c>
      <c r="L88" s="86"/>
      <c r="M88" s="86">
        <f t="shared" si="20"/>
        <v>0</v>
      </c>
      <c r="N88" s="86">
        <f>SUMIF('BOA OUT (GST)'!$B$11:$M$11,$N$75,'BOA OUT (GST)'!B23:M23)+SUMIF('BOA OUT (GST)'!$B$55:$M$55,$N$75,'BOA OUT (GST)'!B67:M67)-SUMIF('BOA OUT (GST)'!$B$33:$M$33,RECO!$N$75,'BOA OUT (GST)'!B45:M45)</f>
        <v>0</v>
      </c>
      <c r="O88" s="86">
        <f>'3B OUTWARD'!E42</f>
        <v>0</v>
      </c>
      <c r="P88" s="86"/>
      <c r="Q88" s="86">
        <f t="shared" si="21"/>
        <v>0</v>
      </c>
      <c r="R88" s="86">
        <f>'BOA OUT (GST)'!N23+'BOA OUT (GST)'!N67-'BOA OUT (GST)'!N45</f>
        <v>0</v>
      </c>
      <c r="S88" s="86">
        <f>'3B OUTWARD'!F42</f>
        <v>0</v>
      </c>
      <c r="T88" s="86"/>
      <c r="U88" s="86">
        <f t="shared" si="22"/>
        <v>0</v>
      </c>
    </row>
    <row r="89" spans="1:21" ht="15" thickBot="1" x14ac:dyDescent="0.35">
      <c r="A89" s="30"/>
      <c r="B89" s="88"/>
      <c r="C89" s="88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</row>
    <row r="90" spans="1:21" ht="16.2" thickTop="1" x14ac:dyDescent="0.3">
      <c r="A90" s="264" t="s">
        <v>91</v>
      </c>
      <c r="B90" s="326">
        <f>SUM(B77:B89)</f>
        <v>0</v>
      </c>
      <c r="C90" s="326">
        <f t="shared" ref="C90:U90" si="23">SUM(C77:C89)</f>
        <v>0</v>
      </c>
      <c r="D90" s="326">
        <f t="shared" si="23"/>
        <v>0</v>
      </c>
      <c r="E90" s="326">
        <f t="shared" si="23"/>
        <v>0</v>
      </c>
      <c r="F90" s="326">
        <f t="shared" si="23"/>
        <v>0</v>
      </c>
      <c r="G90" s="326">
        <f t="shared" si="23"/>
        <v>0</v>
      </c>
      <c r="H90" s="326">
        <f t="shared" ref="H90:I90" si="24">SUM(H77:H89)</f>
        <v>0</v>
      </c>
      <c r="I90" s="326">
        <f t="shared" si="24"/>
        <v>0</v>
      </c>
      <c r="J90" s="326">
        <f t="shared" si="23"/>
        <v>0</v>
      </c>
      <c r="K90" s="326">
        <f t="shared" si="23"/>
        <v>0</v>
      </c>
      <c r="L90" s="326">
        <f t="shared" ref="L90:M90" si="25">SUM(L77:L89)</f>
        <v>0</v>
      </c>
      <c r="M90" s="326">
        <f t="shared" si="25"/>
        <v>0</v>
      </c>
      <c r="N90" s="326">
        <f t="shared" si="23"/>
        <v>0</v>
      </c>
      <c r="O90" s="326">
        <f t="shared" si="23"/>
        <v>0</v>
      </c>
      <c r="P90" s="326">
        <f t="shared" ref="P90:Q90" si="26">SUM(P77:P89)</f>
        <v>0</v>
      </c>
      <c r="Q90" s="326">
        <f t="shared" si="26"/>
        <v>0</v>
      </c>
      <c r="R90" s="326">
        <f t="shared" si="23"/>
        <v>0</v>
      </c>
      <c r="S90" s="326">
        <f t="shared" si="23"/>
        <v>0</v>
      </c>
      <c r="T90" s="326">
        <f t="shared" si="23"/>
        <v>0</v>
      </c>
      <c r="U90" s="326">
        <f t="shared" si="23"/>
        <v>0</v>
      </c>
    </row>
    <row r="91" spans="1:21" x14ac:dyDescent="0.3">
      <c r="A91" s="265"/>
      <c r="T91" s="48"/>
    </row>
    <row r="92" spans="1:21" ht="17.399999999999999" x14ac:dyDescent="0.35">
      <c r="A92" s="266" t="s">
        <v>472</v>
      </c>
      <c r="B92" s="58">
        <v>0</v>
      </c>
      <c r="C92" s="58">
        <f>'GSTR 1'!B45</f>
        <v>0</v>
      </c>
      <c r="D92" s="58"/>
      <c r="E92" s="58"/>
      <c r="F92" s="58">
        <v>0</v>
      </c>
      <c r="G92" s="58">
        <f>'GSTR 1'!C45</f>
        <v>0</v>
      </c>
      <c r="H92" s="58"/>
      <c r="I92" s="58"/>
      <c r="J92" s="58">
        <v>0</v>
      </c>
      <c r="K92" s="58">
        <f>'GSTR 1'!D45</f>
        <v>0</v>
      </c>
      <c r="L92" s="58"/>
      <c r="M92" s="58"/>
      <c r="N92" s="58">
        <v>0</v>
      </c>
      <c r="O92" s="58">
        <f>'GSTR 1'!E45</f>
        <v>0</v>
      </c>
      <c r="P92" s="58"/>
      <c r="Q92" s="58"/>
      <c r="R92" s="58">
        <v>0</v>
      </c>
      <c r="S92" s="58">
        <f>'GSTR 1'!F45</f>
        <v>0</v>
      </c>
      <c r="T92" s="269"/>
    </row>
    <row r="93" spans="1:21" ht="17.399999999999999" x14ac:dyDescent="0.35">
      <c r="A93" s="266" t="s">
        <v>473</v>
      </c>
      <c r="B93" s="58">
        <v>0</v>
      </c>
      <c r="C93" s="58">
        <f>'GSTR 1'!B144</f>
        <v>0</v>
      </c>
      <c r="D93" s="58"/>
      <c r="E93" s="58"/>
      <c r="F93" s="58">
        <v>0</v>
      </c>
      <c r="G93" s="58">
        <f>'GSTR 1'!C144</f>
        <v>0</v>
      </c>
      <c r="H93" s="58"/>
      <c r="I93" s="58"/>
      <c r="J93" s="58">
        <v>0</v>
      </c>
      <c r="K93" s="58">
        <f>'GSTR 1'!D144</f>
        <v>0</v>
      </c>
      <c r="L93" s="58"/>
      <c r="M93" s="58"/>
      <c r="N93" s="58">
        <v>0</v>
      </c>
      <c r="O93" s="58">
        <f>'GSTR 1'!E144</f>
        <v>0</v>
      </c>
      <c r="P93" s="58"/>
      <c r="Q93" s="58"/>
      <c r="R93" s="58">
        <v>0</v>
      </c>
      <c r="S93" s="58">
        <f>'GSTR 1'!F144</f>
        <v>0</v>
      </c>
      <c r="T93" s="269"/>
    </row>
    <row r="94" spans="1:21" ht="17.399999999999999" x14ac:dyDescent="0.35">
      <c r="A94" s="267" t="s">
        <v>175</v>
      </c>
      <c r="B94" s="268">
        <f>'BOA OUT (AV)'!F45</f>
        <v>0</v>
      </c>
      <c r="C94" s="268">
        <f>'GSTR 1'!B78</f>
        <v>0</v>
      </c>
      <c r="D94" s="268"/>
      <c r="E94" s="268"/>
      <c r="F94" s="268">
        <f>'BOA OUT (GST)'!D47+'BOA OUT (GST)'!G47+'BOA OUT (GST)'!J47+'BOA OUT (GST)'!M47</f>
        <v>0</v>
      </c>
      <c r="G94" s="268">
        <f>'GSTR 1'!C78</f>
        <v>0</v>
      </c>
      <c r="H94" s="268"/>
      <c r="I94" s="268"/>
      <c r="J94" s="268">
        <f>'BOA OUT (GST)'!B47+'BOA OUT (GST)'!E47+'BOA OUT (GST)'!H47+'BOA OUT (GST)'!K47</f>
        <v>0</v>
      </c>
      <c r="K94" s="268">
        <f>'GSTR 1'!D78</f>
        <v>0</v>
      </c>
      <c r="L94" s="268"/>
      <c r="M94" s="268"/>
      <c r="N94" s="268">
        <f>'BOA OUT (GST)'!C47+'BOA OUT (GST)'!F47+'BOA OUT (GST)'!I47+'BOA OUT (GST)'!L47</f>
        <v>0</v>
      </c>
      <c r="O94" s="268">
        <f>'GSTR 1'!E78</f>
        <v>0</v>
      </c>
      <c r="P94" s="268"/>
      <c r="Q94" s="268"/>
      <c r="R94" s="268">
        <f>'BOA OUT (GST)'!N47</f>
        <v>0</v>
      </c>
      <c r="S94" s="268">
        <f>'GSTR 1'!F78</f>
        <v>0</v>
      </c>
      <c r="T94" s="270"/>
    </row>
    <row r="98" spans="1:20" ht="18" x14ac:dyDescent="0.35">
      <c r="A98" s="14" t="s">
        <v>543</v>
      </c>
    </row>
    <row r="100" spans="1:20" ht="20.100000000000001" customHeight="1" x14ac:dyDescent="0.3">
      <c r="A100" s="549" t="s">
        <v>82</v>
      </c>
      <c r="B100" s="545" t="s">
        <v>446</v>
      </c>
      <c r="C100" s="545"/>
      <c r="D100" s="545"/>
      <c r="E100" s="545"/>
      <c r="F100" s="545" t="s">
        <v>101</v>
      </c>
      <c r="G100" s="545"/>
      <c r="H100" s="545"/>
      <c r="I100" s="545"/>
      <c r="J100" s="545" t="s">
        <v>105</v>
      </c>
      <c r="K100" s="545"/>
      <c r="L100" s="545"/>
      <c r="M100" s="545"/>
      <c r="N100" s="545" t="s">
        <v>106</v>
      </c>
      <c r="O100" s="545"/>
      <c r="P100" s="545"/>
      <c r="Q100" s="545"/>
      <c r="R100" s="545" t="s">
        <v>157</v>
      </c>
      <c r="S100" s="545"/>
      <c r="T100" s="556"/>
    </row>
    <row r="101" spans="1:20" ht="20.100000000000001" customHeight="1" x14ac:dyDescent="0.3">
      <c r="A101" s="527"/>
      <c r="B101" s="328" t="s">
        <v>454</v>
      </c>
      <c r="C101" s="328" t="s">
        <v>218</v>
      </c>
      <c r="D101" s="328"/>
      <c r="E101" s="328" t="s">
        <v>456</v>
      </c>
      <c r="F101" s="328" t="s">
        <v>454</v>
      </c>
      <c r="G101" s="328" t="s">
        <v>218</v>
      </c>
      <c r="H101" s="328"/>
      <c r="I101" s="328" t="s">
        <v>456</v>
      </c>
      <c r="J101" s="328" t="s">
        <v>454</v>
      </c>
      <c r="K101" s="328" t="s">
        <v>218</v>
      </c>
      <c r="L101" s="328"/>
      <c r="M101" s="328" t="s">
        <v>456</v>
      </c>
      <c r="N101" s="328" t="s">
        <v>454</v>
      </c>
      <c r="O101" s="328" t="s">
        <v>218</v>
      </c>
      <c r="P101" s="328"/>
      <c r="Q101" s="328" t="s">
        <v>456</v>
      </c>
      <c r="R101" s="328" t="s">
        <v>454</v>
      </c>
      <c r="S101" s="328" t="s">
        <v>218</v>
      </c>
      <c r="T101" s="329" t="s">
        <v>456</v>
      </c>
    </row>
    <row r="102" spans="1:20" x14ac:dyDescent="0.3">
      <c r="A102" s="21">
        <f>DATE(INT(LEFT($B$3,4)),4,1)</f>
        <v>45748</v>
      </c>
      <c r="B102" s="86">
        <f>B77</f>
        <v>0</v>
      </c>
      <c r="C102" s="86">
        <f>'GSTR 1'!B32-'GSTR 1'!B65+'GSTR 1'!B98+'GSTR 1'!B131</f>
        <v>0</v>
      </c>
      <c r="D102" s="86"/>
      <c r="E102" s="86">
        <f t="shared" ref="E102:E113" si="27">B102-C102</f>
        <v>0</v>
      </c>
      <c r="F102" s="86">
        <f>F77</f>
        <v>0</v>
      </c>
      <c r="G102" s="86">
        <f>'GSTR 1'!C32-'GSTR 1'!C65+'GSTR 1'!C98+'GSTR 1'!C131</f>
        <v>0</v>
      </c>
      <c r="H102" s="86"/>
      <c r="I102" s="86">
        <f t="shared" ref="I102:I113" si="28">F102-G102</f>
        <v>0</v>
      </c>
      <c r="J102" s="86">
        <f>J77</f>
        <v>0</v>
      </c>
      <c r="K102" s="86">
        <f>'GSTR 1'!D32-'GSTR 1'!D65+'GSTR 1'!D98+'GSTR 1'!D131</f>
        <v>0</v>
      </c>
      <c r="L102" s="86"/>
      <c r="M102" s="86">
        <f t="shared" ref="M102:M113" si="29">J102-K102</f>
        <v>0</v>
      </c>
      <c r="N102" s="86">
        <f>N77</f>
        <v>0</v>
      </c>
      <c r="O102" s="86">
        <f>'GSTR 1'!E32-'GSTR 1'!E65+'GSTR 1'!E98+'GSTR 1'!E131</f>
        <v>0</v>
      </c>
      <c r="P102" s="86"/>
      <c r="Q102" s="86">
        <f t="shared" ref="Q102:Q113" si="30">N102-O102</f>
        <v>0</v>
      </c>
      <c r="R102" s="86">
        <f>R77</f>
        <v>0</v>
      </c>
      <c r="S102" s="86">
        <f>'GSTR 1'!F32-'GSTR 1'!F65+'GSTR 1'!F98+'GSTR 1'!F131</f>
        <v>0</v>
      </c>
      <c r="T102" s="86">
        <f t="shared" ref="T102:T113" si="31">R102-S102</f>
        <v>0</v>
      </c>
    </row>
    <row r="103" spans="1:20" x14ac:dyDescent="0.3">
      <c r="A103" s="21">
        <f>DATE(INT(LEFT($B$3,4)),5,1)</f>
        <v>45778</v>
      </c>
      <c r="B103" s="86">
        <f t="shared" ref="B103:B113" si="32">B78</f>
        <v>0</v>
      </c>
      <c r="C103" s="86">
        <f>'GSTR 1'!B33-'GSTR 1'!B66+'GSTR 1'!B99+'GSTR 1'!B132</f>
        <v>0</v>
      </c>
      <c r="D103" s="86"/>
      <c r="E103" s="86">
        <f t="shared" si="27"/>
        <v>0</v>
      </c>
      <c r="F103" s="86">
        <f t="shared" ref="F103:F113" si="33">F78</f>
        <v>0</v>
      </c>
      <c r="G103" s="86">
        <f>'GSTR 1'!C33-'GSTR 1'!C66+'GSTR 1'!C99+'GSTR 1'!C132</f>
        <v>0</v>
      </c>
      <c r="H103" s="86"/>
      <c r="I103" s="86">
        <f t="shared" si="28"/>
        <v>0</v>
      </c>
      <c r="J103" s="86">
        <f t="shared" ref="J103:J113" si="34">J78</f>
        <v>0</v>
      </c>
      <c r="K103" s="86">
        <f>'GSTR 1'!D33-'GSTR 1'!D66+'GSTR 1'!D99+'GSTR 1'!D132</f>
        <v>0</v>
      </c>
      <c r="L103" s="86"/>
      <c r="M103" s="86">
        <f t="shared" si="29"/>
        <v>0</v>
      </c>
      <c r="N103" s="86">
        <f t="shared" ref="N103:N113" si="35">N78</f>
        <v>0</v>
      </c>
      <c r="O103" s="86">
        <f>'GSTR 1'!E33-'GSTR 1'!E66+'GSTR 1'!E99+'GSTR 1'!E132</f>
        <v>0</v>
      </c>
      <c r="P103" s="86"/>
      <c r="Q103" s="86">
        <f t="shared" si="30"/>
        <v>0</v>
      </c>
      <c r="R103" s="86">
        <f t="shared" ref="R103:R113" si="36">R78</f>
        <v>0</v>
      </c>
      <c r="S103" s="86">
        <f>'GSTR 1'!F33-'GSTR 1'!F66+'GSTR 1'!F99+'GSTR 1'!F132</f>
        <v>0</v>
      </c>
      <c r="T103" s="86">
        <f t="shared" si="31"/>
        <v>0</v>
      </c>
    </row>
    <row r="104" spans="1:20" x14ac:dyDescent="0.3">
      <c r="A104" s="21">
        <f>DATE(INT(LEFT($B$3,4)),6,1)</f>
        <v>45809</v>
      </c>
      <c r="B104" s="86">
        <f t="shared" si="32"/>
        <v>0</v>
      </c>
      <c r="C104" s="86">
        <f>'GSTR 1'!B34-'GSTR 1'!B67+'GSTR 1'!B100+'GSTR 1'!B133</f>
        <v>0</v>
      </c>
      <c r="D104" s="86"/>
      <c r="E104" s="86">
        <f t="shared" si="27"/>
        <v>0</v>
      </c>
      <c r="F104" s="86">
        <f t="shared" si="33"/>
        <v>0</v>
      </c>
      <c r="G104" s="86">
        <f>'GSTR 1'!C34-'GSTR 1'!C67+'GSTR 1'!C100+'GSTR 1'!C133</f>
        <v>0</v>
      </c>
      <c r="H104" s="86"/>
      <c r="I104" s="86">
        <f t="shared" si="28"/>
        <v>0</v>
      </c>
      <c r="J104" s="86">
        <f t="shared" si="34"/>
        <v>0</v>
      </c>
      <c r="K104" s="86">
        <f>'GSTR 1'!D34-'GSTR 1'!D67+'GSTR 1'!D100+'GSTR 1'!D133</f>
        <v>0</v>
      </c>
      <c r="L104" s="86"/>
      <c r="M104" s="86">
        <f t="shared" si="29"/>
        <v>0</v>
      </c>
      <c r="N104" s="86">
        <f t="shared" si="35"/>
        <v>0</v>
      </c>
      <c r="O104" s="86">
        <f>'GSTR 1'!E34-'GSTR 1'!E67+'GSTR 1'!E100+'GSTR 1'!E133</f>
        <v>0</v>
      </c>
      <c r="P104" s="86"/>
      <c r="Q104" s="86">
        <f t="shared" si="30"/>
        <v>0</v>
      </c>
      <c r="R104" s="86">
        <f t="shared" si="36"/>
        <v>0</v>
      </c>
      <c r="S104" s="86">
        <f>'GSTR 1'!F34-'GSTR 1'!F67+'GSTR 1'!F100+'GSTR 1'!F133</f>
        <v>0</v>
      </c>
      <c r="T104" s="86">
        <f t="shared" si="31"/>
        <v>0</v>
      </c>
    </row>
    <row r="105" spans="1:20" x14ac:dyDescent="0.3">
      <c r="A105" s="21">
        <f>DATE(INT(LEFT($B$3,4)),7,1)</f>
        <v>45839</v>
      </c>
      <c r="B105" s="86">
        <f t="shared" si="32"/>
        <v>0</v>
      </c>
      <c r="C105" s="86">
        <f>'GSTR 1'!B35-'GSTR 1'!B68+'GSTR 1'!B101+'GSTR 1'!B134</f>
        <v>0</v>
      </c>
      <c r="D105" s="86"/>
      <c r="E105" s="86">
        <f t="shared" si="27"/>
        <v>0</v>
      </c>
      <c r="F105" s="86">
        <f t="shared" si="33"/>
        <v>0</v>
      </c>
      <c r="G105" s="86">
        <f>'GSTR 1'!C35-'GSTR 1'!C68+'GSTR 1'!C101+'GSTR 1'!C134</f>
        <v>0</v>
      </c>
      <c r="H105" s="86"/>
      <c r="I105" s="86">
        <f t="shared" si="28"/>
        <v>0</v>
      </c>
      <c r="J105" s="86">
        <f t="shared" si="34"/>
        <v>0</v>
      </c>
      <c r="K105" s="86">
        <f>'GSTR 1'!D35-'GSTR 1'!D68+'GSTR 1'!D101+'GSTR 1'!D134</f>
        <v>0</v>
      </c>
      <c r="L105" s="86"/>
      <c r="M105" s="86">
        <f t="shared" si="29"/>
        <v>0</v>
      </c>
      <c r="N105" s="86">
        <f t="shared" si="35"/>
        <v>0</v>
      </c>
      <c r="O105" s="86">
        <f>'GSTR 1'!E35-'GSTR 1'!E68+'GSTR 1'!E101+'GSTR 1'!E134</f>
        <v>0</v>
      </c>
      <c r="P105" s="86"/>
      <c r="Q105" s="86">
        <f t="shared" si="30"/>
        <v>0</v>
      </c>
      <c r="R105" s="86">
        <f t="shared" si="36"/>
        <v>0</v>
      </c>
      <c r="S105" s="86">
        <f>'GSTR 1'!F35-'GSTR 1'!F68+'GSTR 1'!F101+'GSTR 1'!F134</f>
        <v>0</v>
      </c>
      <c r="T105" s="86">
        <f t="shared" si="31"/>
        <v>0</v>
      </c>
    </row>
    <row r="106" spans="1:20" x14ac:dyDescent="0.3">
      <c r="A106" s="21">
        <f>DATE(INT(LEFT($B$3,4)),8,1)</f>
        <v>45870</v>
      </c>
      <c r="B106" s="86">
        <f t="shared" si="32"/>
        <v>0</v>
      </c>
      <c r="C106" s="86">
        <f>'GSTR 1'!B36-'GSTR 1'!B69+'GSTR 1'!B102+'GSTR 1'!B135</f>
        <v>0</v>
      </c>
      <c r="D106" s="86"/>
      <c r="E106" s="86">
        <f t="shared" si="27"/>
        <v>0</v>
      </c>
      <c r="F106" s="86">
        <f t="shared" si="33"/>
        <v>0</v>
      </c>
      <c r="G106" s="86">
        <f>'GSTR 1'!C36-'GSTR 1'!C69+'GSTR 1'!C102+'GSTR 1'!C135</f>
        <v>0</v>
      </c>
      <c r="H106" s="86"/>
      <c r="I106" s="86">
        <f t="shared" si="28"/>
        <v>0</v>
      </c>
      <c r="J106" s="86">
        <f t="shared" si="34"/>
        <v>0</v>
      </c>
      <c r="K106" s="86">
        <f>'GSTR 1'!D36-'GSTR 1'!D69+'GSTR 1'!D102+'GSTR 1'!D135</f>
        <v>0</v>
      </c>
      <c r="L106" s="86"/>
      <c r="M106" s="86">
        <f t="shared" si="29"/>
        <v>0</v>
      </c>
      <c r="N106" s="86">
        <f t="shared" si="35"/>
        <v>0</v>
      </c>
      <c r="O106" s="86">
        <f>'GSTR 1'!E36-'GSTR 1'!E69+'GSTR 1'!E102+'GSTR 1'!E135</f>
        <v>0</v>
      </c>
      <c r="P106" s="86"/>
      <c r="Q106" s="86">
        <f t="shared" si="30"/>
        <v>0</v>
      </c>
      <c r="R106" s="86">
        <f t="shared" si="36"/>
        <v>0</v>
      </c>
      <c r="S106" s="86">
        <f>'GSTR 1'!F36-'GSTR 1'!F69+'GSTR 1'!F102+'GSTR 1'!F135</f>
        <v>0</v>
      </c>
      <c r="T106" s="86">
        <f t="shared" si="31"/>
        <v>0</v>
      </c>
    </row>
    <row r="107" spans="1:20" x14ac:dyDescent="0.3">
      <c r="A107" s="21">
        <f>DATE(INT(LEFT($B$3,4)),9,1)</f>
        <v>45901</v>
      </c>
      <c r="B107" s="86">
        <f t="shared" si="32"/>
        <v>0</v>
      </c>
      <c r="C107" s="86">
        <f>'GSTR 1'!B37-'GSTR 1'!B70+'GSTR 1'!B103+'GSTR 1'!B136</f>
        <v>0</v>
      </c>
      <c r="D107" s="86"/>
      <c r="E107" s="86">
        <f t="shared" si="27"/>
        <v>0</v>
      </c>
      <c r="F107" s="86">
        <f t="shared" si="33"/>
        <v>0</v>
      </c>
      <c r="G107" s="86">
        <f>'GSTR 1'!C37-'GSTR 1'!C70+'GSTR 1'!C103+'GSTR 1'!C136</f>
        <v>0</v>
      </c>
      <c r="H107" s="86"/>
      <c r="I107" s="86">
        <f t="shared" si="28"/>
        <v>0</v>
      </c>
      <c r="J107" s="86">
        <f t="shared" si="34"/>
        <v>0</v>
      </c>
      <c r="K107" s="86">
        <f>'GSTR 1'!D37-'GSTR 1'!D70+'GSTR 1'!D103+'GSTR 1'!D136</f>
        <v>0</v>
      </c>
      <c r="L107" s="86"/>
      <c r="M107" s="86">
        <f t="shared" si="29"/>
        <v>0</v>
      </c>
      <c r="N107" s="86">
        <f t="shared" si="35"/>
        <v>0</v>
      </c>
      <c r="O107" s="86">
        <f>'GSTR 1'!E37-'GSTR 1'!E70+'GSTR 1'!E103+'GSTR 1'!E136</f>
        <v>0</v>
      </c>
      <c r="P107" s="86"/>
      <c r="Q107" s="86">
        <f t="shared" si="30"/>
        <v>0</v>
      </c>
      <c r="R107" s="86">
        <f t="shared" si="36"/>
        <v>0</v>
      </c>
      <c r="S107" s="86">
        <f>'GSTR 1'!F37-'GSTR 1'!F70+'GSTR 1'!F103+'GSTR 1'!F136</f>
        <v>0</v>
      </c>
      <c r="T107" s="86">
        <f t="shared" si="31"/>
        <v>0</v>
      </c>
    </row>
    <row r="108" spans="1:20" x14ac:dyDescent="0.3">
      <c r="A108" s="21">
        <f>DATE(INT(LEFT($B$3,4)),10,1)</f>
        <v>45931</v>
      </c>
      <c r="B108" s="86">
        <f t="shared" si="32"/>
        <v>0</v>
      </c>
      <c r="C108" s="86">
        <f>'GSTR 1'!B38-'GSTR 1'!B71+'GSTR 1'!B104+'GSTR 1'!B137</f>
        <v>0</v>
      </c>
      <c r="D108" s="86"/>
      <c r="E108" s="86">
        <f t="shared" si="27"/>
        <v>0</v>
      </c>
      <c r="F108" s="86">
        <f t="shared" si="33"/>
        <v>0</v>
      </c>
      <c r="G108" s="86">
        <f>'GSTR 1'!C38-'GSTR 1'!C71+'GSTR 1'!C104+'GSTR 1'!C137</f>
        <v>0</v>
      </c>
      <c r="H108" s="86"/>
      <c r="I108" s="86">
        <f t="shared" si="28"/>
        <v>0</v>
      </c>
      <c r="J108" s="86">
        <f t="shared" si="34"/>
        <v>0</v>
      </c>
      <c r="K108" s="86">
        <f>'GSTR 1'!D38-'GSTR 1'!D71+'GSTR 1'!D104+'GSTR 1'!D137</f>
        <v>0</v>
      </c>
      <c r="L108" s="86"/>
      <c r="M108" s="86">
        <f t="shared" si="29"/>
        <v>0</v>
      </c>
      <c r="N108" s="86">
        <f t="shared" si="35"/>
        <v>0</v>
      </c>
      <c r="O108" s="86">
        <f>'GSTR 1'!E38-'GSTR 1'!E71+'GSTR 1'!E104+'GSTR 1'!E137</f>
        <v>0</v>
      </c>
      <c r="P108" s="86"/>
      <c r="Q108" s="86">
        <f t="shared" si="30"/>
        <v>0</v>
      </c>
      <c r="R108" s="86">
        <f t="shared" si="36"/>
        <v>0</v>
      </c>
      <c r="S108" s="86">
        <f>'GSTR 1'!F38-'GSTR 1'!F71+'GSTR 1'!F104+'GSTR 1'!F137</f>
        <v>0</v>
      </c>
      <c r="T108" s="86">
        <f t="shared" si="31"/>
        <v>0</v>
      </c>
    </row>
    <row r="109" spans="1:20" x14ac:dyDescent="0.3">
      <c r="A109" s="21">
        <f>DATE(INT(LEFT($B$3,4)),11,1)</f>
        <v>45962</v>
      </c>
      <c r="B109" s="86">
        <f t="shared" si="32"/>
        <v>0</v>
      </c>
      <c r="C109" s="86">
        <f>'GSTR 1'!B39-'GSTR 1'!B72+'GSTR 1'!B105+'GSTR 1'!B138</f>
        <v>0</v>
      </c>
      <c r="D109" s="86"/>
      <c r="E109" s="86">
        <f t="shared" si="27"/>
        <v>0</v>
      </c>
      <c r="F109" s="86">
        <f t="shared" si="33"/>
        <v>0</v>
      </c>
      <c r="G109" s="86">
        <f>'GSTR 1'!C39-'GSTR 1'!C72+'GSTR 1'!C105+'GSTR 1'!C138</f>
        <v>0</v>
      </c>
      <c r="H109" s="86"/>
      <c r="I109" s="86">
        <f t="shared" si="28"/>
        <v>0</v>
      </c>
      <c r="J109" s="86">
        <f t="shared" si="34"/>
        <v>0</v>
      </c>
      <c r="K109" s="86">
        <f>'GSTR 1'!D39-'GSTR 1'!D72+'GSTR 1'!D105+'GSTR 1'!D138</f>
        <v>0</v>
      </c>
      <c r="L109" s="86"/>
      <c r="M109" s="86">
        <f t="shared" si="29"/>
        <v>0</v>
      </c>
      <c r="N109" s="86">
        <f t="shared" si="35"/>
        <v>0</v>
      </c>
      <c r="O109" s="86">
        <f>'GSTR 1'!E39-'GSTR 1'!E72+'GSTR 1'!E105+'GSTR 1'!E138</f>
        <v>0</v>
      </c>
      <c r="P109" s="86"/>
      <c r="Q109" s="86">
        <f t="shared" si="30"/>
        <v>0</v>
      </c>
      <c r="R109" s="86">
        <f t="shared" si="36"/>
        <v>0</v>
      </c>
      <c r="S109" s="86">
        <f>'GSTR 1'!F39-'GSTR 1'!F72+'GSTR 1'!F105+'GSTR 1'!F138</f>
        <v>0</v>
      </c>
      <c r="T109" s="86">
        <f t="shared" si="31"/>
        <v>0</v>
      </c>
    </row>
    <row r="110" spans="1:20" x14ac:dyDescent="0.3">
      <c r="A110" s="21">
        <f>DATE(INT(LEFT($B$3,4)),12,1)</f>
        <v>45992</v>
      </c>
      <c r="B110" s="86">
        <f t="shared" si="32"/>
        <v>0</v>
      </c>
      <c r="C110" s="86">
        <f>'GSTR 1'!B40-'GSTR 1'!B73+'GSTR 1'!B106+'GSTR 1'!B139</f>
        <v>0</v>
      </c>
      <c r="D110" s="86"/>
      <c r="E110" s="86">
        <f t="shared" si="27"/>
        <v>0</v>
      </c>
      <c r="F110" s="86">
        <f t="shared" si="33"/>
        <v>0</v>
      </c>
      <c r="G110" s="86">
        <f>'GSTR 1'!C40-'GSTR 1'!C73+'GSTR 1'!C106+'GSTR 1'!C139</f>
        <v>0</v>
      </c>
      <c r="H110" s="86"/>
      <c r="I110" s="86">
        <f t="shared" si="28"/>
        <v>0</v>
      </c>
      <c r="J110" s="86">
        <f t="shared" si="34"/>
        <v>0</v>
      </c>
      <c r="K110" s="86">
        <f>'GSTR 1'!D40-'GSTR 1'!D73+'GSTR 1'!D106+'GSTR 1'!D139</f>
        <v>0</v>
      </c>
      <c r="L110" s="86"/>
      <c r="M110" s="86">
        <f t="shared" si="29"/>
        <v>0</v>
      </c>
      <c r="N110" s="86">
        <f t="shared" si="35"/>
        <v>0</v>
      </c>
      <c r="O110" s="86">
        <f>'GSTR 1'!E40-'GSTR 1'!E73+'GSTR 1'!E106+'GSTR 1'!E139</f>
        <v>0</v>
      </c>
      <c r="P110" s="86"/>
      <c r="Q110" s="86">
        <f t="shared" si="30"/>
        <v>0</v>
      </c>
      <c r="R110" s="86">
        <f t="shared" si="36"/>
        <v>0</v>
      </c>
      <c r="S110" s="86">
        <f>'GSTR 1'!F40-'GSTR 1'!F73+'GSTR 1'!F106+'GSTR 1'!F139</f>
        <v>0</v>
      </c>
      <c r="T110" s="86">
        <f t="shared" si="31"/>
        <v>0</v>
      </c>
    </row>
    <row r="111" spans="1:20" x14ac:dyDescent="0.3">
      <c r="A111" s="21">
        <f>DATE(INT(LEFT($B$3,4))+1,1,1)</f>
        <v>46023</v>
      </c>
      <c r="B111" s="86">
        <f t="shared" si="32"/>
        <v>0</v>
      </c>
      <c r="C111" s="86">
        <f>'GSTR 1'!B41-'GSTR 1'!B74+'GSTR 1'!B107+'GSTR 1'!B140</f>
        <v>0</v>
      </c>
      <c r="D111" s="86"/>
      <c r="E111" s="86">
        <f t="shared" si="27"/>
        <v>0</v>
      </c>
      <c r="F111" s="86">
        <f t="shared" si="33"/>
        <v>0</v>
      </c>
      <c r="G111" s="86">
        <f>'GSTR 1'!C41-'GSTR 1'!C74+'GSTR 1'!C107+'GSTR 1'!C140</f>
        <v>0</v>
      </c>
      <c r="H111" s="86"/>
      <c r="I111" s="86">
        <f t="shared" si="28"/>
        <v>0</v>
      </c>
      <c r="J111" s="86">
        <f t="shared" si="34"/>
        <v>0</v>
      </c>
      <c r="K111" s="86">
        <f>'GSTR 1'!D41-'GSTR 1'!D74+'GSTR 1'!D107+'GSTR 1'!D140</f>
        <v>0</v>
      </c>
      <c r="L111" s="86"/>
      <c r="M111" s="86">
        <f t="shared" si="29"/>
        <v>0</v>
      </c>
      <c r="N111" s="86">
        <f t="shared" si="35"/>
        <v>0</v>
      </c>
      <c r="O111" s="86">
        <f>'GSTR 1'!E41-'GSTR 1'!E74+'GSTR 1'!E107+'GSTR 1'!E140</f>
        <v>0</v>
      </c>
      <c r="P111" s="86"/>
      <c r="Q111" s="86">
        <f t="shared" si="30"/>
        <v>0</v>
      </c>
      <c r="R111" s="86">
        <f t="shared" si="36"/>
        <v>0</v>
      </c>
      <c r="S111" s="86">
        <f>'GSTR 1'!F41-'GSTR 1'!F74+'GSTR 1'!F107+'GSTR 1'!F140</f>
        <v>0</v>
      </c>
      <c r="T111" s="86">
        <f t="shared" si="31"/>
        <v>0</v>
      </c>
    </row>
    <row r="112" spans="1:20" x14ac:dyDescent="0.3">
      <c r="A112" s="21">
        <f>DATE(INT(LEFT($B$3,4))+1,2,1)</f>
        <v>46054</v>
      </c>
      <c r="B112" s="86">
        <f t="shared" si="32"/>
        <v>0</v>
      </c>
      <c r="C112" s="86">
        <f>'GSTR 1'!B42-'GSTR 1'!B75+'GSTR 1'!B108+'GSTR 1'!B141</f>
        <v>0</v>
      </c>
      <c r="D112" s="86"/>
      <c r="E112" s="86">
        <f t="shared" si="27"/>
        <v>0</v>
      </c>
      <c r="F112" s="86">
        <f t="shared" si="33"/>
        <v>0</v>
      </c>
      <c r="G112" s="86">
        <f>'GSTR 1'!C42-'GSTR 1'!C75+'GSTR 1'!C108+'GSTR 1'!C141</f>
        <v>0</v>
      </c>
      <c r="H112" s="86"/>
      <c r="I112" s="86">
        <f t="shared" si="28"/>
        <v>0</v>
      </c>
      <c r="J112" s="86">
        <f t="shared" si="34"/>
        <v>0</v>
      </c>
      <c r="K112" s="86">
        <f>'GSTR 1'!D42-'GSTR 1'!D75+'GSTR 1'!D108+'GSTR 1'!D141</f>
        <v>0</v>
      </c>
      <c r="L112" s="86"/>
      <c r="M112" s="86">
        <f t="shared" si="29"/>
        <v>0</v>
      </c>
      <c r="N112" s="86">
        <f t="shared" si="35"/>
        <v>0</v>
      </c>
      <c r="O112" s="86">
        <f>'GSTR 1'!E42-'GSTR 1'!E75+'GSTR 1'!E108+'GSTR 1'!E141</f>
        <v>0</v>
      </c>
      <c r="P112" s="86"/>
      <c r="Q112" s="86">
        <f t="shared" si="30"/>
        <v>0</v>
      </c>
      <c r="R112" s="86">
        <f t="shared" si="36"/>
        <v>0</v>
      </c>
      <c r="S112" s="86">
        <f>'GSTR 1'!F42-'GSTR 1'!F75+'GSTR 1'!F108+'GSTR 1'!F141</f>
        <v>0</v>
      </c>
      <c r="T112" s="86">
        <f t="shared" si="31"/>
        <v>0</v>
      </c>
    </row>
    <row r="113" spans="1:20" x14ac:dyDescent="0.3">
      <c r="A113" s="21">
        <f>DATE(INT(LEFT($B$3,4))+1,3,1)</f>
        <v>46082</v>
      </c>
      <c r="B113" s="86">
        <f t="shared" si="32"/>
        <v>0</v>
      </c>
      <c r="C113" s="86">
        <f>'GSTR 1'!B43-'GSTR 1'!B76+'GSTR 1'!B109+'GSTR 1'!B142</f>
        <v>0</v>
      </c>
      <c r="D113" s="86"/>
      <c r="E113" s="86">
        <f t="shared" si="27"/>
        <v>0</v>
      </c>
      <c r="F113" s="86">
        <f t="shared" si="33"/>
        <v>0</v>
      </c>
      <c r="G113" s="86">
        <f>'GSTR 1'!C43-'GSTR 1'!C76+'GSTR 1'!C109+'GSTR 1'!C142</f>
        <v>0</v>
      </c>
      <c r="H113" s="86"/>
      <c r="I113" s="86">
        <f t="shared" si="28"/>
        <v>0</v>
      </c>
      <c r="J113" s="86">
        <f t="shared" si="34"/>
        <v>0</v>
      </c>
      <c r="K113" s="86">
        <f>'GSTR 1'!D43-'GSTR 1'!D76+'GSTR 1'!D109+'GSTR 1'!D142</f>
        <v>0</v>
      </c>
      <c r="L113" s="86"/>
      <c r="M113" s="86">
        <f t="shared" si="29"/>
        <v>0</v>
      </c>
      <c r="N113" s="86">
        <f t="shared" si="35"/>
        <v>0</v>
      </c>
      <c r="O113" s="86">
        <f>'GSTR 1'!E43-'GSTR 1'!E76+'GSTR 1'!E109+'GSTR 1'!E142</f>
        <v>0</v>
      </c>
      <c r="P113" s="86"/>
      <c r="Q113" s="86">
        <f t="shared" si="30"/>
        <v>0</v>
      </c>
      <c r="R113" s="86">
        <f t="shared" si="36"/>
        <v>0</v>
      </c>
      <c r="S113" s="86">
        <f>'GSTR 1'!F43-'GSTR 1'!F76+'GSTR 1'!F109+'GSTR 1'!F142</f>
        <v>0</v>
      </c>
      <c r="T113" s="86">
        <f t="shared" si="31"/>
        <v>0</v>
      </c>
    </row>
    <row r="114" spans="1:20" ht="15" thickBot="1" x14ac:dyDescent="0.35">
      <c r="A114" s="30"/>
      <c r="B114" s="88"/>
      <c r="C114" s="88"/>
      <c r="D114" s="88"/>
      <c r="E114" s="88"/>
      <c r="F114" s="88"/>
      <c r="G114" s="88"/>
      <c r="H114" s="88"/>
      <c r="I114" s="88"/>
      <c r="J114" s="88"/>
      <c r="K114" s="88"/>
      <c r="L114" s="88"/>
      <c r="M114" s="88"/>
      <c r="N114" s="88"/>
      <c r="O114" s="88"/>
      <c r="P114" s="88"/>
      <c r="Q114" s="88"/>
      <c r="R114" s="88"/>
      <c r="S114" s="88"/>
      <c r="T114" s="88"/>
    </row>
    <row r="115" spans="1:20" ht="16.2" thickTop="1" x14ac:dyDescent="0.3">
      <c r="A115" s="264"/>
      <c r="B115" s="326">
        <f>SUM(B102:B114)</f>
        <v>0</v>
      </c>
      <c r="C115" s="326">
        <f t="shared" ref="C115:T115" si="37">SUM(C102:C114)</f>
        <v>0</v>
      </c>
      <c r="D115" s="326"/>
      <c r="E115" s="326">
        <f t="shared" si="37"/>
        <v>0</v>
      </c>
      <c r="F115" s="326">
        <f t="shared" si="37"/>
        <v>0</v>
      </c>
      <c r="G115" s="326">
        <f t="shared" si="37"/>
        <v>0</v>
      </c>
      <c r="H115" s="326"/>
      <c r="I115" s="326">
        <f t="shared" si="37"/>
        <v>0</v>
      </c>
      <c r="J115" s="326">
        <f t="shared" si="37"/>
        <v>0</v>
      </c>
      <c r="K115" s="326">
        <f t="shared" si="37"/>
        <v>0</v>
      </c>
      <c r="L115" s="326"/>
      <c r="M115" s="326">
        <f t="shared" si="37"/>
        <v>0</v>
      </c>
      <c r="N115" s="326">
        <f t="shared" si="37"/>
        <v>0</v>
      </c>
      <c r="O115" s="326">
        <f t="shared" si="37"/>
        <v>0</v>
      </c>
      <c r="P115" s="326"/>
      <c r="Q115" s="326">
        <f t="shared" si="37"/>
        <v>0</v>
      </c>
      <c r="R115" s="326">
        <f t="shared" si="37"/>
        <v>0</v>
      </c>
      <c r="S115" s="326">
        <f t="shared" si="37"/>
        <v>0</v>
      </c>
      <c r="T115" s="326">
        <f t="shared" si="37"/>
        <v>0</v>
      </c>
    </row>
    <row r="116" spans="1:20" x14ac:dyDescent="0.3">
      <c r="A116" s="265"/>
      <c r="T116" s="48"/>
    </row>
    <row r="117" spans="1:20" ht="17.399999999999999" x14ac:dyDescent="0.35">
      <c r="A117" s="266" t="s">
        <v>472</v>
      </c>
      <c r="B117" s="58">
        <v>0</v>
      </c>
      <c r="C117" s="58">
        <f>'GSTR 1'!B45</f>
        <v>0</v>
      </c>
      <c r="D117" s="58"/>
      <c r="E117" s="58"/>
      <c r="F117" s="58">
        <v>0</v>
      </c>
      <c r="G117" s="58">
        <f>'GSTR 1'!C45</f>
        <v>0</v>
      </c>
      <c r="H117" s="58"/>
      <c r="I117" s="58"/>
      <c r="J117" s="58">
        <v>0</v>
      </c>
      <c r="K117" s="58">
        <f>'GSTR 1'!D45</f>
        <v>0</v>
      </c>
      <c r="L117" s="58"/>
      <c r="M117" s="58"/>
      <c r="N117" s="58">
        <v>0</v>
      </c>
      <c r="O117" s="58">
        <f>'GSTR 1'!E45</f>
        <v>0</v>
      </c>
      <c r="P117" s="58"/>
      <c r="Q117" s="58"/>
      <c r="R117" s="58">
        <v>0</v>
      </c>
      <c r="S117" s="58">
        <f>'GSTR 1'!F45</f>
        <v>0</v>
      </c>
      <c r="T117" s="269"/>
    </row>
    <row r="118" spans="1:20" ht="17.399999999999999" x14ac:dyDescent="0.35">
      <c r="A118" s="266" t="s">
        <v>473</v>
      </c>
      <c r="B118" s="58">
        <v>0</v>
      </c>
      <c r="C118" s="58">
        <f>'GSTR 1'!B144</f>
        <v>0</v>
      </c>
      <c r="D118" s="58"/>
      <c r="E118" s="58"/>
      <c r="F118" s="58">
        <v>0</v>
      </c>
      <c r="G118" s="58">
        <f>'GSTR 1'!C144</f>
        <v>0</v>
      </c>
      <c r="H118" s="58"/>
      <c r="I118" s="58"/>
      <c r="J118" s="58">
        <v>0</v>
      </c>
      <c r="K118" s="58">
        <f>'GSTR 1'!D144</f>
        <v>0</v>
      </c>
      <c r="L118" s="58"/>
      <c r="M118" s="58"/>
      <c r="N118" s="58">
        <v>0</v>
      </c>
      <c r="O118" s="58">
        <f>'GSTR 1'!E144</f>
        <v>0</v>
      </c>
      <c r="P118" s="58"/>
      <c r="Q118" s="58"/>
      <c r="R118" s="58">
        <v>0</v>
      </c>
      <c r="S118" s="58">
        <f>'GSTR 1'!F144</f>
        <v>0</v>
      </c>
      <c r="T118" s="269"/>
    </row>
    <row r="119" spans="1:20" ht="17.399999999999999" x14ac:dyDescent="0.35">
      <c r="A119" s="267" t="s">
        <v>175</v>
      </c>
      <c r="B119" s="268">
        <f>'BOA OUT (AV)'!F45</f>
        <v>0</v>
      </c>
      <c r="C119" s="268">
        <f>'GSTR 1'!B78</f>
        <v>0</v>
      </c>
      <c r="D119" s="268"/>
      <c r="E119" s="268"/>
      <c r="F119" s="268">
        <f>'BOA OUT (GST)'!D72+'BOA OUT (GST)'!G72+'BOA OUT (GST)'!J72+'BOA OUT (GST)'!M72</f>
        <v>0</v>
      </c>
      <c r="G119" s="268">
        <f>'GSTR 1'!C78</f>
        <v>0</v>
      </c>
      <c r="H119" s="268"/>
      <c r="I119" s="268"/>
      <c r="J119" s="268">
        <f>'BOA OUT (GST)'!B72+'BOA OUT (GST)'!E72+'BOA OUT (GST)'!H72+'BOA OUT (GST)'!K72</f>
        <v>0</v>
      </c>
      <c r="K119" s="268">
        <f>'GSTR 1'!D78</f>
        <v>0</v>
      </c>
      <c r="L119" s="268"/>
      <c r="M119" s="268"/>
      <c r="N119" s="268">
        <f>'BOA OUT (GST)'!C72+'BOA OUT (GST)'!F72+'BOA OUT (GST)'!I72+'BOA OUT (GST)'!L72</f>
        <v>0</v>
      </c>
      <c r="O119" s="268">
        <f>'GSTR 1'!E78</f>
        <v>0</v>
      </c>
      <c r="P119" s="268"/>
      <c r="Q119" s="268"/>
      <c r="R119" s="268">
        <f>'BOA OUT (GST)'!N72</f>
        <v>0</v>
      </c>
      <c r="S119" s="268">
        <f>'GSTR 1'!F78</f>
        <v>0</v>
      </c>
      <c r="T119" s="270"/>
    </row>
    <row r="123" spans="1:20" ht="18" x14ac:dyDescent="0.35">
      <c r="A123" s="14" t="s">
        <v>229</v>
      </c>
    </row>
    <row r="125" spans="1:20" ht="20.100000000000001" customHeight="1" x14ac:dyDescent="0.3">
      <c r="A125" s="549" t="s">
        <v>82</v>
      </c>
      <c r="B125" s="545" t="s">
        <v>128</v>
      </c>
      <c r="C125" s="545"/>
      <c r="D125" s="545"/>
      <c r="E125" s="545"/>
      <c r="F125" s="545" t="s">
        <v>114</v>
      </c>
      <c r="G125" s="545"/>
      <c r="H125" s="545"/>
      <c r="I125" s="545"/>
      <c r="J125" s="545" t="s">
        <v>118</v>
      </c>
      <c r="K125" s="545"/>
      <c r="L125" s="539"/>
      <c r="M125" s="556"/>
    </row>
    <row r="126" spans="1:20" ht="20.100000000000001" customHeight="1" x14ac:dyDescent="0.3">
      <c r="A126" s="527"/>
      <c r="B126" s="328" t="s">
        <v>454</v>
      </c>
      <c r="C126" s="328" t="s">
        <v>457</v>
      </c>
      <c r="D126" s="328"/>
      <c r="E126" s="328" t="s">
        <v>456</v>
      </c>
      <c r="F126" s="328" t="s">
        <v>454</v>
      </c>
      <c r="G126" s="328" t="s">
        <v>457</v>
      </c>
      <c r="H126" s="328"/>
      <c r="I126" s="328" t="s">
        <v>456</v>
      </c>
      <c r="J126" s="328" t="s">
        <v>454</v>
      </c>
      <c r="K126" s="328" t="s">
        <v>457</v>
      </c>
      <c r="L126" s="456"/>
      <c r="M126" s="329" t="s">
        <v>456</v>
      </c>
    </row>
    <row r="127" spans="1:20" x14ac:dyDescent="0.3">
      <c r="A127" s="21">
        <f>DATE(INT(LEFT($B$3,4)),4,1)</f>
        <v>45748</v>
      </c>
      <c r="B127" s="277">
        <f>'BOA OUT (AV)'!G96</f>
        <v>0</v>
      </c>
      <c r="C127" s="277">
        <f>'GSTR 1'!B164</f>
        <v>0</v>
      </c>
      <c r="D127" s="277"/>
      <c r="E127" s="277">
        <f t="shared" ref="E127:E138" si="38">B127-C127</f>
        <v>0</v>
      </c>
      <c r="F127" s="277">
        <f>'BOA OUT (AV)'!F53</f>
        <v>0</v>
      </c>
      <c r="G127" s="277">
        <f>'GSTR 1'!C164</f>
        <v>0</v>
      </c>
      <c r="H127" s="277"/>
      <c r="I127" s="277">
        <f>F127-G127</f>
        <v>0</v>
      </c>
      <c r="J127" s="277">
        <f>'BOA OUT (AV)'!G119</f>
        <v>0</v>
      </c>
      <c r="K127" s="277">
        <f>'GSTR 1'!D164</f>
        <v>0</v>
      </c>
      <c r="L127" s="277"/>
      <c r="M127" s="277">
        <f>J127-K127</f>
        <v>0</v>
      </c>
    </row>
    <row r="128" spans="1:20" x14ac:dyDescent="0.3">
      <c r="A128" s="21">
        <f>DATE(INT(LEFT($B$3,4)),5,1)</f>
        <v>45778</v>
      </c>
      <c r="B128" s="277">
        <f>'BOA OUT (AV)'!G97</f>
        <v>0</v>
      </c>
      <c r="C128" s="277">
        <f>'GSTR 1'!B165</f>
        <v>0</v>
      </c>
      <c r="D128" s="277"/>
      <c r="E128" s="277">
        <f t="shared" si="38"/>
        <v>0</v>
      </c>
      <c r="F128" s="277">
        <f>'BOA OUT (AV)'!F54</f>
        <v>0</v>
      </c>
      <c r="G128" s="277">
        <f>'GSTR 1'!C165</f>
        <v>0</v>
      </c>
      <c r="H128" s="277"/>
      <c r="I128" s="277">
        <f t="shared" ref="I128:I138" si="39">F128-G128</f>
        <v>0</v>
      </c>
      <c r="J128" s="277">
        <f>'BOA OUT (AV)'!G120</f>
        <v>0</v>
      </c>
      <c r="K128" s="277">
        <f>'GSTR 1'!D165</f>
        <v>0</v>
      </c>
      <c r="L128" s="277"/>
      <c r="M128" s="277">
        <f t="shared" ref="M128:M138" si="40">J128-K128</f>
        <v>0</v>
      </c>
    </row>
    <row r="129" spans="1:13" x14ac:dyDescent="0.3">
      <c r="A129" s="21">
        <f>DATE(INT(LEFT($B$3,4)),6,1)</f>
        <v>45809</v>
      </c>
      <c r="B129" s="277">
        <f>'BOA OUT (AV)'!G98</f>
        <v>0</v>
      </c>
      <c r="C129" s="277">
        <f>'GSTR 1'!B166</f>
        <v>0</v>
      </c>
      <c r="D129" s="277"/>
      <c r="E129" s="277">
        <f t="shared" si="38"/>
        <v>0</v>
      </c>
      <c r="F129" s="277">
        <f>'BOA OUT (AV)'!F55</f>
        <v>0</v>
      </c>
      <c r="G129" s="277">
        <f>'GSTR 1'!C166</f>
        <v>0</v>
      </c>
      <c r="H129" s="277"/>
      <c r="I129" s="277">
        <f t="shared" si="39"/>
        <v>0</v>
      </c>
      <c r="J129" s="277">
        <f>'BOA OUT (AV)'!G121</f>
        <v>0</v>
      </c>
      <c r="K129" s="277">
        <f>'GSTR 1'!D166</f>
        <v>0</v>
      </c>
      <c r="L129" s="277"/>
      <c r="M129" s="277">
        <f t="shared" si="40"/>
        <v>0</v>
      </c>
    </row>
    <row r="130" spans="1:13" x14ac:dyDescent="0.3">
      <c r="A130" s="21">
        <f>DATE(INT(LEFT($B$3,4)),7,1)</f>
        <v>45839</v>
      </c>
      <c r="B130" s="277">
        <f>'BOA OUT (AV)'!G99</f>
        <v>0</v>
      </c>
      <c r="C130" s="277">
        <f>'GSTR 1'!B167</f>
        <v>0</v>
      </c>
      <c r="D130" s="277"/>
      <c r="E130" s="277">
        <f t="shared" si="38"/>
        <v>0</v>
      </c>
      <c r="F130" s="277">
        <f>'BOA OUT (AV)'!F56</f>
        <v>0</v>
      </c>
      <c r="G130" s="277">
        <f>'GSTR 1'!C167</f>
        <v>0</v>
      </c>
      <c r="H130" s="277"/>
      <c r="I130" s="277">
        <f t="shared" si="39"/>
        <v>0</v>
      </c>
      <c r="J130" s="277">
        <f>'BOA OUT (AV)'!G122</f>
        <v>0</v>
      </c>
      <c r="K130" s="277">
        <f>'GSTR 1'!D167</f>
        <v>0</v>
      </c>
      <c r="L130" s="277"/>
      <c r="M130" s="277">
        <f t="shared" si="40"/>
        <v>0</v>
      </c>
    </row>
    <row r="131" spans="1:13" x14ac:dyDescent="0.3">
      <c r="A131" s="21">
        <f>DATE(INT(LEFT($B$3,4)),8,1)</f>
        <v>45870</v>
      </c>
      <c r="B131" s="277">
        <f>'BOA OUT (AV)'!G100</f>
        <v>0</v>
      </c>
      <c r="C131" s="277">
        <f>'GSTR 1'!B168</f>
        <v>0</v>
      </c>
      <c r="D131" s="277"/>
      <c r="E131" s="277">
        <f t="shared" si="38"/>
        <v>0</v>
      </c>
      <c r="F131" s="277">
        <f>'BOA OUT (AV)'!F57</f>
        <v>0</v>
      </c>
      <c r="G131" s="277">
        <f>'GSTR 1'!C168</f>
        <v>0</v>
      </c>
      <c r="H131" s="277"/>
      <c r="I131" s="277">
        <f t="shared" si="39"/>
        <v>0</v>
      </c>
      <c r="J131" s="277">
        <f>'BOA OUT (AV)'!G123</f>
        <v>0</v>
      </c>
      <c r="K131" s="277">
        <f>'GSTR 1'!D168</f>
        <v>0</v>
      </c>
      <c r="L131" s="277"/>
      <c r="M131" s="277">
        <f t="shared" si="40"/>
        <v>0</v>
      </c>
    </row>
    <row r="132" spans="1:13" x14ac:dyDescent="0.3">
      <c r="A132" s="21">
        <f>DATE(INT(LEFT($B$3,4)),9,1)</f>
        <v>45901</v>
      </c>
      <c r="B132" s="277">
        <f>'BOA OUT (AV)'!G101</f>
        <v>0</v>
      </c>
      <c r="C132" s="277">
        <f>'GSTR 1'!B169</f>
        <v>0</v>
      </c>
      <c r="D132" s="277"/>
      <c r="E132" s="277">
        <f t="shared" si="38"/>
        <v>0</v>
      </c>
      <c r="F132" s="277">
        <f>'BOA OUT (AV)'!F58</f>
        <v>0</v>
      </c>
      <c r="G132" s="277">
        <f>'GSTR 1'!C169</f>
        <v>0</v>
      </c>
      <c r="H132" s="277"/>
      <c r="I132" s="277">
        <f t="shared" si="39"/>
        <v>0</v>
      </c>
      <c r="J132" s="277">
        <f>'BOA OUT (AV)'!G124</f>
        <v>0</v>
      </c>
      <c r="K132" s="277">
        <f>'GSTR 1'!D169</f>
        <v>0</v>
      </c>
      <c r="L132" s="277"/>
      <c r="M132" s="277">
        <f t="shared" si="40"/>
        <v>0</v>
      </c>
    </row>
    <row r="133" spans="1:13" x14ac:dyDescent="0.3">
      <c r="A133" s="21">
        <f>DATE(INT(LEFT($B$3,4)),10,1)</f>
        <v>45931</v>
      </c>
      <c r="B133" s="277">
        <f>'BOA OUT (AV)'!G102</f>
        <v>0</v>
      </c>
      <c r="C133" s="277">
        <f>'GSTR 1'!B170</f>
        <v>0</v>
      </c>
      <c r="D133" s="277"/>
      <c r="E133" s="277">
        <f t="shared" si="38"/>
        <v>0</v>
      </c>
      <c r="F133" s="277">
        <f>'BOA OUT (AV)'!F59</f>
        <v>0</v>
      </c>
      <c r="G133" s="277">
        <f>'GSTR 1'!C170</f>
        <v>0</v>
      </c>
      <c r="H133" s="277"/>
      <c r="I133" s="277">
        <f t="shared" si="39"/>
        <v>0</v>
      </c>
      <c r="J133" s="277">
        <f>'BOA OUT (AV)'!G125</f>
        <v>0</v>
      </c>
      <c r="K133" s="277">
        <f>'GSTR 1'!D170</f>
        <v>0</v>
      </c>
      <c r="L133" s="277"/>
      <c r="M133" s="277">
        <f t="shared" si="40"/>
        <v>0</v>
      </c>
    </row>
    <row r="134" spans="1:13" x14ac:dyDescent="0.3">
      <c r="A134" s="21">
        <f>DATE(INT(LEFT($B$3,4)),11,1)</f>
        <v>45962</v>
      </c>
      <c r="B134" s="277">
        <f>'BOA OUT (AV)'!G103</f>
        <v>0</v>
      </c>
      <c r="C134" s="277">
        <f>'GSTR 1'!B171</f>
        <v>0</v>
      </c>
      <c r="D134" s="277"/>
      <c r="E134" s="277">
        <f t="shared" si="38"/>
        <v>0</v>
      </c>
      <c r="F134" s="277">
        <f>'BOA OUT (AV)'!F60</f>
        <v>0</v>
      </c>
      <c r="G134" s="277">
        <f>'GSTR 1'!C171</f>
        <v>0</v>
      </c>
      <c r="H134" s="277"/>
      <c r="I134" s="277">
        <f t="shared" si="39"/>
        <v>0</v>
      </c>
      <c r="J134" s="277">
        <f>'BOA OUT (AV)'!G126</f>
        <v>0</v>
      </c>
      <c r="K134" s="277">
        <f>'GSTR 1'!D171</f>
        <v>0</v>
      </c>
      <c r="L134" s="277"/>
      <c r="M134" s="277">
        <f t="shared" si="40"/>
        <v>0</v>
      </c>
    </row>
    <row r="135" spans="1:13" x14ac:dyDescent="0.3">
      <c r="A135" s="21">
        <f>DATE(INT(LEFT($B$3,4)),12,1)</f>
        <v>45992</v>
      </c>
      <c r="B135" s="277">
        <f>'BOA OUT (AV)'!G104</f>
        <v>0</v>
      </c>
      <c r="C135" s="277">
        <f>'GSTR 1'!B172</f>
        <v>0</v>
      </c>
      <c r="D135" s="277"/>
      <c r="E135" s="277">
        <f t="shared" si="38"/>
        <v>0</v>
      </c>
      <c r="F135" s="277">
        <f>'BOA OUT (AV)'!F61</f>
        <v>0</v>
      </c>
      <c r="G135" s="277">
        <f>'GSTR 1'!C172</f>
        <v>0</v>
      </c>
      <c r="H135" s="277"/>
      <c r="I135" s="277">
        <f t="shared" si="39"/>
        <v>0</v>
      </c>
      <c r="J135" s="277">
        <f>'BOA OUT (AV)'!G127</f>
        <v>0</v>
      </c>
      <c r="K135" s="277">
        <f>'GSTR 1'!D172</f>
        <v>0</v>
      </c>
      <c r="L135" s="277"/>
      <c r="M135" s="277">
        <f t="shared" si="40"/>
        <v>0</v>
      </c>
    </row>
    <row r="136" spans="1:13" x14ac:dyDescent="0.3">
      <c r="A136" s="21">
        <f>DATE(INT(LEFT($B$3,4))+1,1,1)</f>
        <v>46023</v>
      </c>
      <c r="B136" s="277">
        <f>'BOA OUT (AV)'!G105</f>
        <v>0</v>
      </c>
      <c r="C136" s="277">
        <f>'GSTR 1'!B173</f>
        <v>0</v>
      </c>
      <c r="D136" s="277"/>
      <c r="E136" s="277">
        <f t="shared" si="38"/>
        <v>0</v>
      </c>
      <c r="F136" s="277">
        <f>'BOA OUT (AV)'!F62</f>
        <v>0</v>
      </c>
      <c r="G136" s="277">
        <f>'GSTR 1'!C173</f>
        <v>0</v>
      </c>
      <c r="H136" s="277"/>
      <c r="I136" s="277">
        <f t="shared" si="39"/>
        <v>0</v>
      </c>
      <c r="J136" s="277">
        <f>'BOA OUT (AV)'!G128</f>
        <v>0</v>
      </c>
      <c r="K136" s="277">
        <f>'GSTR 1'!D173</f>
        <v>0</v>
      </c>
      <c r="L136" s="277"/>
      <c r="M136" s="277">
        <f t="shared" si="40"/>
        <v>0</v>
      </c>
    </row>
    <row r="137" spans="1:13" x14ac:dyDescent="0.3">
      <c r="A137" s="21">
        <f>DATE(INT(LEFT($B$3,4))+1,2,1)</f>
        <v>46054</v>
      </c>
      <c r="B137" s="277">
        <f>'BOA OUT (AV)'!G106</f>
        <v>0</v>
      </c>
      <c r="C137" s="277">
        <f>'GSTR 1'!B174</f>
        <v>0</v>
      </c>
      <c r="D137" s="277"/>
      <c r="E137" s="277">
        <f t="shared" si="38"/>
        <v>0</v>
      </c>
      <c r="F137" s="277">
        <f>'BOA OUT (AV)'!F63</f>
        <v>0</v>
      </c>
      <c r="G137" s="277">
        <f>'GSTR 1'!C174</f>
        <v>0</v>
      </c>
      <c r="H137" s="277"/>
      <c r="I137" s="277">
        <f t="shared" si="39"/>
        <v>0</v>
      </c>
      <c r="J137" s="277">
        <f>'BOA OUT (AV)'!G129</f>
        <v>0</v>
      </c>
      <c r="K137" s="277">
        <f>'GSTR 1'!D174</f>
        <v>0</v>
      </c>
      <c r="L137" s="277"/>
      <c r="M137" s="277">
        <f t="shared" si="40"/>
        <v>0</v>
      </c>
    </row>
    <row r="138" spans="1:13" x14ac:dyDescent="0.3">
      <c r="A138" s="21">
        <f>DATE(INT(LEFT($B$3,4))+1,3,1)</f>
        <v>46082</v>
      </c>
      <c r="B138" s="277">
        <f>'BOA OUT (AV)'!G107</f>
        <v>0</v>
      </c>
      <c r="C138" s="277">
        <f>'GSTR 1'!B175</f>
        <v>0</v>
      </c>
      <c r="D138" s="277"/>
      <c r="E138" s="277">
        <f t="shared" si="38"/>
        <v>0</v>
      </c>
      <c r="F138" s="277">
        <f>'BOA OUT (AV)'!F64</f>
        <v>0</v>
      </c>
      <c r="G138" s="277">
        <f>'GSTR 1'!C175</f>
        <v>0</v>
      </c>
      <c r="H138" s="277"/>
      <c r="I138" s="277">
        <f t="shared" si="39"/>
        <v>0</v>
      </c>
      <c r="J138" s="277">
        <f>'BOA OUT (AV)'!G130</f>
        <v>0</v>
      </c>
      <c r="K138" s="277">
        <f>'GSTR 1'!D175</f>
        <v>0</v>
      </c>
      <c r="L138" s="277"/>
      <c r="M138" s="277">
        <f t="shared" si="40"/>
        <v>0</v>
      </c>
    </row>
    <row r="139" spans="1:13" x14ac:dyDescent="0.3">
      <c r="A139" s="355"/>
      <c r="B139" s="371"/>
      <c r="C139" s="371"/>
      <c r="D139" s="371"/>
      <c r="E139" s="371"/>
      <c r="F139" s="371"/>
      <c r="G139" s="371"/>
      <c r="H139" s="371"/>
      <c r="I139" s="371"/>
      <c r="J139" s="371"/>
      <c r="K139" s="371"/>
      <c r="L139" s="371"/>
      <c r="M139" s="372"/>
    </row>
    <row r="140" spans="1:13" ht="16.8" x14ac:dyDescent="0.3">
      <c r="A140" s="409" t="s">
        <v>91</v>
      </c>
      <c r="B140" s="342">
        <f t="shared" ref="B140:M140" si="41">ROUND(SUM(B127:B138),0)</f>
        <v>0</v>
      </c>
      <c r="C140" s="342">
        <f t="shared" si="41"/>
        <v>0</v>
      </c>
      <c r="D140" s="342"/>
      <c r="E140" s="342">
        <f t="shared" si="41"/>
        <v>0</v>
      </c>
      <c r="F140" s="342">
        <f t="shared" si="41"/>
        <v>0</v>
      </c>
      <c r="G140" s="342">
        <f t="shared" si="41"/>
        <v>0</v>
      </c>
      <c r="H140" s="342"/>
      <c r="I140" s="342">
        <f t="shared" si="41"/>
        <v>0</v>
      </c>
      <c r="J140" s="342">
        <f t="shared" si="41"/>
        <v>0</v>
      </c>
      <c r="K140" s="342">
        <f t="shared" si="41"/>
        <v>0</v>
      </c>
      <c r="L140" s="342"/>
      <c r="M140" s="343">
        <f t="shared" si="41"/>
        <v>0</v>
      </c>
    </row>
    <row r="144" spans="1:13" ht="18" x14ac:dyDescent="0.35">
      <c r="A144" s="14" t="s">
        <v>214</v>
      </c>
    </row>
    <row r="146" spans="1:17" ht="20.100000000000001" customHeight="1" x14ac:dyDescent="0.3">
      <c r="A146" s="549" t="s">
        <v>82</v>
      </c>
      <c r="B146" s="545" t="s">
        <v>446</v>
      </c>
      <c r="C146" s="545"/>
      <c r="D146" s="545"/>
      <c r="E146" s="545"/>
      <c r="F146" s="545" t="s">
        <v>101</v>
      </c>
      <c r="G146" s="545"/>
      <c r="H146" s="545"/>
      <c r="I146" s="545"/>
      <c r="J146" s="545" t="s">
        <v>105</v>
      </c>
      <c r="K146" s="545"/>
      <c r="L146" s="545"/>
      <c r="M146" s="545"/>
      <c r="N146" s="545" t="s">
        <v>106</v>
      </c>
      <c r="O146" s="545"/>
      <c r="P146" s="539"/>
      <c r="Q146" s="556"/>
    </row>
    <row r="147" spans="1:17" ht="20.100000000000001" customHeight="1" x14ac:dyDescent="0.3">
      <c r="A147" s="527"/>
      <c r="B147" s="328" t="s">
        <v>454</v>
      </c>
      <c r="C147" s="328" t="s">
        <v>455</v>
      </c>
      <c r="D147" s="328" t="s">
        <v>559</v>
      </c>
      <c r="E147" s="328" t="s">
        <v>456</v>
      </c>
      <c r="F147" s="328" t="s">
        <v>454</v>
      </c>
      <c r="G147" s="328" t="s">
        <v>455</v>
      </c>
      <c r="H147" s="328" t="s">
        <v>559</v>
      </c>
      <c r="I147" s="328" t="s">
        <v>456</v>
      </c>
      <c r="J147" s="328" t="s">
        <v>454</v>
      </c>
      <c r="K147" s="328" t="s">
        <v>455</v>
      </c>
      <c r="L147" s="328" t="s">
        <v>559</v>
      </c>
      <c r="M147" s="328" t="s">
        <v>456</v>
      </c>
      <c r="N147" s="328" t="s">
        <v>454</v>
      </c>
      <c r="O147" s="328" t="s">
        <v>455</v>
      </c>
      <c r="P147" s="328" t="s">
        <v>559</v>
      </c>
      <c r="Q147" s="328" t="s">
        <v>456</v>
      </c>
    </row>
    <row r="148" spans="1:17" x14ac:dyDescent="0.3">
      <c r="A148" s="21">
        <f>DATE(INT(LEFT($B$3,4)),4,1)</f>
        <v>45748</v>
      </c>
      <c r="B148" s="277">
        <f>SUM('BOA OUT (AV)'!J207:K207)+SUM('BOA OUT (AV)'!J229:K229)</f>
        <v>0</v>
      </c>
      <c r="C148" s="277">
        <f>'3B OUTWARD'!D65</f>
        <v>0</v>
      </c>
      <c r="D148" s="277"/>
      <c r="E148" s="277">
        <f>B148-C148-D148</f>
        <v>0</v>
      </c>
      <c r="F148" s="277">
        <f>SUMIF('BOA OUT (GST)'!$B$77:$M$77,RECO!$F$146,'BOA OUT (GST)'!B78:M78)</f>
        <v>0</v>
      </c>
      <c r="G148" s="277">
        <f>'3B OUTWARD'!E65</f>
        <v>0</v>
      </c>
      <c r="H148" s="277"/>
      <c r="I148" s="277">
        <f>F148-G148-H148</f>
        <v>0</v>
      </c>
      <c r="J148" s="277">
        <f>SUMIF('BOA OUT (GST)'!$B$77:$M$77,RECO!$J$146,'BOA OUT (GST)'!B78:M78)</f>
        <v>0</v>
      </c>
      <c r="K148" s="277">
        <f>'3B OUTWARD'!F65</f>
        <v>0</v>
      </c>
      <c r="L148" s="277"/>
      <c r="M148" s="277">
        <f>J148-K148-L148</f>
        <v>0</v>
      </c>
      <c r="N148" s="277">
        <f>SUMIF('BOA OUT (GST)'!$B$77:$M$77,RECO!$N$146,'BOA OUT (GST)'!B78:M78)</f>
        <v>0</v>
      </c>
      <c r="O148" s="277">
        <f>'3B OUTWARD'!G65</f>
        <v>0</v>
      </c>
      <c r="P148" s="277"/>
      <c r="Q148" s="277">
        <f>N148-O148-P148</f>
        <v>0</v>
      </c>
    </row>
    <row r="149" spans="1:17" x14ac:dyDescent="0.3">
      <c r="A149" s="21">
        <f>DATE(INT(LEFT($B$3,4)),5,1)</f>
        <v>45778</v>
      </c>
      <c r="B149" s="277">
        <f>SUM('BOA OUT (AV)'!J208:K208)+SUM('BOA OUT (AV)'!J230:K230)</f>
        <v>0</v>
      </c>
      <c r="C149" s="277">
        <f>'3B OUTWARD'!D66</f>
        <v>0</v>
      </c>
      <c r="D149" s="277"/>
      <c r="E149" s="277">
        <f t="shared" ref="E149:E159" si="42">B149-C149-D149</f>
        <v>0</v>
      </c>
      <c r="F149" s="277">
        <f>SUMIF('BOA OUT (GST)'!$B$77:$M$77,RECO!$F$146,'BOA OUT (GST)'!B79:M79)</f>
        <v>0</v>
      </c>
      <c r="G149" s="277">
        <f>'3B OUTWARD'!E66</f>
        <v>0</v>
      </c>
      <c r="H149" s="277"/>
      <c r="I149" s="277">
        <f t="shared" ref="I149:I159" si="43">F149-G149-H149</f>
        <v>0</v>
      </c>
      <c r="J149" s="277">
        <f>SUMIF('BOA OUT (GST)'!$B$77:$M$77,RECO!$J$146,'BOA OUT (GST)'!B79:M79)</f>
        <v>0</v>
      </c>
      <c r="K149" s="277">
        <f>'3B OUTWARD'!F66</f>
        <v>0</v>
      </c>
      <c r="L149" s="277"/>
      <c r="M149" s="277">
        <f t="shared" ref="M149:M159" si="44">J149-K149-L149</f>
        <v>0</v>
      </c>
      <c r="N149" s="277">
        <f>SUMIF('BOA OUT (GST)'!$B$77:$M$77,RECO!$N$146,'BOA OUT (GST)'!B79:M79)</f>
        <v>0</v>
      </c>
      <c r="O149" s="277">
        <f>'3B OUTWARD'!G66</f>
        <v>0</v>
      </c>
      <c r="P149" s="277"/>
      <c r="Q149" s="277">
        <f t="shared" ref="Q149:Q159" si="45">N149-O149-P149</f>
        <v>0</v>
      </c>
    </row>
    <row r="150" spans="1:17" x14ac:dyDescent="0.3">
      <c r="A150" s="21">
        <f>DATE(INT(LEFT($B$3,4)),6,1)</f>
        <v>45809</v>
      </c>
      <c r="B150" s="277">
        <f>SUM('BOA OUT (AV)'!J209:K209)+SUM('BOA OUT (AV)'!J231:K231)</f>
        <v>0</v>
      </c>
      <c r="C150" s="277">
        <f>'3B OUTWARD'!D67</f>
        <v>0</v>
      </c>
      <c r="D150" s="277"/>
      <c r="E150" s="277">
        <f t="shared" si="42"/>
        <v>0</v>
      </c>
      <c r="F150" s="277">
        <f>SUMIF('BOA OUT (GST)'!$B$77:$M$77,RECO!$F$146,'BOA OUT (GST)'!B80:M80)</f>
        <v>0</v>
      </c>
      <c r="G150" s="277">
        <f>'3B OUTWARD'!E67</f>
        <v>0</v>
      </c>
      <c r="H150" s="277"/>
      <c r="I150" s="277">
        <f t="shared" si="43"/>
        <v>0</v>
      </c>
      <c r="J150" s="277">
        <f>SUMIF('BOA OUT (GST)'!$B$77:$M$77,RECO!$J$146,'BOA OUT (GST)'!B80:M80)</f>
        <v>0</v>
      </c>
      <c r="K150" s="277">
        <f>'3B OUTWARD'!F67</f>
        <v>0</v>
      </c>
      <c r="L150" s="277"/>
      <c r="M150" s="277">
        <f t="shared" si="44"/>
        <v>0</v>
      </c>
      <c r="N150" s="277">
        <f>SUMIF('BOA OUT (GST)'!$B$77:$M$77,RECO!$N$146,'BOA OUT (GST)'!B80:M80)</f>
        <v>0</v>
      </c>
      <c r="O150" s="277">
        <f>'3B OUTWARD'!G67</f>
        <v>0</v>
      </c>
      <c r="P150" s="277"/>
      <c r="Q150" s="277">
        <f t="shared" si="45"/>
        <v>0</v>
      </c>
    </row>
    <row r="151" spans="1:17" x14ac:dyDescent="0.3">
      <c r="A151" s="21">
        <f>DATE(INT(LEFT($B$3,4)),7,1)</f>
        <v>45839</v>
      </c>
      <c r="B151" s="277">
        <f>SUM('BOA OUT (AV)'!J210:K210)+SUM('BOA OUT (AV)'!J232:K232)</f>
        <v>0</v>
      </c>
      <c r="C151" s="277">
        <f>'3B OUTWARD'!D68</f>
        <v>0</v>
      </c>
      <c r="D151" s="277"/>
      <c r="E151" s="277">
        <f t="shared" si="42"/>
        <v>0</v>
      </c>
      <c r="F151" s="277">
        <f>SUMIF('BOA OUT (GST)'!$B$77:$M$77,RECO!$F$146,'BOA OUT (GST)'!B81:M81)</f>
        <v>0</v>
      </c>
      <c r="G151" s="277">
        <f>'3B OUTWARD'!E68</f>
        <v>0</v>
      </c>
      <c r="H151" s="277"/>
      <c r="I151" s="277">
        <f t="shared" si="43"/>
        <v>0</v>
      </c>
      <c r="J151" s="277">
        <f>SUMIF('BOA OUT (GST)'!$B$77:$M$77,RECO!$J$146,'BOA OUT (GST)'!B81:M81)</f>
        <v>0</v>
      </c>
      <c r="K151" s="277">
        <f>'3B OUTWARD'!F68</f>
        <v>0</v>
      </c>
      <c r="L151" s="277"/>
      <c r="M151" s="277">
        <f t="shared" si="44"/>
        <v>0</v>
      </c>
      <c r="N151" s="277">
        <f>SUMIF('BOA OUT (GST)'!$B$77:$M$77,RECO!$N$146,'BOA OUT (GST)'!B81:M81)</f>
        <v>0</v>
      </c>
      <c r="O151" s="277">
        <f>'3B OUTWARD'!G68</f>
        <v>0</v>
      </c>
      <c r="P151" s="277"/>
      <c r="Q151" s="277">
        <f t="shared" si="45"/>
        <v>0</v>
      </c>
    </row>
    <row r="152" spans="1:17" x14ac:dyDescent="0.3">
      <c r="A152" s="21">
        <f>DATE(INT(LEFT($B$3,4)),8,1)</f>
        <v>45870</v>
      </c>
      <c r="B152" s="277">
        <f>SUM('BOA OUT (AV)'!J211:K211)+SUM('BOA OUT (AV)'!J233:K233)</f>
        <v>0</v>
      </c>
      <c r="C152" s="277">
        <f>'3B OUTWARD'!D69</f>
        <v>0</v>
      </c>
      <c r="D152" s="277"/>
      <c r="E152" s="277">
        <f t="shared" si="42"/>
        <v>0</v>
      </c>
      <c r="F152" s="277">
        <f>SUMIF('BOA OUT (GST)'!$B$77:$M$77,RECO!$F$146,'BOA OUT (GST)'!B82:M82)</f>
        <v>0</v>
      </c>
      <c r="G152" s="277">
        <f>'3B OUTWARD'!E69</f>
        <v>0</v>
      </c>
      <c r="H152" s="277"/>
      <c r="I152" s="277">
        <f t="shared" si="43"/>
        <v>0</v>
      </c>
      <c r="J152" s="277">
        <f>SUMIF('BOA OUT (GST)'!$B$77:$M$77,RECO!$J$146,'BOA OUT (GST)'!B82:M82)</f>
        <v>0</v>
      </c>
      <c r="K152" s="277">
        <f>'3B OUTWARD'!F69</f>
        <v>0</v>
      </c>
      <c r="L152" s="277"/>
      <c r="M152" s="277">
        <f t="shared" si="44"/>
        <v>0</v>
      </c>
      <c r="N152" s="277">
        <f>SUMIF('BOA OUT (GST)'!$B$77:$M$77,RECO!$N$146,'BOA OUT (GST)'!B82:M82)</f>
        <v>0</v>
      </c>
      <c r="O152" s="277">
        <f>'3B OUTWARD'!G69</f>
        <v>0</v>
      </c>
      <c r="P152" s="277"/>
      <c r="Q152" s="277">
        <f t="shared" si="45"/>
        <v>0</v>
      </c>
    </row>
    <row r="153" spans="1:17" x14ac:dyDescent="0.3">
      <c r="A153" s="21">
        <f>DATE(INT(LEFT($B$3,4)),9,1)</f>
        <v>45901</v>
      </c>
      <c r="B153" s="277">
        <f>SUM('BOA OUT (AV)'!J212:K212)+SUM('BOA OUT (AV)'!J234:K234)</f>
        <v>0</v>
      </c>
      <c r="C153" s="277">
        <f>'3B OUTWARD'!D70</f>
        <v>0</v>
      </c>
      <c r="D153" s="277"/>
      <c r="E153" s="277">
        <f t="shared" si="42"/>
        <v>0</v>
      </c>
      <c r="F153" s="277">
        <f>SUMIF('BOA OUT (GST)'!$B$77:$M$77,RECO!$F$146,'BOA OUT (GST)'!B83:M83)</f>
        <v>0</v>
      </c>
      <c r="G153" s="277">
        <f>'3B OUTWARD'!E70</f>
        <v>0</v>
      </c>
      <c r="H153" s="277"/>
      <c r="I153" s="277">
        <f t="shared" si="43"/>
        <v>0</v>
      </c>
      <c r="J153" s="277">
        <f>SUMIF('BOA OUT (GST)'!$B$77:$M$77,RECO!$J$146,'BOA OUT (GST)'!B83:M83)</f>
        <v>0</v>
      </c>
      <c r="K153" s="277">
        <f>'3B OUTWARD'!F70</f>
        <v>0</v>
      </c>
      <c r="L153" s="277"/>
      <c r="M153" s="277">
        <f t="shared" si="44"/>
        <v>0</v>
      </c>
      <c r="N153" s="277">
        <f>SUMIF('BOA OUT (GST)'!$B$77:$M$77,RECO!$N$146,'BOA OUT (GST)'!B83:M83)</f>
        <v>0</v>
      </c>
      <c r="O153" s="277">
        <f>'3B OUTWARD'!G70</f>
        <v>0</v>
      </c>
      <c r="P153" s="277"/>
      <c r="Q153" s="277">
        <f t="shared" si="45"/>
        <v>0</v>
      </c>
    </row>
    <row r="154" spans="1:17" x14ac:dyDescent="0.3">
      <c r="A154" s="21">
        <f>DATE(INT(LEFT($B$3,4)),10,1)</f>
        <v>45931</v>
      </c>
      <c r="B154" s="277">
        <f>SUM('BOA OUT (AV)'!J213:K213)+SUM('BOA OUT (AV)'!J235:K235)</f>
        <v>0</v>
      </c>
      <c r="C154" s="277">
        <f>'3B OUTWARD'!D71</f>
        <v>0</v>
      </c>
      <c r="D154" s="277"/>
      <c r="E154" s="277">
        <f t="shared" si="42"/>
        <v>0</v>
      </c>
      <c r="F154" s="277">
        <f>SUMIF('BOA OUT (GST)'!$B$77:$M$77,RECO!$F$146,'BOA OUT (GST)'!B84:M84)</f>
        <v>0</v>
      </c>
      <c r="G154" s="277">
        <f>'3B OUTWARD'!E71</f>
        <v>0</v>
      </c>
      <c r="H154" s="277"/>
      <c r="I154" s="277">
        <f t="shared" si="43"/>
        <v>0</v>
      </c>
      <c r="J154" s="277">
        <f>SUMIF('BOA OUT (GST)'!$B$77:$M$77,RECO!$J$146,'BOA OUT (GST)'!B84:M84)</f>
        <v>0</v>
      </c>
      <c r="K154" s="277">
        <f>'3B OUTWARD'!F71</f>
        <v>0</v>
      </c>
      <c r="L154" s="277"/>
      <c r="M154" s="277">
        <f t="shared" si="44"/>
        <v>0</v>
      </c>
      <c r="N154" s="277">
        <f>SUMIF('BOA OUT (GST)'!$B$77:$M$77,RECO!$N$146,'BOA OUT (GST)'!B84:M84)</f>
        <v>0</v>
      </c>
      <c r="O154" s="277">
        <f>'3B OUTWARD'!G71</f>
        <v>0</v>
      </c>
      <c r="P154" s="277"/>
      <c r="Q154" s="277">
        <f t="shared" si="45"/>
        <v>0</v>
      </c>
    </row>
    <row r="155" spans="1:17" x14ac:dyDescent="0.3">
      <c r="A155" s="21">
        <f>DATE(INT(LEFT($B$3,4)),11,1)</f>
        <v>45962</v>
      </c>
      <c r="B155" s="277">
        <f>SUM('BOA OUT (AV)'!J214:K214)+SUM('BOA OUT (AV)'!J236:K236)</f>
        <v>0</v>
      </c>
      <c r="C155" s="277">
        <f>'3B OUTWARD'!D72</f>
        <v>0</v>
      </c>
      <c r="D155" s="277"/>
      <c r="E155" s="277">
        <f t="shared" si="42"/>
        <v>0</v>
      </c>
      <c r="F155" s="277">
        <f>SUMIF('BOA OUT (GST)'!$B$77:$M$77,RECO!$F$146,'BOA OUT (GST)'!B85:M85)</f>
        <v>0</v>
      </c>
      <c r="G155" s="277">
        <f>'3B OUTWARD'!E72</f>
        <v>0</v>
      </c>
      <c r="H155" s="277"/>
      <c r="I155" s="277">
        <f t="shared" si="43"/>
        <v>0</v>
      </c>
      <c r="J155" s="277">
        <f>SUMIF('BOA OUT (GST)'!$B$77:$M$77,RECO!$J$146,'BOA OUT (GST)'!B85:M85)</f>
        <v>0</v>
      </c>
      <c r="K155" s="277">
        <f>'3B OUTWARD'!F72</f>
        <v>0</v>
      </c>
      <c r="L155" s="277"/>
      <c r="M155" s="277">
        <f t="shared" si="44"/>
        <v>0</v>
      </c>
      <c r="N155" s="277">
        <f>SUMIF('BOA OUT (GST)'!$B$77:$M$77,RECO!$N$146,'BOA OUT (GST)'!B85:M85)</f>
        <v>0</v>
      </c>
      <c r="O155" s="277">
        <f>'3B OUTWARD'!G72</f>
        <v>0</v>
      </c>
      <c r="P155" s="277"/>
      <c r="Q155" s="277">
        <f t="shared" si="45"/>
        <v>0</v>
      </c>
    </row>
    <row r="156" spans="1:17" x14ac:dyDescent="0.3">
      <c r="A156" s="21">
        <f>DATE(INT(LEFT($B$3,4)),12,1)</f>
        <v>45992</v>
      </c>
      <c r="B156" s="277">
        <f>SUM('BOA OUT (AV)'!J215:K215)+SUM('BOA OUT (AV)'!J237:K237)</f>
        <v>0</v>
      </c>
      <c r="C156" s="277">
        <f>'3B OUTWARD'!D73</f>
        <v>0</v>
      </c>
      <c r="D156" s="277"/>
      <c r="E156" s="277">
        <f t="shared" si="42"/>
        <v>0</v>
      </c>
      <c r="F156" s="277">
        <f>SUMIF('BOA OUT (GST)'!$B$77:$M$77,RECO!$F$146,'BOA OUT (GST)'!B86:M86)</f>
        <v>0</v>
      </c>
      <c r="G156" s="277">
        <f>'3B OUTWARD'!E73</f>
        <v>0</v>
      </c>
      <c r="H156" s="277"/>
      <c r="I156" s="277">
        <f t="shared" si="43"/>
        <v>0</v>
      </c>
      <c r="J156" s="277">
        <f>SUMIF('BOA OUT (GST)'!$B$77:$M$77,RECO!$J$146,'BOA OUT (GST)'!B86:M86)</f>
        <v>0</v>
      </c>
      <c r="K156" s="277">
        <f>'3B OUTWARD'!F73</f>
        <v>0</v>
      </c>
      <c r="L156" s="277"/>
      <c r="M156" s="277">
        <f t="shared" si="44"/>
        <v>0</v>
      </c>
      <c r="N156" s="277">
        <f>SUMIF('BOA OUT (GST)'!$B$77:$M$77,RECO!$N$146,'BOA OUT (GST)'!B86:M86)</f>
        <v>0</v>
      </c>
      <c r="O156" s="277">
        <f>'3B OUTWARD'!G73</f>
        <v>0</v>
      </c>
      <c r="P156" s="277"/>
      <c r="Q156" s="277">
        <f t="shared" si="45"/>
        <v>0</v>
      </c>
    </row>
    <row r="157" spans="1:17" x14ac:dyDescent="0.3">
      <c r="A157" s="21">
        <f>DATE(INT(LEFT($B$3,4))+1,1,1)</f>
        <v>46023</v>
      </c>
      <c r="B157" s="277">
        <f>SUM('BOA OUT (AV)'!J216:K216)+SUM('BOA OUT (AV)'!J238:K238)</f>
        <v>0</v>
      </c>
      <c r="C157" s="277">
        <f>'3B OUTWARD'!D74</f>
        <v>0</v>
      </c>
      <c r="D157" s="277"/>
      <c r="E157" s="277">
        <f t="shared" si="42"/>
        <v>0</v>
      </c>
      <c r="F157" s="277">
        <f>SUMIF('BOA OUT (GST)'!$B$77:$M$77,RECO!$F$146,'BOA OUT (GST)'!B87:M87)</f>
        <v>0</v>
      </c>
      <c r="G157" s="277">
        <f>'3B OUTWARD'!E74</f>
        <v>0</v>
      </c>
      <c r="H157" s="277"/>
      <c r="I157" s="277">
        <f t="shared" si="43"/>
        <v>0</v>
      </c>
      <c r="J157" s="277">
        <f>SUMIF('BOA OUT (GST)'!$B$77:$M$77,RECO!$J$146,'BOA OUT (GST)'!B87:M87)</f>
        <v>0</v>
      </c>
      <c r="K157" s="277">
        <f>'3B OUTWARD'!F74</f>
        <v>0</v>
      </c>
      <c r="L157" s="277"/>
      <c r="M157" s="277">
        <f t="shared" si="44"/>
        <v>0</v>
      </c>
      <c r="N157" s="277">
        <f>SUMIF('BOA OUT (GST)'!$B$77:$M$77,RECO!$N$146,'BOA OUT (GST)'!B87:M87)</f>
        <v>0</v>
      </c>
      <c r="O157" s="277">
        <f>'3B OUTWARD'!G74</f>
        <v>0</v>
      </c>
      <c r="P157" s="277"/>
      <c r="Q157" s="277">
        <f t="shared" si="45"/>
        <v>0</v>
      </c>
    </row>
    <row r="158" spans="1:17" x14ac:dyDescent="0.3">
      <c r="A158" s="21">
        <f>DATE(INT(LEFT($B$3,4))+1,2,1)</f>
        <v>46054</v>
      </c>
      <c r="B158" s="277">
        <f>SUM('BOA OUT (AV)'!J217:K217)+SUM('BOA OUT (AV)'!J239:K239)</f>
        <v>0</v>
      </c>
      <c r="C158" s="277">
        <f>'3B OUTWARD'!D75</f>
        <v>0</v>
      </c>
      <c r="D158" s="277"/>
      <c r="E158" s="277">
        <f t="shared" si="42"/>
        <v>0</v>
      </c>
      <c r="F158" s="277">
        <f>SUMIF('BOA OUT (GST)'!$B$77:$M$77,RECO!$F$146,'BOA OUT (GST)'!B88:M88)</f>
        <v>0</v>
      </c>
      <c r="G158" s="277">
        <f>'3B OUTWARD'!E75</f>
        <v>0</v>
      </c>
      <c r="H158" s="277"/>
      <c r="I158" s="277">
        <f t="shared" si="43"/>
        <v>0</v>
      </c>
      <c r="J158" s="277">
        <f>SUMIF('BOA OUT (GST)'!$B$77:$M$77,RECO!$J$146,'BOA OUT (GST)'!B88:M88)</f>
        <v>0</v>
      </c>
      <c r="K158" s="277">
        <f>'3B OUTWARD'!F75</f>
        <v>0</v>
      </c>
      <c r="L158" s="277"/>
      <c r="M158" s="277">
        <f t="shared" si="44"/>
        <v>0</v>
      </c>
      <c r="N158" s="277">
        <f>SUMIF('BOA OUT (GST)'!$B$77:$M$77,RECO!$N$146,'BOA OUT (GST)'!B88:M88)</f>
        <v>0</v>
      </c>
      <c r="O158" s="277">
        <f>'3B OUTWARD'!G75</f>
        <v>0</v>
      </c>
      <c r="P158" s="277"/>
      <c r="Q158" s="277">
        <f t="shared" si="45"/>
        <v>0</v>
      </c>
    </row>
    <row r="159" spans="1:17" x14ac:dyDescent="0.3">
      <c r="A159" s="21">
        <f>DATE(INT(LEFT($B$3,4))+1,3,1)</f>
        <v>46082</v>
      </c>
      <c r="B159" s="277">
        <f>SUM('BOA OUT (AV)'!J218:K218)+SUM('BOA OUT (AV)'!J240:K240)</f>
        <v>0</v>
      </c>
      <c r="C159" s="277">
        <f>'3B OUTWARD'!D76</f>
        <v>0</v>
      </c>
      <c r="D159" s="277"/>
      <c r="E159" s="277">
        <f t="shared" si="42"/>
        <v>0</v>
      </c>
      <c r="F159" s="277">
        <f>SUMIF('BOA OUT (GST)'!$B$77:$M$77,RECO!$F$146,'BOA OUT (GST)'!B89:M89)</f>
        <v>0</v>
      </c>
      <c r="G159" s="277">
        <f>'3B OUTWARD'!E76</f>
        <v>0</v>
      </c>
      <c r="H159" s="277"/>
      <c r="I159" s="277">
        <f t="shared" si="43"/>
        <v>0</v>
      </c>
      <c r="J159" s="277">
        <f>SUMIF('BOA OUT (GST)'!$B$77:$M$77,RECO!$J$146,'BOA OUT (GST)'!B89:M89)</f>
        <v>0</v>
      </c>
      <c r="K159" s="277">
        <f>'3B OUTWARD'!F76</f>
        <v>0</v>
      </c>
      <c r="L159" s="277"/>
      <c r="M159" s="277">
        <f t="shared" si="44"/>
        <v>0</v>
      </c>
      <c r="N159" s="277">
        <f>SUMIF('BOA OUT (GST)'!$B$77:$M$77,RECO!$N$146,'BOA OUT (GST)'!B89:M89)</f>
        <v>0</v>
      </c>
      <c r="O159" s="277">
        <f>'3B OUTWARD'!G76</f>
        <v>0</v>
      </c>
      <c r="P159" s="277"/>
      <c r="Q159" s="277">
        <f t="shared" si="45"/>
        <v>0</v>
      </c>
    </row>
    <row r="160" spans="1:17" x14ac:dyDescent="0.3">
      <c r="A160" s="355"/>
      <c r="B160" s="371"/>
      <c r="C160" s="371"/>
      <c r="D160" s="371"/>
      <c r="E160" s="371"/>
      <c r="F160" s="371"/>
      <c r="G160" s="371"/>
      <c r="H160" s="371"/>
      <c r="I160" s="371"/>
      <c r="J160" s="371"/>
      <c r="K160" s="371"/>
      <c r="L160" s="371"/>
      <c r="M160" s="371"/>
      <c r="N160" s="371"/>
      <c r="O160" s="371"/>
      <c r="P160" s="371"/>
      <c r="Q160" s="371"/>
    </row>
    <row r="161" spans="1:21" ht="16.8" x14ac:dyDescent="0.3">
      <c r="A161" s="409" t="s">
        <v>91</v>
      </c>
      <c r="B161" s="342">
        <f>SUM(B148:B160)</f>
        <v>0</v>
      </c>
      <c r="C161" s="342">
        <f t="shared" ref="C161" si="46">SUM(C148:C160)</f>
        <v>0</v>
      </c>
      <c r="D161" s="342">
        <f t="shared" ref="D161:E161" si="47">SUM(D148:D160)</f>
        <v>0</v>
      </c>
      <c r="E161" s="342">
        <f t="shared" si="47"/>
        <v>0</v>
      </c>
      <c r="F161" s="342">
        <f t="shared" ref="F161" si="48">SUM(F148:F160)</f>
        <v>0</v>
      </c>
      <c r="G161" s="342">
        <f t="shared" ref="G161:I161" si="49">SUM(G148:G160)</f>
        <v>0</v>
      </c>
      <c r="H161" s="342">
        <f t="shared" si="49"/>
        <v>0</v>
      </c>
      <c r="I161" s="342">
        <f t="shared" si="49"/>
        <v>0</v>
      </c>
      <c r="J161" s="342">
        <f t="shared" ref="J161" si="50">SUM(J148:J160)</f>
        <v>0</v>
      </c>
      <c r="K161" s="342">
        <f t="shared" ref="K161:M161" si="51">SUM(K148:K160)</f>
        <v>0</v>
      </c>
      <c r="L161" s="342">
        <f t="shared" si="51"/>
        <v>0</v>
      </c>
      <c r="M161" s="342">
        <f t="shared" si="51"/>
        <v>0</v>
      </c>
      <c r="N161" s="342">
        <f t="shared" ref="N161" si="52">SUM(N148:N160)</f>
        <v>0</v>
      </c>
      <c r="O161" s="342">
        <f t="shared" ref="O161:Q161" si="53">SUM(O148:O160)</f>
        <v>0</v>
      </c>
      <c r="P161" s="342">
        <f t="shared" si="53"/>
        <v>0</v>
      </c>
      <c r="Q161" s="342">
        <f t="shared" si="53"/>
        <v>0</v>
      </c>
    </row>
    <row r="165" spans="1:21" ht="18" x14ac:dyDescent="0.35">
      <c r="A165" s="14" t="s">
        <v>453</v>
      </c>
    </row>
    <row r="167" spans="1:21" ht="20.100000000000001" customHeight="1" x14ac:dyDescent="0.3">
      <c r="A167" s="549" t="s">
        <v>82</v>
      </c>
      <c r="B167" s="539" t="s">
        <v>101</v>
      </c>
      <c r="C167" s="540"/>
      <c r="D167" s="540"/>
      <c r="E167" s="540"/>
      <c r="F167" s="557"/>
      <c r="G167" s="539" t="s">
        <v>105</v>
      </c>
      <c r="H167" s="540"/>
      <c r="I167" s="540"/>
      <c r="J167" s="540"/>
      <c r="K167" s="557"/>
      <c r="L167" s="539" t="s">
        <v>106</v>
      </c>
      <c r="M167" s="540"/>
      <c r="N167" s="540"/>
      <c r="O167" s="540"/>
      <c r="P167" s="557"/>
      <c r="Q167" s="539" t="s">
        <v>157</v>
      </c>
      <c r="R167" s="540"/>
      <c r="S167" s="540"/>
      <c r="T167" s="540"/>
      <c r="U167" s="541"/>
    </row>
    <row r="168" spans="1:21" ht="20.100000000000001" customHeight="1" x14ac:dyDescent="0.3">
      <c r="A168" s="527"/>
      <c r="B168" s="328" t="s">
        <v>454</v>
      </c>
      <c r="C168" s="328" t="s">
        <v>455</v>
      </c>
      <c r="D168" s="328" t="s">
        <v>558</v>
      </c>
      <c r="E168" s="328" t="s">
        <v>559</v>
      </c>
      <c r="F168" s="328" t="s">
        <v>456</v>
      </c>
      <c r="G168" s="328" t="s">
        <v>454</v>
      </c>
      <c r="H168" s="328" t="s">
        <v>455</v>
      </c>
      <c r="I168" s="328" t="s">
        <v>558</v>
      </c>
      <c r="J168" s="328" t="s">
        <v>559</v>
      </c>
      <c r="K168" s="328" t="s">
        <v>456</v>
      </c>
      <c r="L168" s="328" t="s">
        <v>454</v>
      </c>
      <c r="M168" s="328" t="s">
        <v>455</v>
      </c>
      <c r="N168" s="328" t="s">
        <v>558</v>
      </c>
      <c r="O168" s="328" t="s">
        <v>559</v>
      </c>
      <c r="P168" s="328" t="s">
        <v>456</v>
      </c>
      <c r="Q168" s="328" t="s">
        <v>454</v>
      </c>
      <c r="R168" s="328" t="s">
        <v>455</v>
      </c>
      <c r="S168" s="328" t="s">
        <v>558</v>
      </c>
      <c r="T168" s="328" t="s">
        <v>559</v>
      </c>
      <c r="U168" s="328" t="s">
        <v>456</v>
      </c>
    </row>
    <row r="169" spans="1:21" x14ac:dyDescent="0.3">
      <c r="A169" s="21">
        <f>DATE(INT(LEFT($B$3,4)),4,1)</f>
        <v>45748</v>
      </c>
      <c r="B169" s="277">
        <f>'BOA INWARD'!I11+'BOA INWARD'!I32+'BOA INWARD'!I53+'BOA INWARD'!I74+'BOA INWARD'!G96-'BOA INWARD'!I117</f>
        <v>0</v>
      </c>
      <c r="C169" s="277">
        <f>'3B INWARD'!B89</f>
        <v>0</v>
      </c>
      <c r="D169" s="277"/>
      <c r="E169" s="277"/>
      <c r="F169" s="277">
        <f>B169-C169-D169-E169</f>
        <v>0</v>
      </c>
      <c r="G169" s="277">
        <f>'BOA INWARD'!J11+'BOA INWARD'!J32+'BOA INWARD'!J53+'BOA INWARD'!J74+SUMIF('BOA INWARD'!$E$95:$P$95,"CGST",'BOA INWARD'!E96:P96)-SUMIF('BOA INWARD'!$I$116:$L$116,"CGST",'BOA INWARD'!I117:L117)</f>
        <v>0</v>
      </c>
      <c r="H169" s="277">
        <f>'3B INWARD'!C89</f>
        <v>0</v>
      </c>
      <c r="I169" s="277"/>
      <c r="J169" s="277"/>
      <c r="K169" s="277">
        <f>G169-H169-I169-J169</f>
        <v>0</v>
      </c>
      <c r="L169" s="277">
        <f>'BOA INWARD'!K11+'BOA INWARD'!K32+'BOA INWARD'!K53+'BOA INWARD'!K74+SUMIF('BOA INWARD'!$E$95:$P$95,"SGST",'BOA INWARD'!E96:P96)-SUMIF('BOA INWARD'!$I$116:$L$116,"SGST",'BOA INWARD'!I117:L117)</f>
        <v>0</v>
      </c>
      <c r="M169" s="277">
        <f>'3B INWARD'!D89</f>
        <v>0</v>
      </c>
      <c r="N169" s="277"/>
      <c r="O169" s="277"/>
      <c r="P169" s="277">
        <f>L169-M169-N169-O169</f>
        <v>0</v>
      </c>
      <c r="Q169" s="277">
        <f>'BOA INWARD'!L11+'BOA INWARD'!L32+'BOA INWARD'!L53+'BOA INWARD'!L74-SUMIF('BOA INWARD'!$I$116:$L$116,"CESS",'BOA INWARD'!I117:L117)</f>
        <v>0</v>
      </c>
      <c r="R169" s="277">
        <f>'3B INWARD'!E89</f>
        <v>0</v>
      </c>
      <c r="S169" s="277"/>
      <c r="T169" s="277"/>
      <c r="U169" s="277">
        <f>Q169-R169-S169-T169</f>
        <v>0</v>
      </c>
    </row>
    <row r="170" spans="1:21" x14ac:dyDescent="0.3">
      <c r="A170" s="21">
        <f>DATE(INT(LEFT($B$3,4)),5,1)</f>
        <v>45778</v>
      </c>
      <c r="B170" s="277">
        <f>'BOA INWARD'!I12+'BOA INWARD'!I33+'BOA INWARD'!I54+'BOA INWARD'!I75+'BOA INWARD'!G97-'BOA INWARD'!I118</f>
        <v>0</v>
      </c>
      <c r="C170" s="277">
        <f>'3B INWARD'!B90</f>
        <v>0</v>
      </c>
      <c r="D170" s="277"/>
      <c r="E170" s="277"/>
      <c r="F170" s="277">
        <f t="shared" ref="F170:F180" si="54">B170-C170-D170-E170</f>
        <v>0</v>
      </c>
      <c r="G170" s="277">
        <f>'BOA INWARD'!J12+'BOA INWARD'!J33+'BOA INWARD'!J54+'BOA INWARD'!J75+SUMIF('BOA INWARD'!$E$95:$P$95,"CGST",'BOA INWARD'!E97:P97)-SUMIF('BOA INWARD'!$I$116:$L$116,"CGST",'BOA INWARD'!I118:L118)</f>
        <v>0</v>
      </c>
      <c r="H170" s="277">
        <f>'3B INWARD'!C90</f>
        <v>0</v>
      </c>
      <c r="I170" s="277"/>
      <c r="J170" s="277"/>
      <c r="K170" s="277">
        <f t="shared" ref="K170:K180" si="55">G170-H170-I170-J170</f>
        <v>0</v>
      </c>
      <c r="L170" s="277">
        <f>'BOA INWARD'!K12+'BOA INWARD'!K33+'BOA INWARD'!K54+'BOA INWARD'!K75+SUMIF('BOA INWARD'!$E$95:$P$95,"SGST",'BOA INWARD'!E97:P97)-SUMIF('BOA INWARD'!$I$116:$L$116,"SGST",'BOA INWARD'!I118:L118)</f>
        <v>0</v>
      </c>
      <c r="M170" s="277">
        <f>'3B INWARD'!D90</f>
        <v>0</v>
      </c>
      <c r="N170" s="277"/>
      <c r="O170" s="277"/>
      <c r="P170" s="277">
        <f t="shared" ref="P170:P180" si="56">L170-M170-N170-O170</f>
        <v>0</v>
      </c>
      <c r="Q170" s="277">
        <f>'BOA INWARD'!L12+'BOA INWARD'!L33+'BOA INWARD'!L54+'BOA INWARD'!L75-SUMIF('BOA INWARD'!$I$116:$L$116,"CESS",'BOA INWARD'!I118:L118)</f>
        <v>0</v>
      </c>
      <c r="R170" s="277">
        <f>'3B INWARD'!E90</f>
        <v>0</v>
      </c>
      <c r="S170" s="277"/>
      <c r="T170" s="277"/>
      <c r="U170" s="277">
        <f t="shared" ref="U170:U180" si="57">Q170-R170-S170-T170</f>
        <v>0</v>
      </c>
    </row>
    <row r="171" spans="1:21" x14ac:dyDescent="0.3">
      <c r="A171" s="21">
        <f>DATE(INT(LEFT($B$3,4)),6,1)</f>
        <v>45809</v>
      </c>
      <c r="B171" s="277">
        <f>'BOA INWARD'!I13+'BOA INWARD'!I34+'BOA INWARD'!I55+'BOA INWARD'!I76+'BOA INWARD'!G98-'BOA INWARD'!I119</f>
        <v>0</v>
      </c>
      <c r="C171" s="277">
        <f>'3B INWARD'!B91</f>
        <v>0</v>
      </c>
      <c r="D171" s="277"/>
      <c r="E171" s="277"/>
      <c r="F171" s="277">
        <f t="shared" si="54"/>
        <v>0</v>
      </c>
      <c r="G171" s="277">
        <f>'BOA INWARD'!J13+'BOA INWARD'!J34+'BOA INWARD'!J55+'BOA INWARD'!J76+SUMIF('BOA INWARD'!$E$95:$P$95,"CGST",'BOA INWARD'!E98:P98)-SUMIF('BOA INWARD'!$I$116:$L$116,"CGST",'BOA INWARD'!I119:L119)</f>
        <v>0</v>
      </c>
      <c r="H171" s="277">
        <f>'3B INWARD'!C91</f>
        <v>0</v>
      </c>
      <c r="I171" s="277"/>
      <c r="J171" s="277"/>
      <c r="K171" s="277">
        <f t="shared" si="55"/>
        <v>0</v>
      </c>
      <c r="L171" s="277">
        <f>'BOA INWARD'!K13+'BOA INWARD'!K34+'BOA INWARD'!K55+'BOA INWARD'!K76+SUMIF('BOA INWARD'!$E$95:$P$95,"SGST",'BOA INWARD'!E98:P98)-SUMIF('BOA INWARD'!$I$116:$L$116,"SGST",'BOA INWARD'!I119:L119)</f>
        <v>0</v>
      </c>
      <c r="M171" s="277">
        <f>'3B INWARD'!D91</f>
        <v>0</v>
      </c>
      <c r="N171" s="277"/>
      <c r="O171" s="277"/>
      <c r="P171" s="277">
        <f t="shared" si="56"/>
        <v>0</v>
      </c>
      <c r="Q171" s="277">
        <f>'BOA INWARD'!L13+'BOA INWARD'!L34+'BOA INWARD'!L55+'BOA INWARD'!L76-SUMIF('BOA INWARD'!$I$116:$L$116,"CESS",'BOA INWARD'!I119:L119)</f>
        <v>0</v>
      </c>
      <c r="R171" s="277">
        <f>'3B INWARD'!E91</f>
        <v>0</v>
      </c>
      <c r="S171" s="277"/>
      <c r="T171" s="277"/>
      <c r="U171" s="277">
        <f t="shared" si="57"/>
        <v>0</v>
      </c>
    </row>
    <row r="172" spans="1:21" x14ac:dyDescent="0.3">
      <c r="A172" s="21">
        <f>DATE(INT(LEFT($B$3,4)),7,1)</f>
        <v>45839</v>
      </c>
      <c r="B172" s="277">
        <f>'BOA INWARD'!I14+'BOA INWARD'!I35+'BOA INWARD'!I56+'BOA INWARD'!I77+'BOA INWARD'!G99-'BOA INWARD'!I120</f>
        <v>0</v>
      </c>
      <c r="C172" s="277">
        <f>'3B INWARD'!B92</f>
        <v>0</v>
      </c>
      <c r="D172" s="277"/>
      <c r="E172" s="277"/>
      <c r="F172" s="277">
        <f t="shared" si="54"/>
        <v>0</v>
      </c>
      <c r="G172" s="277">
        <f>'BOA INWARD'!J14+'BOA INWARD'!J35+'BOA INWARD'!J56+'BOA INWARD'!J77+SUMIF('BOA INWARD'!$E$95:$P$95,"CGST",'BOA INWARD'!E99:P99)-SUMIF('BOA INWARD'!$I$116:$L$116,"CGST",'BOA INWARD'!I120:L120)</f>
        <v>0</v>
      </c>
      <c r="H172" s="277">
        <f>'3B INWARD'!C92</f>
        <v>0</v>
      </c>
      <c r="I172" s="277"/>
      <c r="J172" s="277"/>
      <c r="K172" s="277">
        <f t="shared" si="55"/>
        <v>0</v>
      </c>
      <c r="L172" s="277">
        <f>'BOA INWARD'!K14+'BOA INWARD'!K35+'BOA INWARD'!K56+'BOA INWARD'!K77+SUMIF('BOA INWARD'!$E$95:$P$95,"SGST",'BOA INWARD'!E99:P99)-SUMIF('BOA INWARD'!$I$116:$L$116,"SGST",'BOA INWARD'!I120:L120)</f>
        <v>0</v>
      </c>
      <c r="M172" s="277">
        <f>'3B INWARD'!D92</f>
        <v>0</v>
      </c>
      <c r="N172" s="277"/>
      <c r="O172" s="277"/>
      <c r="P172" s="277">
        <f t="shared" si="56"/>
        <v>0</v>
      </c>
      <c r="Q172" s="277">
        <f>'BOA INWARD'!L14+'BOA INWARD'!L35+'BOA INWARD'!L56+'BOA INWARD'!L77-SUMIF('BOA INWARD'!$I$116:$L$116,"CESS",'BOA INWARD'!I120:L120)</f>
        <v>0</v>
      </c>
      <c r="R172" s="277">
        <f>'3B INWARD'!E92</f>
        <v>0</v>
      </c>
      <c r="S172" s="277"/>
      <c r="T172" s="277"/>
      <c r="U172" s="277">
        <f t="shared" si="57"/>
        <v>0</v>
      </c>
    </row>
    <row r="173" spans="1:21" x14ac:dyDescent="0.3">
      <c r="A173" s="21">
        <f>DATE(INT(LEFT($B$3,4)),8,1)</f>
        <v>45870</v>
      </c>
      <c r="B173" s="277">
        <f>'BOA INWARD'!I15+'BOA INWARD'!I36+'BOA INWARD'!I57+'BOA INWARD'!I78+'BOA INWARD'!G100-'BOA INWARD'!I121</f>
        <v>0</v>
      </c>
      <c r="C173" s="277">
        <f>'3B INWARD'!B93</f>
        <v>0</v>
      </c>
      <c r="D173" s="277"/>
      <c r="E173" s="277"/>
      <c r="F173" s="277">
        <f t="shared" si="54"/>
        <v>0</v>
      </c>
      <c r="G173" s="277">
        <f>'BOA INWARD'!J15+'BOA INWARD'!J36+'BOA INWARD'!J57+'BOA INWARD'!J78+SUMIF('BOA INWARD'!$E$95:$P$95,"CGST",'BOA INWARD'!E100:P100)-SUMIF('BOA INWARD'!$I$116:$L$116,"CGST",'BOA INWARD'!I121:L121)</f>
        <v>0</v>
      </c>
      <c r="H173" s="277">
        <f>'3B INWARD'!C93</f>
        <v>0</v>
      </c>
      <c r="I173" s="277"/>
      <c r="J173" s="277"/>
      <c r="K173" s="277">
        <f t="shared" si="55"/>
        <v>0</v>
      </c>
      <c r="L173" s="277">
        <f>'BOA INWARD'!K15+'BOA INWARD'!K36+'BOA INWARD'!K57+'BOA INWARD'!K78+SUMIF('BOA INWARD'!$E$95:$P$95,"SGST",'BOA INWARD'!E100:P100)-SUMIF('BOA INWARD'!$I$116:$L$116,"SGST",'BOA INWARD'!I121:L121)</f>
        <v>0</v>
      </c>
      <c r="M173" s="277">
        <f>'3B INWARD'!D93</f>
        <v>0</v>
      </c>
      <c r="N173" s="277"/>
      <c r="O173" s="277"/>
      <c r="P173" s="277">
        <f t="shared" si="56"/>
        <v>0</v>
      </c>
      <c r="Q173" s="277">
        <f>'BOA INWARD'!L15+'BOA INWARD'!L36+'BOA INWARD'!L57+'BOA INWARD'!L78-SUMIF('BOA INWARD'!$I$116:$L$116,"CESS",'BOA INWARD'!I121:L121)</f>
        <v>0</v>
      </c>
      <c r="R173" s="277">
        <f>'3B INWARD'!E93</f>
        <v>0</v>
      </c>
      <c r="S173" s="277"/>
      <c r="T173" s="277"/>
      <c r="U173" s="277">
        <f t="shared" si="57"/>
        <v>0</v>
      </c>
    </row>
    <row r="174" spans="1:21" x14ac:dyDescent="0.3">
      <c r="A174" s="21">
        <f>DATE(INT(LEFT($B$3,4)),9,1)</f>
        <v>45901</v>
      </c>
      <c r="B174" s="277">
        <f>'BOA INWARD'!I16+'BOA INWARD'!I37+'BOA INWARD'!I58+'BOA INWARD'!I79+'BOA INWARD'!G101-'BOA INWARD'!I122</f>
        <v>0</v>
      </c>
      <c r="C174" s="277">
        <f>'3B INWARD'!B94</f>
        <v>0</v>
      </c>
      <c r="D174" s="277"/>
      <c r="E174" s="277"/>
      <c r="F174" s="277">
        <f t="shared" si="54"/>
        <v>0</v>
      </c>
      <c r="G174" s="277">
        <f>'BOA INWARD'!J16+'BOA INWARD'!J37+'BOA INWARD'!J58+'BOA INWARD'!J79+SUMIF('BOA INWARD'!$E$95:$P$95,"CGST",'BOA INWARD'!E101:P101)-SUMIF('BOA INWARD'!$I$116:$L$116,"CGST",'BOA INWARD'!I122:L122)</f>
        <v>0</v>
      </c>
      <c r="H174" s="277">
        <f>'3B INWARD'!C94</f>
        <v>0</v>
      </c>
      <c r="I174" s="277"/>
      <c r="J174" s="277"/>
      <c r="K174" s="277">
        <f t="shared" si="55"/>
        <v>0</v>
      </c>
      <c r="L174" s="277">
        <f>'BOA INWARD'!K16+'BOA INWARD'!K37+'BOA INWARD'!K58+'BOA INWARD'!K79+SUMIF('BOA INWARD'!$E$95:$P$95,"SGST",'BOA INWARD'!E101:P101)-SUMIF('BOA INWARD'!$I$116:$L$116,"SGST",'BOA INWARD'!I122:L122)</f>
        <v>0</v>
      </c>
      <c r="M174" s="277">
        <f>'3B INWARD'!D94</f>
        <v>0</v>
      </c>
      <c r="N174" s="277"/>
      <c r="O174" s="277"/>
      <c r="P174" s="277">
        <f t="shared" si="56"/>
        <v>0</v>
      </c>
      <c r="Q174" s="277">
        <f>'BOA INWARD'!L16+'BOA INWARD'!L37+'BOA INWARD'!L58+'BOA INWARD'!L79-SUMIF('BOA INWARD'!$I$116:$L$116,"CESS",'BOA INWARD'!I122:L122)</f>
        <v>0</v>
      </c>
      <c r="R174" s="277">
        <f>'3B INWARD'!E94</f>
        <v>0</v>
      </c>
      <c r="S174" s="277"/>
      <c r="T174" s="277"/>
      <c r="U174" s="277">
        <f t="shared" si="57"/>
        <v>0</v>
      </c>
    </row>
    <row r="175" spans="1:21" x14ac:dyDescent="0.3">
      <c r="A175" s="21">
        <f>DATE(INT(LEFT($B$3,4)),10,1)</f>
        <v>45931</v>
      </c>
      <c r="B175" s="277">
        <f>'BOA INWARD'!I17+'BOA INWARD'!I38+'BOA INWARD'!I59+'BOA INWARD'!I80+'BOA INWARD'!G102-'BOA INWARD'!I123</f>
        <v>0</v>
      </c>
      <c r="C175" s="277">
        <f>'3B INWARD'!B95</f>
        <v>0</v>
      </c>
      <c r="D175" s="277"/>
      <c r="E175" s="277"/>
      <c r="F175" s="277">
        <f t="shared" si="54"/>
        <v>0</v>
      </c>
      <c r="G175" s="277">
        <f>'BOA INWARD'!J17+'BOA INWARD'!J38+'BOA INWARD'!J59+'BOA INWARD'!J80+SUMIF('BOA INWARD'!$E$95:$P$95,"CGST",'BOA INWARD'!E102:P102)-SUMIF('BOA INWARD'!$I$116:$L$116,"CGST",'BOA INWARD'!I123:L123)</f>
        <v>0</v>
      </c>
      <c r="H175" s="277">
        <f>'3B INWARD'!C95</f>
        <v>0</v>
      </c>
      <c r="I175" s="277"/>
      <c r="J175" s="277"/>
      <c r="K175" s="277">
        <f t="shared" si="55"/>
        <v>0</v>
      </c>
      <c r="L175" s="277">
        <f>'BOA INWARD'!K17+'BOA INWARD'!K38+'BOA INWARD'!K59+'BOA INWARD'!K80+SUMIF('BOA INWARD'!$E$95:$P$95,"SGST",'BOA INWARD'!E102:P102)-SUMIF('BOA INWARD'!$I$116:$L$116,"SGST",'BOA INWARD'!I123:L123)</f>
        <v>0</v>
      </c>
      <c r="M175" s="277">
        <f>'3B INWARD'!D95</f>
        <v>0</v>
      </c>
      <c r="N175" s="277"/>
      <c r="O175" s="277"/>
      <c r="P175" s="277">
        <f t="shared" si="56"/>
        <v>0</v>
      </c>
      <c r="Q175" s="277">
        <f>'BOA INWARD'!L17+'BOA INWARD'!L38+'BOA INWARD'!L59+'BOA INWARD'!L80-SUMIF('BOA INWARD'!$I$116:$L$116,"CESS",'BOA INWARD'!I123:L123)</f>
        <v>0</v>
      </c>
      <c r="R175" s="277">
        <f>'3B INWARD'!E95</f>
        <v>0</v>
      </c>
      <c r="S175" s="277"/>
      <c r="T175" s="277"/>
      <c r="U175" s="277">
        <f t="shared" si="57"/>
        <v>0</v>
      </c>
    </row>
    <row r="176" spans="1:21" x14ac:dyDescent="0.3">
      <c r="A176" s="21">
        <f>DATE(INT(LEFT($B$3,4)),11,1)</f>
        <v>45962</v>
      </c>
      <c r="B176" s="277">
        <f>'BOA INWARD'!I18+'BOA INWARD'!I39+'BOA INWARD'!I60+'BOA INWARD'!I81+'BOA INWARD'!G103-'BOA INWARD'!I124</f>
        <v>0</v>
      </c>
      <c r="C176" s="277">
        <f>'3B INWARD'!B96</f>
        <v>0</v>
      </c>
      <c r="D176" s="277"/>
      <c r="E176" s="277"/>
      <c r="F176" s="277">
        <f t="shared" si="54"/>
        <v>0</v>
      </c>
      <c r="G176" s="277">
        <f>'BOA INWARD'!J18+'BOA INWARD'!J39+'BOA INWARD'!J60+'BOA INWARD'!J81+SUMIF('BOA INWARD'!$E$95:$P$95,"CGST",'BOA INWARD'!E103:P103)-SUMIF('BOA INWARD'!$I$116:$L$116,"CGST",'BOA INWARD'!I124:L124)</f>
        <v>0</v>
      </c>
      <c r="H176" s="277">
        <f>'3B INWARD'!C96</f>
        <v>0</v>
      </c>
      <c r="I176" s="277"/>
      <c r="J176" s="277"/>
      <c r="K176" s="277">
        <f t="shared" si="55"/>
        <v>0</v>
      </c>
      <c r="L176" s="277">
        <f>'BOA INWARD'!K18+'BOA INWARD'!K39+'BOA INWARD'!K60+'BOA INWARD'!K81+SUMIF('BOA INWARD'!$E$95:$P$95,"SGST",'BOA INWARD'!E103:P103)-SUMIF('BOA INWARD'!$I$116:$L$116,"SGST",'BOA INWARD'!I124:L124)</f>
        <v>0</v>
      </c>
      <c r="M176" s="277">
        <f>'3B INWARD'!D96</f>
        <v>0</v>
      </c>
      <c r="N176" s="277"/>
      <c r="O176" s="277"/>
      <c r="P176" s="277">
        <f t="shared" si="56"/>
        <v>0</v>
      </c>
      <c r="Q176" s="277">
        <f>'BOA INWARD'!L18+'BOA INWARD'!L39+'BOA INWARD'!L60+'BOA INWARD'!L81-SUMIF('BOA INWARD'!$I$116:$L$116,"CESS",'BOA INWARD'!I124:L124)</f>
        <v>0</v>
      </c>
      <c r="R176" s="277">
        <f>'3B INWARD'!E96</f>
        <v>0</v>
      </c>
      <c r="S176" s="277"/>
      <c r="T176" s="277"/>
      <c r="U176" s="277">
        <f t="shared" si="57"/>
        <v>0</v>
      </c>
    </row>
    <row r="177" spans="1:21" x14ac:dyDescent="0.3">
      <c r="A177" s="21">
        <f>DATE(INT(LEFT($B$3,4)),12,1)</f>
        <v>45992</v>
      </c>
      <c r="B177" s="277">
        <f>'BOA INWARD'!I19+'BOA INWARD'!I40+'BOA INWARD'!I61+'BOA INWARD'!I82+'BOA INWARD'!G104-'BOA INWARD'!I125</f>
        <v>0</v>
      </c>
      <c r="C177" s="277">
        <f>'3B INWARD'!B97</f>
        <v>0</v>
      </c>
      <c r="D177" s="277"/>
      <c r="E177" s="277"/>
      <c r="F177" s="277">
        <f t="shared" si="54"/>
        <v>0</v>
      </c>
      <c r="G177" s="277">
        <f>'BOA INWARD'!J19+'BOA INWARD'!J40+'BOA INWARD'!J61+'BOA INWARD'!J82+SUMIF('BOA INWARD'!$E$95:$P$95,"CGST",'BOA INWARD'!E104:P104)-SUMIF('BOA INWARD'!$I$116:$L$116,"CGST",'BOA INWARD'!I125:L125)</f>
        <v>0</v>
      </c>
      <c r="H177" s="277">
        <f>'3B INWARD'!C97</f>
        <v>0</v>
      </c>
      <c r="I177" s="277"/>
      <c r="J177" s="277"/>
      <c r="K177" s="277">
        <f t="shared" si="55"/>
        <v>0</v>
      </c>
      <c r="L177" s="277">
        <f>'BOA INWARD'!K19+'BOA INWARD'!K40+'BOA INWARD'!K61+'BOA INWARD'!K82+SUMIF('BOA INWARD'!$E$95:$P$95,"SGST",'BOA INWARD'!E104:P104)-SUMIF('BOA INWARD'!$I$116:$L$116,"SGST",'BOA INWARD'!I125:L125)</f>
        <v>0</v>
      </c>
      <c r="M177" s="277">
        <f>'3B INWARD'!D97</f>
        <v>0</v>
      </c>
      <c r="N177" s="277"/>
      <c r="O177" s="277"/>
      <c r="P177" s="277">
        <f t="shared" si="56"/>
        <v>0</v>
      </c>
      <c r="Q177" s="277">
        <f>'BOA INWARD'!L19+'BOA INWARD'!L40+'BOA INWARD'!L61+'BOA INWARD'!L82-SUMIF('BOA INWARD'!$I$116:$L$116,"CESS",'BOA INWARD'!I125:L125)</f>
        <v>0</v>
      </c>
      <c r="R177" s="277">
        <f>'3B INWARD'!E97</f>
        <v>0</v>
      </c>
      <c r="S177" s="277"/>
      <c r="T177" s="277"/>
      <c r="U177" s="277">
        <f t="shared" si="57"/>
        <v>0</v>
      </c>
    </row>
    <row r="178" spans="1:21" x14ac:dyDescent="0.3">
      <c r="A178" s="21">
        <f>DATE(INT(LEFT($B$3,4))+1,1,1)</f>
        <v>46023</v>
      </c>
      <c r="B178" s="277">
        <f>'BOA INWARD'!I20+'BOA INWARD'!I41+'BOA INWARD'!I62+'BOA INWARD'!I83+'BOA INWARD'!G105-'BOA INWARD'!I126</f>
        <v>0</v>
      </c>
      <c r="C178" s="277">
        <f>'3B INWARD'!B98</f>
        <v>0</v>
      </c>
      <c r="D178" s="277"/>
      <c r="E178" s="277"/>
      <c r="F178" s="277">
        <f t="shared" si="54"/>
        <v>0</v>
      </c>
      <c r="G178" s="277">
        <f>'BOA INWARD'!J20+'BOA INWARD'!J41+'BOA INWARD'!J62+'BOA INWARD'!J83+SUMIF('BOA INWARD'!$E$95:$P$95,"CGST",'BOA INWARD'!E105:P105)-SUMIF('BOA INWARD'!$I$116:$L$116,"CGST",'BOA INWARD'!I126:L126)</f>
        <v>0</v>
      </c>
      <c r="H178" s="277">
        <f>'3B INWARD'!C98</f>
        <v>0</v>
      </c>
      <c r="I178" s="277"/>
      <c r="J178" s="277"/>
      <c r="K178" s="277">
        <f t="shared" si="55"/>
        <v>0</v>
      </c>
      <c r="L178" s="277">
        <f>'BOA INWARD'!K20+'BOA INWARD'!K41+'BOA INWARD'!K62+'BOA INWARD'!K83+SUMIF('BOA INWARD'!$E$95:$P$95,"SGST",'BOA INWARD'!E105:P105)-SUMIF('BOA INWARD'!$I$116:$L$116,"SGST",'BOA INWARD'!I126:L126)</f>
        <v>0</v>
      </c>
      <c r="M178" s="277">
        <f>'3B INWARD'!D98</f>
        <v>0</v>
      </c>
      <c r="N178" s="277"/>
      <c r="O178" s="277"/>
      <c r="P178" s="277">
        <f t="shared" si="56"/>
        <v>0</v>
      </c>
      <c r="Q178" s="277">
        <f>'BOA INWARD'!L20+'BOA INWARD'!L41+'BOA INWARD'!L62+'BOA INWARD'!L83-SUMIF('BOA INWARD'!$I$116:$L$116,"CESS",'BOA INWARD'!I126:L126)</f>
        <v>0</v>
      </c>
      <c r="R178" s="277">
        <f>'3B INWARD'!E98</f>
        <v>0</v>
      </c>
      <c r="S178" s="277"/>
      <c r="T178" s="277"/>
      <c r="U178" s="277">
        <f t="shared" si="57"/>
        <v>0</v>
      </c>
    </row>
    <row r="179" spans="1:21" x14ac:dyDescent="0.3">
      <c r="A179" s="21">
        <f>DATE(INT(LEFT($B$3,4))+1,2,1)</f>
        <v>46054</v>
      </c>
      <c r="B179" s="277">
        <f>'BOA INWARD'!I21+'BOA INWARD'!I42+'BOA INWARD'!I63+'BOA INWARD'!I84+'BOA INWARD'!G106-'BOA INWARD'!I127</f>
        <v>0</v>
      </c>
      <c r="C179" s="277">
        <f>'3B INWARD'!B99</f>
        <v>0</v>
      </c>
      <c r="D179" s="277"/>
      <c r="E179" s="277"/>
      <c r="F179" s="277">
        <f t="shared" si="54"/>
        <v>0</v>
      </c>
      <c r="G179" s="277">
        <f>'BOA INWARD'!J21+'BOA INWARD'!J42+'BOA INWARD'!J63+'BOA INWARD'!J84+SUMIF('BOA INWARD'!$E$95:$P$95,"CGST",'BOA INWARD'!E106:P106)-SUMIF('BOA INWARD'!$I$116:$L$116,"CGST",'BOA INWARD'!I127:L127)</f>
        <v>0</v>
      </c>
      <c r="H179" s="277">
        <f>'3B INWARD'!C99</f>
        <v>0</v>
      </c>
      <c r="I179" s="277"/>
      <c r="J179" s="277"/>
      <c r="K179" s="277">
        <f t="shared" si="55"/>
        <v>0</v>
      </c>
      <c r="L179" s="277">
        <f>'BOA INWARD'!K21+'BOA INWARD'!K42+'BOA INWARD'!K63+'BOA INWARD'!K84+SUMIF('BOA INWARD'!$E$95:$P$95,"SGST",'BOA INWARD'!E106:P106)-SUMIF('BOA INWARD'!$I$116:$L$116,"SGST",'BOA INWARD'!I127:L127)</f>
        <v>0</v>
      </c>
      <c r="M179" s="277">
        <f>'3B INWARD'!D99</f>
        <v>0</v>
      </c>
      <c r="N179" s="277"/>
      <c r="O179" s="277"/>
      <c r="P179" s="277">
        <f t="shared" si="56"/>
        <v>0</v>
      </c>
      <c r="Q179" s="277">
        <f>'BOA INWARD'!L21+'BOA INWARD'!L42+'BOA INWARD'!L63+'BOA INWARD'!L84-SUMIF('BOA INWARD'!$I$116:$L$116,"CESS",'BOA INWARD'!I127:L127)</f>
        <v>0</v>
      </c>
      <c r="R179" s="277">
        <f>'3B INWARD'!E99</f>
        <v>0</v>
      </c>
      <c r="S179" s="277"/>
      <c r="T179" s="277"/>
      <c r="U179" s="277">
        <f t="shared" si="57"/>
        <v>0</v>
      </c>
    </row>
    <row r="180" spans="1:21" x14ac:dyDescent="0.3">
      <c r="A180" s="21">
        <f>DATE(INT(LEFT($B$3,4))+1,3,1)</f>
        <v>46082</v>
      </c>
      <c r="B180" s="277">
        <f>'BOA INWARD'!I22+'BOA INWARD'!I43+'BOA INWARD'!I64+'BOA INWARD'!I85+'BOA INWARD'!G107-'BOA INWARD'!I128</f>
        <v>0</v>
      </c>
      <c r="C180" s="277">
        <f>'3B INWARD'!B100</f>
        <v>0</v>
      </c>
      <c r="D180" s="277"/>
      <c r="E180" s="277"/>
      <c r="F180" s="277">
        <f t="shared" si="54"/>
        <v>0</v>
      </c>
      <c r="G180" s="277">
        <f>'BOA INWARD'!J22+'BOA INWARD'!J43+'BOA INWARD'!J64+'BOA INWARD'!J85+SUMIF('BOA INWARD'!$E$95:$P$95,"CGST",'BOA INWARD'!E107:P107)-SUMIF('BOA INWARD'!$I$116:$L$116,"CGST",'BOA INWARD'!I128:L128)</f>
        <v>0</v>
      </c>
      <c r="H180" s="277">
        <f>'3B INWARD'!C100</f>
        <v>0</v>
      </c>
      <c r="I180" s="277"/>
      <c r="J180" s="277"/>
      <c r="K180" s="277">
        <f t="shared" si="55"/>
        <v>0</v>
      </c>
      <c r="L180" s="277">
        <f>'BOA INWARD'!K22+'BOA INWARD'!K43+'BOA INWARD'!K64+'BOA INWARD'!K85+SUMIF('BOA INWARD'!$E$95:$P$95,"SGST",'BOA INWARD'!E107:P107)-SUMIF('BOA INWARD'!$I$116:$L$116,"SGST",'BOA INWARD'!I128:L128)</f>
        <v>0</v>
      </c>
      <c r="M180" s="277">
        <f>'3B INWARD'!D100</f>
        <v>0</v>
      </c>
      <c r="N180" s="277"/>
      <c r="O180" s="277"/>
      <c r="P180" s="277">
        <f t="shared" si="56"/>
        <v>0</v>
      </c>
      <c r="Q180" s="277">
        <f>'BOA INWARD'!L22+'BOA INWARD'!L43+'BOA INWARD'!L64+'BOA INWARD'!L85-SUMIF('BOA INWARD'!$I$116:$L$116,"CESS",'BOA INWARD'!I128:L128)</f>
        <v>0</v>
      </c>
      <c r="R180" s="277">
        <f>'3B INWARD'!E100</f>
        <v>0</v>
      </c>
      <c r="S180" s="277"/>
      <c r="T180" s="277"/>
      <c r="U180" s="277">
        <f t="shared" si="57"/>
        <v>0</v>
      </c>
    </row>
    <row r="181" spans="1:21" x14ac:dyDescent="0.3">
      <c r="A181" s="355"/>
      <c r="B181" s="371"/>
      <c r="C181" s="371"/>
      <c r="D181" s="371"/>
      <c r="E181" s="371"/>
      <c r="F181" s="371"/>
      <c r="G181" s="371"/>
      <c r="H181" s="371"/>
      <c r="I181" s="371"/>
      <c r="J181" s="371"/>
      <c r="K181" s="371"/>
      <c r="L181" s="371"/>
      <c r="M181" s="371"/>
      <c r="N181" s="371"/>
      <c r="O181" s="371"/>
      <c r="P181" s="371"/>
      <c r="Q181" s="371"/>
      <c r="R181" s="371"/>
      <c r="S181" s="371"/>
      <c r="T181" s="371"/>
      <c r="U181" s="371"/>
    </row>
    <row r="182" spans="1:21" ht="16.8" x14ac:dyDescent="0.3">
      <c r="A182" s="408" t="s">
        <v>91</v>
      </c>
      <c r="B182" s="342">
        <f>SUM(B169:B181)</f>
        <v>0</v>
      </c>
      <c r="C182" s="342">
        <f t="shared" ref="C182:R182" si="58">SUM(C169:C181)</f>
        <v>0</v>
      </c>
      <c r="D182" s="342">
        <f t="shared" si="58"/>
        <v>0</v>
      </c>
      <c r="E182" s="342">
        <f t="shared" si="58"/>
        <v>0</v>
      </c>
      <c r="F182" s="342">
        <f t="shared" si="58"/>
        <v>0</v>
      </c>
      <c r="G182" s="342">
        <f t="shared" si="58"/>
        <v>0</v>
      </c>
      <c r="H182" s="342">
        <f t="shared" si="58"/>
        <v>0</v>
      </c>
      <c r="I182" s="342">
        <f t="shared" ref="I182:K182" si="59">SUM(I169:I181)</f>
        <v>0</v>
      </c>
      <c r="J182" s="342">
        <f t="shared" si="59"/>
        <v>0</v>
      </c>
      <c r="K182" s="342">
        <f t="shared" si="59"/>
        <v>0</v>
      </c>
      <c r="L182" s="342">
        <f t="shared" si="58"/>
        <v>0</v>
      </c>
      <c r="M182" s="342">
        <f t="shared" si="58"/>
        <v>0</v>
      </c>
      <c r="N182" s="342">
        <f t="shared" ref="N182:P182" si="60">SUM(N169:N181)</f>
        <v>0</v>
      </c>
      <c r="O182" s="342">
        <f t="shared" si="60"/>
        <v>0</v>
      </c>
      <c r="P182" s="342">
        <f t="shared" si="60"/>
        <v>0</v>
      </c>
      <c r="Q182" s="342">
        <f t="shared" si="58"/>
        <v>0</v>
      </c>
      <c r="R182" s="342">
        <f t="shared" si="58"/>
        <v>0</v>
      </c>
      <c r="S182" s="342">
        <f t="shared" ref="S182:U182" si="61">SUM(S169:S181)</f>
        <v>0</v>
      </c>
      <c r="T182" s="342">
        <f t="shared" si="61"/>
        <v>0</v>
      </c>
      <c r="U182" s="342">
        <f t="shared" si="61"/>
        <v>0</v>
      </c>
    </row>
    <row r="186" spans="1:21" x14ac:dyDescent="0.3">
      <c r="J186" s="100"/>
    </row>
  </sheetData>
  <mergeCells count="55">
    <mergeCell ref="A54:A55"/>
    <mergeCell ref="B54:E54"/>
    <mergeCell ref="F54:I54"/>
    <mergeCell ref="J54:M54"/>
    <mergeCell ref="N54:Q54"/>
    <mergeCell ref="R54:T54"/>
    <mergeCell ref="I46:M46"/>
    <mergeCell ref="I48:M48"/>
    <mergeCell ref="I43:M43"/>
    <mergeCell ref="I44:M44"/>
    <mergeCell ref="I45:M45"/>
    <mergeCell ref="A167:A168"/>
    <mergeCell ref="Q167:U167"/>
    <mergeCell ref="L167:P167"/>
    <mergeCell ref="G167:K167"/>
    <mergeCell ref="B167:F167"/>
    <mergeCell ref="R100:T100"/>
    <mergeCell ref="R75:U75"/>
    <mergeCell ref="A146:A147"/>
    <mergeCell ref="B146:E146"/>
    <mergeCell ref="F146:I146"/>
    <mergeCell ref="J146:M146"/>
    <mergeCell ref="N146:Q146"/>
    <mergeCell ref="N75:Q75"/>
    <mergeCell ref="A125:A126"/>
    <mergeCell ref="B125:E125"/>
    <mergeCell ref="F125:I125"/>
    <mergeCell ref="J125:M125"/>
    <mergeCell ref="J75:M75"/>
    <mergeCell ref="A100:A101"/>
    <mergeCell ref="B100:E100"/>
    <mergeCell ref="F100:I100"/>
    <mergeCell ref="A75:A76"/>
    <mergeCell ref="B75:E75"/>
    <mergeCell ref="F75:I75"/>
    <mergeCell ref="I10:M10"/>
    <mergeCell ref="I11:M11"/>
    <mergeCell ref="I12:M12"/>
    <mergeCell ref="I13:M13"/>
    <mergeCell ref="I14:M14"/>
    <mergeCell ref="I15:M15"/>
    <mergeCell ref="I16:M16"/>
    <mergeCell ref="I17:M17"/>
    <mergeCell ref="I18:M18"/>
    <mergeCell ref="I29:M29"/>
    <mergeCell ref="I30:M30"/>
    <mergeCell ref="I32:M32"/>
    <mergeCell ref="I33:M33"/>
    <mergeCell ref="I27:M27"/>
    <mergeCell ref="I28:M28"/>
    <mergeCell ref="J100:M100"/>
    <mergeCell ref="N100:Q100"/>
    <mergeCell ref="B3:C3"/>
    <mergeCell ref="B4:C4"/>
    <mergeCell ref="I34:M34"/>
  </mergeCells>
  <pageMargins left="0.7" right="0.7" top="0.75" bottom="0.75" header="0.3" footer="0.3"/>
  <pageSetup paperSize="9" orientation="portrait" r:id="rId1"/>
  <ignoredErrors>
    <ignoredError sqref="C92:C93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C45"/>
  <sheetViews>
    <sheetView showGridLines="0" zoomScale="95" zoomScaleNormal="95" workbookViewId="0">
      <selection activeCell="O24" sqref="O24"/>
    </sheetView>
  </sheetViews>
  <sheetFormatPr defaultRowHeight="14.4" x14ac:dyDescent="0.3"/>
  <cols>
    <col min="1" max="1" width="21.109375" bestFit="1" customWidth="1"/>
    <col min="2" max="2" width="17.33203125" customWidth="1"/>
    <col min="3" max="3" width="15.33203125" bestFit="1" customWidth="1"/>
    <col min="4" max="4" width="17.109375" customWidth="1"/>
    <col min="5" max="5" width="20.5546875" customWidth="1"/>
    <col min="6" max="6" width="17.33203125" customWidth="1"/>
    <col min="7" max="7" width="14.5546875" customWidth="1"/>
    <col min="8" max="8" width="18.6640625" customWidth="1"/>
    <col min="9" max="9" width="18.109375" customWidth="1"/>
    <col min="10" max="11" width="16.33203125" customWidth="1"/>
    <col min="12" max="12" width="20.5546875" customWidth="1"/>
    <col min="13" max="13" width="16.33203125" bestFit="1" customWidth="1"/>
    <col min="14" max="14" width="16" bestFit="1" customWidth="1"/>
    <col min="15" max="15" width="18.6640625" customWidth="1"/>
    <col min="16" max="16" width="15.33203125" customWidth="1"/>
    <col min="17" max="18" width="16.33203125" customWidth="1"/>
    <col min="19" max="19" width="20.5546875" customWidth="1"/>
    <col min="20" max="20" width="17" customWidth="1"/>
    <col min="21" max="21" width="14.5546875" customWidth="1"/>
    <col min="22" max="22" width="17.33203125" customWidth="1"/>
    <col min="23" max="25" width="15.33203125" customWidth="1"/>
    <col min="26" max="26" width="20.5546875" customWidth="1"/>
    <col min="27" max="27" width="15" customWidth="1"/>
    <col min="28" max="28" width="14.5546875" customWidth="1"/>
    <col min="29" max="29" width="17.33203125" customWidth="1"/>
  </cols>
  <sheetData>
    <row r="1" spans="1:29" ht="3" customHeight="1" x14ac:dyDescent="0.3"/>
    <row r="2" spans="1:29" ht="17.399999999999999" x14ac:dyDescent="0.35">
      <c r="A2" s="311" t="s">
        <v>0</v>
      </c>
      <c r="B2" s="353">
        <f>'PREL INFO'!C2</f>
        <v>0</v>
      </c>
      <c r="C2" s="353"/>
      <c r="D2" s="47"/>
    </row>
    <row r="3" spans="1:29" ht="17.399999999999999" x14ac:dyDescent="0.35">
      <c r="A3" s="312" t="s">
        <v>9</v>
      </c>
      <c r="B3" s="519" t="str">
        <f>'PREL INFO'!C15</f>
        <v>2025-26</v>
      </c>
      <c r="C3" s="519"/>
      <c r="D3" s="48"/>
    </row>
    <row r="4" spans="1:29" ht="17.399999999999999" x14ac:dyDescent="0.35">
      <c r="A4" s="313" t="s">
        <v>78</v>
      </c>
      <c r="B4" s="521" t="s">
        <v>465</v>
      </c>
      <c r="C4" s="521"/>
      <c r="D4" s="49"/>
    </row>
    <row r="7" spans="1:29" ht="18" x14ac:dyDescent="0.35">
      <c r="A7" s="14" t="s">
        <v>466</v>
      </c>
    </row>
    <row r="9" spans="1:29" s="220" customFormat="1" ht="20.100000000000001" customHeight="1" x14ac:dyDescent="0.3">
      <c r="A9" s="562" t="s">
        <v>82</v>
      </c>
      <c r="B9" s="539" t="s">
        <v>101</v>
      </c>
      <c r="C9" s="540"/>
      <c r="D9" s="540"/>
      <c r="E9" s="540"/>
      <c r="F9" s="540"/>
      <c r="G9" s="540"/>
      <c r="H9" s="557"/>
      <c r="I9" s="539" t="s">
        <v>105</v>
      </c>
      <c r="J9" s="540"/>
      <c r="K9" s="540"/>
      <c r="L9" s="540"/>
      <c r="M9" s="540"/>
      <c r="N9" s="540"/>
      <c r="O9" s="557"/>
      <c r="P9" s="539" t="s">
        <v>106</v>
      </c>
      <c r="Q9" s="540"/>
      <c r="R9" s="540"/>
      <c r="S9" s="540"/>
      <c r="T9" s="540"/>
      <c r="U9" s="540"/>
      <c r="V9" s="557"/>
      <c r="W9" s="539" t="s">
        <v>90</v>
      </c>
      <c r="X9" s="540"/>
      <c r="Y9" s="540"/>
      <c r="Z9" s="540"/>
      <c r="AA9" s="540"/>
      <c r="AB9" s="540"/>
      <c r="AC9" s="541"/>
    </row>
    <row r="10" spans="1:29" s="220" customFormat="1" ht="28.8" x14ac:dyDescent="0.3">
      <c r="A10" s="516"/>
      <c r="B10" s="410" t="s">
        <v>458</v>
      </c>
      <c r="C10" s="410" t="s">
        <v>459</v>
      </c>
      <c r="D10" s="410" t="s">
        <v>460</v>
      </c>
      <c r="E10" s="410" t="s">
        <v>461</v>
      </c>
      <c r="F10" s="322" t="s">
        <v>462</v>
      </c>
      <c r="G10" s="322" t="s">
        <v>463</v>
      </c>
      <c r="H10" s="322" t="s">
        <v>464</v>
      </c>
      <c r="I10" s="410" t="s">
        <v>458</v>
      </c>
      <c r="J10" s="410" t="s">
        <v>459</v>
      </c>
      <c r="K10" s="410" t="s">
        <v>460</v>
      </c>
      <c r="L10" s="410" t="s">
        <v>461</v>
      </c>
      <c r="M10" s="322" t="s">
        <v>462</v>
      </c>
      <c r="N10" s="322" t="s">
        <v>463</v>
      </c>
      <c r="O10" s="322" t="s">
        <v>464</v>
      </c>
      <c r="P10" s="410" t="s">
        <v>458</v>
      </c>
      <c r="Q10" s="410" t="s">
        <v>459</v>
      </c>
      <c r="R10" s="410" t="s">
        <v>460</v>
      </c>
      <c r="S10" s="410" t="s">
        <v>461</v>
      </c>
      <c r="T10" s="322" t="s">
        <v>462</v>
      </c>
      <c r="U10" s="322" t="s">
        <v>463</v>
      </c>
      <c r="V10" s="322" t="s">
        <v>464</v>
      </c>
      <c r="W10" s="410" t="s">
        <v>458</v>
      </c>
      <c r="X10" s="410" t="s">
        <v>459</v>
      </c>
      <c r="Y10" s="410" t="s">
        <v>460</v>
      </c>
      <c r="Z10" s="410" t="s">
        <v>461</v>
      </c>
      <c r="AA10" s="322" t="s">
        <v>462</v>
      </c>
      <c r="AB10" s="322" t="s">
        <v>463</v>
      </c>
      <c r="AC10" s="359" t="s">
        <v>464</v>
      </c>
    </row>
    <row r="11" spans="1:29" x14ac:dyDescent="0.3">
      <c r="A11" s="21">
        <f>DATE(INT(LEFT($B$3,4)),4,1)</f>
        <v>45748</v>
      </c>
      <c r="B11" s="254"/>
      <c r="C11" s="256">
        <f>'3B INWARD'!B11</f>
        <v>0</v>
      </c>
      <c r="D11" s="256">
        <f>'3B OUTWARD'!C31+'3B OUTWARD'!E65</f>
        <v>0</v>
      </c>
      <c r="E11" s="256">
        <f>'3B INWARD'!B128</f>
        <v>0</v>
      </c>
      <c r="F11" s="80">
        <f>'3B INWARD'!C190+'3B INWARD'!D190-'3B INWARD'!B191-'3B INWARD'!B192</f>
        <v>-18251948</v>
      </c>
      <c r="G11" s="80">
        <f>'3B INWARD'!E190</f>
        <v>1117014</v>
      </c>
      <c r="H11" s="80">
        <f>IF(B11&lt;0,((D11-C11)-F11)-G11,((D11-(B11+C11)-F11)-G11))</f>
        <v>17134934</v>
      </c>
      <c r="I11" s="255"/>
      <c r="J11" s="257">
        <f>'3B INWARD'!C11</f>
        <v>0</v>
      </c>
      <c r="K11" s="257">
        <f>'3B OUTWARD'!D31+'3B OUTWARD'!F65</f>
        <v>0</v>
      </c>
      <c r="L11" s="257">
        <f>'3B INWARD'!C128</f>
        <v>0</v>
      </c>
      <c r="M11" s="79">
        <f>'3B INWARD'!B191-'3B INWARD'!C190</f>
        <v>9125974</v>
      </c>
      <c r="N11" s="79">
        <f>'3B INWARD'!F190</f>
        <v>157796</v>
      </c>
      <c r="O11" s="79">
        <f>IF(I11&lt;0,((K11-J11)-M11)-N11,((K11-(I11+J11)-M11)-N11))</f>
        <v>-9283770</v>
      </c>
      <c r="P11" s="254"/>
      <c r="Q11" s="256">
        <f>'3B INWARD'!D11</f>
        <v>0</v>
      </c>
      <c r="R11" s="256">
        <f>'3B OUTWARD'!E31+'3B OUTWARD'!G65</f>
        <v>0</v>
      </c>
      <c r="S11" s="256">
        <f>'3B INWARD'!D128</f>
        <v>0</v>
      </c>
      <c r="T11" s="80">
        <f>'3B INWARD'!B192-'3B INWARD'!D190</f>
        <v>9125974</v>
      </c>
      <c r="U11" s="80">
        <f>'3B INWARD'!G190</f>
        <v>157796</v>
      </c>
      <c r="V11" s="80">
        <f>IF(P11&lt;0,((R11-Q11)-T11)-U11,((R11-(P11+Q11))-T11)-U11)</f>
        <v>-9283770</v>
      </c>
      <c r="W11" s="255"/>
      <c r="X11" s="257">
        <f>'3B INWARD'!E11</f>
        <v>0</v>
      </c>
      <c r="Y11" s="257">
        <f>'3B OUTWARD'!F31</f>
        <v>0</v>
      </c>
      <c r="Z11" s="257">
        <f>'3B INWARD'!E128</f>
        <v>0</v>
      </c>
      <c r="AA11" s="79">
        <v>0</v>
      </c>
      <c r="AB11" s="79">
        <f>'3B INWARD'!H190</f>
        <v>0</v>
      </c>
      <c r="AC11" s="79">
        <f>IF(W11&lt;0,((Y11-X11)-AA11)-AB11,((Y11-(W11+X11))-AA11)-AB11)</f>
        <v>0</v>
      </c>
    </row>
    <row r="12" spans="1:29" x14ac:dyDescent="0.3">
      <c r="A12" s="21">
        <f>DATE(INT(LEFT($B$3,4)),5,1)</f>
        <v>45778</v>
      </c>
      <c r="B12" s="256">
        <f>-H11</f>
        <v>-17134934</v>
      </c>
      <c r="C12" s="256">
        <f>'3B INWARD'!B12</f>
        <v>0</v>
      </c>
      <c r="D12" s="256">
        <f>'3B OUTWARD'!C32+'3B OUTWARD'!E66</f>
        <v>0</v>
      </c>
      <c r="E12" s="256">
        <f>'3B INWARD'!B129</f>
        <v>0</v>
      </c>
      <c r="F12" s="80">
        <f>'3B INWARD'!C195+'3B INWARD'!D195-'3B INWARD'!B196-'3B INWARD'!B197</f>
        <v>-23322060</v>
      </c>
      <c r="G12" s="80">
        <f>'3B INWARD'!E195</f>
        <v>2173347</v>
      </c>
      <c r="H12" s="80">
        <f t="shared" ref="H12:H22" si="0">IF(B12&lt;0,((D12-C12)-F12)-G12,((D12-(B12+C12)-F12)-G12))</f>
        <v>21148713</v>
      </c>
      <c r="I12" s="257">
        <f>-O11</f>
        <v>9283770</v>
      </c>
      <c r="J12" s="257">
        <f>'3B INWARD'!C12</f>
        <v>0</v>
      </c>
      <c r="K12" s="257">
        <f>'3B OUTWARD'!D32+'3B OUTWARD'!F66</f>
        <v>0</v>
      </c>
      <c r="L12" s="257">
        <f>'3B INWARD'!C129</f>
        <v>0</v>
      </c>
      <c r="M12" s="79">
        <f>'3B INWARD'!B196-'3B INWARD'!C195</f>
        <v>11661030</v>
      </c>
      <c r="N12" s="79">
        <f>'3B INWARD'!F195</f>
        <v>44494</v>
      </c>
      <c r="O12" s="79">
        <f t="shared" ref="O12:O22" si="1">IF(I12&lt;0,((K12-J12)-M12)-N12,((K12-(I12+J12)-M12)-N12))</f>
        <v>-20989294</v>
      </c>
      <c r="P12" s="256">
        <f>-V11</f>
        <v>9283770</v>
      </c>
      <c r="Q12" s="256">
        <f>'3B INWARD'!D12</f>
        <v>0</v>
      </c>
      <c r="R12" s="256">
        <f>'3B OUTWARD'!E32+'3B OUTWARD'!G66</f>
        <v>0</v>
      </c>
      <c r="S12" s="256">
        <f>'3B INWARD'!D129</f>
        <v>0</v>
      </c>
      <c r="T12" s="80">
        <f>'3B INWARD'!B197-'3B INWARD'!D195</f>
        <v>11661030</v>
      </c>
      <c r="U12" s="80">
        <f>'3B INWARD'!G195</f>
        <v>44494</v>
      </c>
      <c r="V12" s="80">
        <f t="shared" ref="V12:V22" si="2">IF(P12&lt;0,((R12-Q12)-T12)-U12,((R12-(P12+Q12))-T12)-U12)</f>
        <v>-20989294</v>
      </c>
      <c r="W12" s="257">
        <f>-AC11</f>
        <v>0</v>
      </c>
      <c r="X12" s="257">
        <f>'3B INWARD'!E12</f>
        <v>0</v>
      </c>
      <c r="Y12" s="257">
        <f>'3B OUTWARD'!F32</f>
        <v>0</v>
      </c>
      <c r="Z12" s="257">
        <f>'3B INWARD'!E129</f>
        <v>0</v>
      </c>
      <c r="AA12" s="79">
        <v>0</v>
      </c>
      <c r="AB12" s="79">
        <f>'3B INWARD'!H195</f>
        <v>16768</v>
      </c>
      <c r="AC12" s="79">
        <f t="shared" ref="AC12:AC22" si="3">IF(W12&lt;0,((Y12-X12)-AA12)-AB12,((Y12-(W12+X12))-AA12)-AB12)</f>
        <v>-16768</v>
      </c>
    </row>
    <row r="13" spans="1:29" x14ac:dyDescent="0.3">
      <c r="A13" s="21">
        <f>DATE(INT(LEFT($B$3,4)),6,1)</f>
        <v>45809</v>
      </c>
      <c r="B13" s="256">
        <f t="shared" ref="B13:B22" si="4">-H12</f>
        <v>-21148713</v>
      </c>
      <c r="C13" s="256">
        <f>'3B INWARD'!B13</f>
        <v>0</v>
      </c>
      <c r="D13" s="256">
        <f>'3B OUTWARD'!C33+'3B OUTWARD'!E67</f>
        <v>0</v>
      </c>
      <c r="E13" s="256">
        <f>'3B INWARD'!B130</f>
        <v>0</v>
      </c>
      <c r="F13" s="80">
        <f>'3B INWARD'!C200+'3B INWARD'!D200-'3B INWARD'!B201-'3B INWARD'!B202</f>
        <v>-4841234</v>
      </c>
      <c r="G13" s="80">
        <f>'3B INWARD'!E200</f>
        <v>1490752</v>
      </c>
      <c r="H13" s="80">
        <f t="shared" si="0"/>
        <v>3350482</v>
      </c>
      <c r="I13" s="257">
        <f t="shared" ref="I13:I22" si="5">-O12</f>
        <v>20989294</v>
      </c>
      <c r="J13" s="257">
        <f>'3B INWARD'!C13</f>
        <v>0</v>
      </c>
      <c r="K13" s="257">
        <f>'3B OUTWARD'!D33+'3B OUTWARD'!F67</f>
        <v>0</v>
      </c>
      <c r="L13" s="257">
        <f>'3B INWARD'!C130</f>
        <v>0</v>
      </c>
      <c r="M13" s="79">
        <f>'3B INWARD'!B201-'3B INWARD'!C200</f>
        <v>2420617</v>
      </c>
      <c r="N13" s="79">
        <f>'3B INWARD'!F200</f>
        <v>3175</v>
      </c>
      <c r="O13" s="79">
        <f t="shared" si="1"/>
        <v>-23413086</v>
      </c>
      <c r="P13" s="256">
        <f t="shared" ref="P13:P22" si="6">-V12</f>
        <v>20989294</v>
      </c>
      <c r="Q13" s="256">
        <f>'3B INWARD'!D13</f>
        <v>0</v>
      </c>
      <c r="R13" s="256">
        <f>'3B OUTWARD'!E33+'3B OUTWARD'!G67</f>
        <v>0</v>
      </c>
      <c r="S13" s="256">
        <f>'3B INWARD'!D130</f>
        <v>0</v>
      </c>
      <c r="T13" s="80">
        <f>'3B INWARD'!B202-'3B INWARD'!D200</f>
        <v>2420617</v>
      </c>
      <c r="U13" s="80">
        <f>'3B INWARD'!G200</f>
        <v>3175</v>
      </c>
      <c r="V13" s="80">
        <f t="shared" si="2"/>
        <v>-23413086</v>
      </c>
      <c r="W13" s="257">
        <f t="shared" ref="W13:W22" si="7">-AC12</f>
        <v>16768</v>
      </c>
      <c r="X13" s="257">
        <f>'3B INWARD'!E13</f>
        <v>0</v>
      </c>
      <c r="Y13" s="257">
        <f>'3B OUTWARD'!F33</f>
        <v>0</v>
      </c>
      <c r="Z13" s="257">
        <f>'3B INWARD'!E130</f>
        <v>0</v>
      </c>
      <c r="AA13" s="79">
        <v>0</v>
      </c>
      <c r="AB13" s="79">
        <f>'3B INWARD'!H200</f>
        <v>0</v>
      </c>
      <c r="AC13" s="79">
        <f t="shared" si="3"/>
        <v>-16768</v>
      </c>
    </row>
    <row r="14" spans="1:29" x14ac:dyDescent="0.3">
      <c r="A14" s="21">
        <f>DATE(INT(LEFT($B$3,4)),7,1)</f>
        <v>45839</v>
      </c>
      <c r="B14" s="256">
        <f t="shared" si="4"/>
        <v>-3350482</v>
      </c>
      <c r="C14" s="256">
        <f>'3B INWARD'!B14</f>
        <v>0</v>
      </c>
      <c r="D14" s="256">
        <f>'3B OUTWARD'!C34+'3B OUTWARD'!E68</f>
        <v>0</v>
      </c>
      <c r="E14" s="256">
        <f>'3B INWARD'!B131</f>
        <v>0</v>
      </c>
      <c r="F14" s="80">
        <f>'3B INWARD'!C205+'3B INWARD'!D205-'3B INWARD'!B206-'3B INWARD'!B207</f>
        <v>-3191819</v>
      </c>
      <c r="G14" s="80">
        <f>'3B INWARD'!E205</f>
        <v>0</v>
      </c>
      <c r="H14" s="80">
        <f t="shared" si="0"/>
        <v>3191819</v>
      </c>
      <c r="I14" s="257">
        <f t="shared" si="5"/>
        <v>23413086</v>
      </c>
      <c r="J14" s="257">
        <f>'3B INWARD'!C14</f>
        <v>0</v>
      </c>
      <c r="K14" s="257">
        <f>'3B OUTWARD'!D34+'3B OUTWARD'!F68</f>
        <v>0</v>
      </c>
      <c r="L14" s="257">
        <f>'3B INWARD'!C131</f>
        <v>0</v>
      </c>
      <c r="M14" s="79">
        <f>'3B INWARD'!B206-'3B INWARD'!C205</f>
        <v>1645904</v>
      </c>
      <c r="N14" s="79">
        <f>'3B INWARD'!F205</f>
        <v>4050</v>
      </c>
      <c r="O14" s="79">
        <f t="shared" si="1"/>
        <v>-25063040</v>
      </c>
      <c r="P14" s="256">
        <f t="shared" si="6"/>
        <v>23413086</v>
      </c>
      <c r="Q14" s="256">
        <f>'3B INWARD'!D14</f>
        <v>0</v>
      </c>
      <c r="R14" s="256">
        <f>'3B OUTWARD'!E34+'3B OUTWARD'!G68</f>
        <v>0</v>
      </c>
      <c r="S14" s="256">
        <f>'3B INWARD'!D131</f>
        <v>0</v>
      </c>
      <c r="T14" s="80">
        <f>'3B INWARD'!B207-'3B INWARD'!D205</f>
        <v>1545915</v>
      </c>
      <c r="U14" s="80">
        <f>'3B INWARD'!G205</f>
        <v>4050</v>
      </c>
      <c r="V14" s="80">
        <f t="shared" si="2"/>
        <v>-24963051</v>
      </c>
      <c r="W14" s="257">
        <f t="shared" si="7"/>
        <v>16768</v>
      </c>
      <c r="X14" s="257">
        <f>'3B INWARD'!E14</f>
        <v>0</v>
      </c>
      <c r="Y14" s="257">
        <f>'3B OUTWARD'!F34</f>
        <v>0</v>
      </c>
      <c r="Z14" s="257">
        <f>'3B INWARD'!E131</f>
        <v>0</v>
      </c>
      <c r="AA14" s="79">
        <v>0</v>
      </c>
      <c r="AB14" s="79">
        <f>'3B INWARD'!H205</f>
        <v>0</v>
      </c>
      <c r="AC14" s="79">
        <f t="shared" si="3"/>
        <v>-16768</v>
      </c>
    </row>
    <row r="15" spans="1:29" x14ac:dyDescent="0.3">
      <c r="A15" s="21">
        <f>DATE(INT(LEFT($B$3,4)),8,1)</f>
        <v>45870</v>
      </c>
      <c r="B15" s="256">
        <f t="shared" si="4"/>
        <v>-3191819</v>
      </c>
      <c r="C15" s="256">
        <f>'3B INWARD'!B15</f>
        <v>0</v>
      </c>
      <c r="D15" s="256">
        <f>'3B OUTWARD'!C35+'3B OUTWARD'!E69</f>
        <v>0</v>
      </c>
      <c r="E15" s="256">
        <f>'3B INWARD'!B132</f>
        <v>0</v>
      </c>
      <c r="F15" s="80">
        <f>'3B INWARD'!C210+'3B INWARD'!D210-'3B INWARD'!B211-'3B INWARD'!B212</f>
        <v>-5921219</v>
      </c>
      <c r="G15" s="80">
        <f>'3B INWARD'!E210</f>
        <v>0</v>
      </c>
      <c r="H15" s="80">
        <f t="shared" si="0"/>
        <v>5921219</v>
      </c>
      <c r="I15" s="257">
        <f t="shared" si="5"/>
        <v>25063040</v>
      </c>
      <c r="J15" s="257">
        <f>'3B INWARD'!C15</f>
        <v>0</v>
      </c>
      <c r="K15" s="257">
        <f>'3B OUTWARD'!D35+'3B OUTWARD'!F69</f>
        <v>0</v>
      </c>
      <c r="L15" s="257">
        <f>'3B INWARD'!C132</f>
        <v>0</v>
      </c>
      <c r="M15" s="79">
        <f>'3B INWARD'!B211-'3B INWARD'!C210</f>
        <v>2949360</v>
      </c>
      <c r="N15" s="79">
        <f>'3B INWARD'!F210</f>
        <v>0</v>
      </c>
      <c r="O15" s="79">
        <f t="shared" si="1"/>
        <v>-28012400</v>
      </c>
      <c r="P15" s="256">
        <f t="shared" si="6"/>
        <v>24963051</v>
      </c>
      <c r="Q15" s="256">
        <f>'3B INWARD'!D15</f>
        <v>0</v>
      </c>
      <c r="R15" s="256">
        <f>'3B OUTWARD'!E35+'3B OUTWARD'!G69</f>
        <v>0</v>
      </c>
      <c r="S15" s="256">
        <f>'3B INWARD'!D132</f>
        <v>0</v>
      </c>
      <c r="T15" s="80">
        <f>'3B INWARD'!B212-'3B INWARD'!D210</f>
        <v>2971859</v>
      </c>
      <c r="U15" s="80">
        <f>'3B INWARD'!G210</f>
        <v>0</v>
      </c>
      <c r="V15" s="80">
        <f t="shared" si="2"/>
        <v>-27934910</v>
      </c>
      <c r="W15" s="257">
        <f t="shared" si="7"/>
        <v>16768</v>
      </c>
      <c r="X15" s="257">
        <f>'3B INWARD'!E15</f>
        <v>0</v>
      </c>
      <c r="Y15" s="257">
        <f>'3B OUTWARD'!F35</f>
        <v>0</v>
      </c>
      <c r="Z15" s="257">
        <f>'3B INWARD'!E132</f>
        <v>0</v>
      </c>
      <c r="AA15" s="79">
        <v>0</v>
      </c>
      <c r="AB15" s="79">
        <f>'3B INWARD'!H210</f>
        <v>0</v>
      </c>
      <c r="AC15" s="79">
        <f t="shared" si="3"/>
        <v>-16768</v>
      </c>
    </row>
    <row r="16" spans="1:29" x14ac:dyDescent="0.3">
      <c r="A16" s="21">
        <f>DATE(INT(LEFT($B$3,4)),9,1)</f>
        <v>45901</v>
      </c>
      <c r="B16" s="256">
        <f t="shared" si="4"/>
        <v>-5921219</v>
      </c>
      <c r="C16" s="256">
        <f>'3B INWARD'!B16</f>
        <v>0</v>
      </c>
      <c r="D16" s="256">
        <f>'3B OUTWARD'!C36+'3B OUTWARD'!E70</f>
        <v>0</v>
      </c>
      <c r="E16" s="256">
        <f>'3B INWARD'!B133</f>
        <v>0</v>
      </c>
      <c r="F16" s="80">
        <f>'3B INWARD'!C215+'3B INWARD'!D215-'3B INWARD'!B216-'3B INWARD'!B217</f>
        <v>-5517370</v>
      </c>
      <c r="G16" s="80">
        <f>'3B INWARD'!E215</f>
        <v>67431</v>
      </c>
      <c r="H16" s="80">
        <f t="shared" si="0"/>
        <v>5449939</v>
      </c>
      <c r="I16" s="257">
        <f t="shared" si="5"/>
        <v>28012400</v>
      </c>
      <c r="J16" s="257">
        <f>'3B INWARD'!C16</f>
        <v>0</v>
      </c>
      <c r="K16" s="257">
        <f>'3B OUTWARD'!D36+'3B OUTWARD'!F70</f>
        <v>0</v>
      </c>
      <c r="L16" s="257">
        <f>'3B INWARD'!C133</f>
        <v>0</v>
      </c>
      <c r="M16" s="79">
        <f>'3B INWARD'!B216-'3B INWARD'!C215</f>
        <v>2719940</v>
      </c>
      <c r="N16" s="79">
        <f>'3B INWARD'!F215</f>
        <v>4050</v>
      </c>
      <c r="O16" s="79">
        <f t="shared" si="1"/>
        <v>-30736390</v>
      </c>
      <c r="P16" s="256">
        <f t="shared" si="6"/>
        <v>27934910</v>
      </c>
      <c r="Q16" s="256">
        <f>'3B INWARD'!D16</f>
        <v>0</v>
      </c>
      <c r="R16" s="256">
        <f>'3B OUTWARD'!E36+'3B OUTWARD'!G70</f>
        <v>0</v>
      </c>
      <c r="S16" s="256">
        <f>'3B INWARD'!D133</f>
        <v>0</v>
      </c>
      <c r="T16" s="80">
        <f>'3B INWARD'!B217-'3B INWARD'!D215</f>
        <v>2797430</v>
      </c>
      <c r="U16" s="80">
        <f>'3B INWARD'!G215</f>
        <v>4050</v>
      </c>
      <c r="V16" s="80">
        <f t="shared" si="2"/>
        <v>-30736390</v>
      </c>
      <c r="W16" s="257">
        <f t="shared" si="7"/>
        <v>16768</v>
      </c>
      <c r="X16" s="257">
        <f>'3B INWARD'!E16</f>
        <v>0</v>
      </c>
      <c r="Y16" s="257">
        <f>'3B OUTWARD'!F36</f>
        <v>0</v>
      </c>
      <c r="Z16" s="257">
        <f>'3B INWARD'!E133</f>
        <v>0</v>
      </c>
      <c r="AA16" s="79">
        <v>0</v>
      </c>
      <c r="AB16" s="79">
        <f>'3B INWARD'!H215</f>
        <v>0</v>
      </c>
      <c r="AC16" s="79">
        <f t="shared" si="3"/>
        <v>-16768</v>
      </c>
    </row>
    <row r="17" spans="1:29" x14ac:dyDescent="0.3">
      <c r="A17" s="21">
        <f>DATE(INT(LEFT($B$3,4)),10,1)</f>
        <v>45931</v>
      </c>
      <c r="B17" s="256">
        <f t="shared" si="4"/>
        <v>-5449939</v>
      </c>
      <c r="C17" s="256">
        <f>'3B INWARD'!B17</f>
        <v>0</v>
      </c>
      <c r="D17" s="256">
        <f>'3B OUTWARD'!C37+'3B OUTWARD'!E71</f>
        <v>0</v>
      </c>
      <c r="E17" s="256">
        <f>'3B INWARD'!B134</f>
        <v>0</v>
      </c>
      <c r="F17" s="80">
        <f>'3B INWARD'!C220+'3B INWARD'!D220-'3B INWARD'!B221-'3B INWARD'!B222</f>
        <v>91323</v>
      </c>
      <c r="G17" s="80">
        <f>'3B INWARD'!E220</f>
        <v>0</v>
      </c>
      <c r="H17" s="80">
        <f t="shared" si="0"/>
        <v>-91323</v>
      </c>
      <c r="I17" s="257">
        <f t="shared" si="5"/>
        <v>30736390</v>
      </c>
      <c r="J17" s="257">
        <f>'3B INWARD'!C17</f>
        <v>0</v>
      </c>
      <c r="K17" s="257">
        <f>'3B OUTWARD'!D37+'3B OUTWARD'!F71</f>
        <v>0</v>
      </c>
      <c r="L17" s="257">
        <f>'3B INWARD'!C134</f>
        <v>0</v>
      </c>
      <c r="M17" s="79">
        <f>'3B INWARD'!B221-'3B INWARD'!C220</f>
        <v>-45661</v>
      </c>
      <c r="N17" s="79">
        <f>'3B INWARD'!F220</f>
        <v>195604</v>
      </c>
      <c r="O17" s="79">
        <f t="shared" si="1"/>
        <v>-30886333</v>
      </c>
      <c r="P17" s="256">
        <f t="shared" si="6"/>
        <v>30736390</v>
      </c>
      <c r="Q17" s="256">
        <f>'3B INWARD'!D17</f>
        <v>0</v>
      </c>
      <c r="R17" s="256">
        <f>'3B OUTWARD'!E37+'3B OUTWARD'!G71</f>
        <v>0</v>
      </c>
      <c r="S17" s="256">
        <f>'3B INWARD'!D134</f>
        <v>0</v>
      </c>
      <c r="T17" s="80">
        <f>'3B INWARD'!B222-'3B INWARD'!D220</f>
        <v>-45662</v>
      </c>
      <c r="U17" s="80">
        <f>'3B INWARD'!G220</f>
        <v>195603</v>
      </c>
      <c r="V17" s="80">
        <f t="shared" si="2"/>
        <v>-30886331</v>
      </c>
      <c r="W17" s="257">
        <f t="shared" si="7"/>
        <v>16768</v>
      </c>
      <c r="X17" s="257">
        <f>'3B INWARD'!E17</f>
        <v>0</v>
      </c>
      <c r="Y17" s="257">
        <f>'3B OUTWARD'!F37</f>
        <v>0</v>
      </c>
      <c r="Z17" s="257">
        <f>'3B INWARD'!E134</f>
        <v>0</v>
      </c>
      <c r="AA17" s="79">
        <v>0</v>
      </c>
      <c r="AB17" s="79">
        <f>'3B INWARD'!H220</f>
        <v>0</v>
      </c>
      <c r="AC17" s="79">
        <f t="shared" si="3"/>
        <v>-16768</v>
      </c>
    </row>
    <row r="18" spans="1:29" x14ac:dyDescent="0.3">
      <c r="A18" s="21">
        <f>DATE(INT(LEFT($B$3,4)),11,1)</f>
        <v>45962</v>
      </c>
      <c r="B18" s="256">
        <f t="shared" si="4"/>
        <v>91323</v>
      </c>
      <c r="C18" s="256">
        <f>'3B INWARD'!B18</f>
        <v>0</v>
      </c>
      <c r="D18" s="256">
        <f>'3B OUTWARD'!C38+'3B OUTWARD'!E72</f>
        <v>0</v>
      </c>
      <c r="E18" s="256">
        <f>'3B INWARD'!B135</f>
        <v>0</v>
      </c>
      <c r="F18" s="80">
        <f>'3B INWARD'!C225+'3B INWARD'!D225-'3B INWARD'!B226-'3B INWARD'!B227</f>
        <v>-3476526</v>
      </c>
      <c r="G18" s="80">
        <f>'3B INWARD'!E225</f>
        <v>96886</v>
      </c>
      <c r="H18" s="80">
        <f t="shared" si="0"/>
        <v>3288317</v>
      </c>
      <c r="I18" s="257">
        <f t="shared" si="5"/>
        <v>30886333</v>
      </c>
      <c r="J18" s="257">
        <f>'3B INWARD'!C18</f>
        <v>0</v>
      </c>
      <c r="K18" s="257">
        <f>'3B OUTWARD'!D38+'3B OUTWARD'!F72</f>
        <v>0</v>
      </c>
      <c r="L18" s="257">
        <f>'3B INWARD'!C135</f>
        <v>0</v>
      </c>
      <c r="M18" s="79">
        <f>'3B INWARD'!B226-'3B INWARD'!C225</f>
        <v>1738263</v>
      </c>
      <c r="N18" s="79">
        <f>'3B INWARD'!F225</f>
        <v>8586</v>
      </c>
      <c r="O18" s="79">
        <f t="shared" si="1"/>
        <v>-32633182</v>
      </c>
      <c r="P18" s="256">
        <f t="shared" si="6"/>
        <v>30886331</v>
      </c>
      <c r="Q18" s="256">
        <f>'3B INWARD'!D18</f>
        <v>0</v>
      </c>
      <c r="R18" s="256">
        <f>'3B OUTWARD'!E38+'3B OUTWARD'!G72</f>
        <v>0</v>
      </c>
      <c r="S18" s="256">
        <f>'3B INWARD'!D135</f>
        <v>0</v>
      </c>
      <c r="T18" s="80">
        <f>'3B INWARD'!B227-'3B INWARD'!D225</f>
        <v>1738263</v>
      </c>
      <c r="U18" s="80">
        <f>'3B INWARD'!G225</f>
        <v>8586</v>
      </c>
      <c r="V18" s="80">
        <f t="shared" si="2"/>
        <v>-32633180</v>
      </c>
      <c r="W18" s="257">
        <f t="shared" si="7"/>
        <v>16768</v>
      </c>
      <c r="X18" s="257">
        <f>'3B INWARD'!E18</f>
        <v>0</v>
      </c>
      <c r="Y18" s="257">
        <f>'3B OUTWARD'!F38</f>
        <v>0</v>
      </c>
      <c r="Z18" s="257">
        <f>'3B INWARD'!E135</f>
        <v>0</v>
      </c>
      <c r="AA18" s="79">
        <v>0</v>
      </c>
      <c r="AB18" s="79">
        <f>'3B INWARD'!H225</f>
        <v>0</v>
      </c>
      <c r="AC18" s="79">
        <f t="shared" si="3"/>
        <v>-16768</v>
      </c>
    </row>
    <row r="19" spans="1:29" x14ac:dyDescent="0.3">
      <c r="A19" s="21">
        <f>DATE(INT(LEFT($B$3,4)),12,1)</f>
        <v>45992</v>
      </c>
      <c r="B19" s="256">
        <f t="shared" si="4"/>
        <v>-3288317</v>
      </c>
      <c r="C19" s="256">
        <f>'3B INWARD'!B19</f>
        <v>0</v>
      </c>
      <c r="D19" s="256">
        <f>'3B OUTWARD'!C39+'3B OUTWARD'!E73</f>
        <v>0</v>
      </c>
      <c r="E19" s="256">
        <f>'3B INWARD'!B136</f>
        <v>0</v>
      </c>
      <c r="F19" s="80">
        <f>'3B INWARD'!C230+'3B INWARD'!D230-'3B INWARD'!B231-'3B INWARD'!B232</f>
        <v>-7937258</v>
      </c>
      <c r="G19" s="80">
        <f>'3B INWARD'!E230</f>
        <v>0</v>
      </c>
      <c r="H19" s="80">
        <f t="shared" si="0"/>
        <v>7937258</v>
      </c>
      <c r="I19" s="257">
        <f t="shared" si="5"/>
        <v>32633182</v>
      </c>
      <c r="J19" s="257">
        <f>'3B INWARD'!C19</f>
        <v>0</v>
      </c>
      <c r="K19" s="257">
        <f>'3B OUTWARD'!D39+'3B OUTWARD'!F73</f>
        <v>0</v>
      </c>
      <c r="L19" s="257">
        <f>'3B INWARD'!C136</f>
        <v>0</v>
      </c>
      <c r="M19" s="79">
        <f>'3B INWARD'!B231-'3B INWARD'!C230</f>
        <v>3984249</v>
      </c>
      <c r="N19" s="79">
        <f>'3B INWARD'!F230</f>
        <v>1125</v>
      </c>
      <c r="O19" s="79">
        <f t="shared" si="1"/>
        <v>-36618556</v>
      </c>
      <c r="P19" s="256">
        <f t="shared" si="6"/>
        <v>32633180</v>
      </c>
      <c r="Q19" s="256">
        <f>'3B INWARD'!D19</f>
        <v>0</v>
      </c>
      <c r="R19" s="256">
        <f>'3B OUTWARD'!E39+'3B OUTWARD'!G73</f>
        <v>0</v>
      </c>
      <c r="S19" s="256">
        <f>'3B INWARD'!D136</f>
        <v>0</v>
      </c>
      <c r="T19" s="80">
        <f>'3B INWARD'!B232-'3B INWARD'!D230</f>
        <v>3953009</v>
      </c>
      <c r="U19" s="80">
        <f>'3B INWARD'!G230</f>
        <v>1125</v>
      </c>
      <c r="V19" s="80">
        <f t="shared" si="2"/>
        <v>-36587314</v>
      </c>
      <c r="W19" s="257">
        <f t="shared" si="7"/>
        <v>16768</v>
      </c>
      <c r="X19" s="257">
        <f>'3B INWARD'!E19</f>
        <v>0</v>
      </c>
      <c r="Y19" s="257">
        <f>'3B OUTWARD'!F39</f>
        <v>0</v>
      </c>
      <c r="Z19" s="257">
        <f>'3B INWARD'!E136</f>
        <v>0</v>
      </c>
      <c r="AA19" s="79">
        <v>0</v>
      </c>
      <c r="AB19" s="79">
        <f>'3B INWARD'!H230</f>
        <v>0</v>
      </c>
      <c r="AC19" s="79">
        <f t="shared" si="3"/>
        <v>-16768</v>
      </c>
    </row>
    <row r="20" spans="1:29" x14ac:dyDescent="0.3">
      <c r="A20" s="21">
        <f>DATE(INT(LEFT($B$3,4))+1,1,1)</f>
        <v>46023</v>
      </c>
      <c r="B20" s="256">
        <f t="shared" si="4"/>
        <v>-7937258</v>
      </c>
      <c r="C20" s="256">
        <f>'3B INWARD'!B20</f>
        <v>0</v>
      </c>
      <c r="D20" s="256">
        <f>'3B OUTWARD'!C40+'3B OUTWARD'!E74</f>
        <v>0</v>
      </c>
      <c r="E20" s="256">
        <f>'3B INWARD'!B137</f>
        <v>0</v>
      </c>
      <c r="F20" s="80">
        <f>'3B INWARD'!C235+'3B INWARD'!D235-'3B INWARD'!B236-'3B INWARD'!B237</f>
        <v>-9146914</v>
      </c>
      <c r="G20" s="80">
        <f>'3B INWARD'!E235</f>
        <v>897248</v>
      </c>
      <c r="H20" s="80">
        <f t="shared" si="0"/>
        <v>8249666</v>
      </c>
      <c r="I20" s="257">
        <f t="shared" si="5"/>
        <v>36618556</v>
      </c>
      <c r="J20" s="257">
        <f>'3B INWARD'!C20</f>
        <v>0</v>
      </c>
      <c r="K20" s="257">
        <f>'3B OUTWARD'!D40+'3B OUTWARD'!F74</f>
        <v>0</v>
      </c>
      <c r="L20" s="257">
        <f>'3B INWARD'!C137</f>
        <v>0</v>
      </c>
      <c r="M20" s="79">
        <f>'3B INWARD'!B236-'3B INWARD'!C235</f>
        <v>4557837</v>
      </c>
      <c r="N20" s="79">
        <f>'3B INWARD'!F235</f>
        <v>4050</v>
      </c>
      <c r="O20" s="79">
        <f t="shared" si="1"/>
        <v>-41180443</v>
      </c>
      <c r="P20" s="256">
        <f t="shared" si="6"/>
        <v>36587314</v>
      </c>
      <c r="Q20" s="256">
        <f>'3B INWARD'!D20</f>
        <v>0</v>
      </c>
      <c r="R20" s="256">
        <f>'3B OUTWARD'!E40+'3B OUTWARD'!G74</f>
        <v>0</v>
      </c>
      <c r="S20" s="256">
        <f>'3B INWARD'!D137</f>
        <v>0</v>
      </c>
      <c r="T20" s="80">
        <f>'3B INWARD'!B237-'3B INWARD'!D235</f>
        <v>4589077</v>
      </c>
      <c r="U20" s="80">
        <f>'3B INWARD'!G235</f>
        <v>4050</v>
      </c>
      <c r="V20" s="80">
        <f t="shared" si="2"/>
        <v>-41180441</v>
      </c>
      <c r="W20" s="257">
        <f t="shared" si="7"/>
        <v>16768</v>
      </c>
      <c r="X20" s="257">
        <f>'3B INWARD'!E20</f>
        <v>0</v>
      </c>
      <c r="Y20" s="257">
        <f>'3B OUTWARD'!F40</f>
        <v>0</v>
      </c>
      <c r="Z20" s="257">
        <f>'3B INWARD'!E137</f>
        <v>0</v>
      </c>
      <c r="AA20" s="79">
        <v>0</v>
      </c>
      <c r="AB20" s="79">
        <f>'3B INWARD'!H235</f>
        <v>0</v>
      </c>
      <c r="AC20" s="79">
        <f t="shared" si="3"/>
        <v>-16768</v>
      </c>
    </row>
    <row r="21" spans="1:29" x14ac:dyDescent="0.3">
      <c r="A21" s="21">
        <f>DATE(INT(LEFT($B$3,4))+1,2,1)</f>
        <v>46054</v>
      </c>
      <c r="B21" s="256">
        <f t="shared" si="4"/>
        <v>-8249666</v>
      </c>
      <c r="C21" s="256">
        <f>'3B INWARD'!B21</f>
        <v>0</v>
      </c>
      <c r="D21" s="256">
        <f>'3B OUTWARD'!C41+'3B OUTWARD'!E75</f>
        <v>0</v>
      </c>
      <c r="E21" s="256">
        <f>'3B INWARD'!B138</f>
        <v>0</v>
      </c>
      <c r="F21" s="80">
        <f>'3B INWARD'!C240+'3B INWARD'!D240-'3B INWARD'!B241-'3B INWARD'!B242</f>
        <v>4236160</v>
      </c>
      <c r="G21" s="80">
        <f>'3B INWARD'!E240</f>
        <v>0</v>
      </c>
      <c r="H21" s="80">
        <f t="shared" si="0"/>
        <v>-4236160</v>
      </c>
      <c r="I21" s="257">
        <f t="shared" si="5"/>
        <v>41180443</v>
      </c>
      <c r="J21" s="257">
        <f>'3B INWARD'!C21</f>
        <v>0</v>
      </c>
      <c r="K21" s="257">
        <f>'3B OUTWARD'!D41+'3B OUTWARD'!F75</f>
        <v>0</v>
      </c>
      <c r="L21" s="257">
        <f>'3B INWARD'!C138</f>
        <v>0</v>
      </c>
      <c r="M21" s="79">
        <f>'3B INWARD'!B241-'3B INWARD'!C240</f>
        <v>-2118080</v>
      </c>
      <c r="N21" s="79">
        <f>'3B INWARD'!F240</f>
        <v>105616</v>
      </c>
      <c r="O21" s="79">
        <f t="shared" si="1"/>
        <v>-39167979</v>
      </c>
      <c r="P21" s="256">
        <f t="shared" si="6"/>
        <v>41180441</v>
      </c>
      <c r="Q21" s="256">
        <f>'3B INWARD'!D21</f>
        <v>0</v>
      </c>
      <c r="R21" s="256">
        <f>'3B OUTWARD'!E41+'3B OUTWARD'!G75</f>
        <v>0</v>
      </c>
      <c r="S21" s="256">
        <f>'3B INWARD'!D138</f>
        <v>0</v>
      </c>
      <c r="T21" s="80">
        <f>'3B INWARD'!B242-'3B INWARD'!D240</f>
        <v>-2118080</v>
      </c>
      <c r="U21" s="80">
        <f>'3B INWARD'!G240</f>
        <v>105616</v>
      </c>
      <c r="V21" s="80">
        <f t="shared" si="2"/>
        <v>-39167977</v>
      </c>
      <c r="W21" s="257">
        <f t="shared" si="7"/>
        <v>16768</v>
      </c>
      <c r="X21" s="257">
        <f>'3B INWARD'!E21</f>
        <v>0</v>
      </c>
      <c r="Y21" s="257">
        <f>'3B OUTWARD'!F41</f>
        <v>0</v>
      </c>
      <c r="Z21" s="257">
        <f>'3B INWARD'!E138</f>
        <v>0</v>
      </c>
      <c r="AA21" s="79">
        <v>0</v>
      </c>
      <c r="AB21" s="79">
        <f>'3B INWARD'!H240</f>
        <v>0</v>
      </c>
      <c r="AC21" s="79">
        <f t="shared" si="3"/>
        <v>-16768</v>
      </c>
    </row>
    <row r="22" spans="1:29" x14ac:dyDescent="0.3">
      <c r="A22" s="21">
        <f>DATE(INT(LEFT($B$3,4))+1,3,1)</f>
        <v>46082</v>
      </c>
      <c r="B22" s="256">
        <f t="shared" si="4"/>
        <v>4236160</v>
      </c>
      <c r="C22" s="256">
        <f>'3B INWARD'!B22</f>
        <v>0</v>
      </c>
      <c r="D22" s="256">
        <f>'3B OUTWARD'!C42+'3B OUTWARD'!E76</f>
        <v>0</v>
      </c>
      <c r="E22" s="256">
        <f>'3B INWARD'!B139</f>
        <v>0</v>
      </c>
      <c r="F22" s="80">
        <f>'3B INWARD'!C245+'3B INWARD'!D245-'3B INWARD'!B246-'3B INWARD'!B247</f>
        <v>6197522</v>
      </c>
      <c r="G22" s="80">
        <f>'3B INWARD'!E245</f>
        <v>0</v>
      </c>
      <c r="H22" s="80">
        <f t="shared" si="0"/>
        <v>-10433682</v>
      </c>
      <c r="I22" s="257">
        <f t="shared" si="5"/>
        <v>39167979</v>
      </c>
      <c r="J22" s="257">
        <f>'3B INWARD'!C22</f>
        <v>0</v>
      </c>
      <c r="K22" s="257">
        <f>'3B OUTWARD'!D42+'3B OUTWARD'!F76</f>
        <v>0</v>
      </c>
      <c r="L22" s="257">
        <f>'3B INWARD'!C139</f>
        <v>0</v>
      </c>
      <c r="M22" s="79">
        <f>'3B INWARD'!B246-'3B INWARD'!C245</f>
        <v>-3098761</v>
      </c>
      <c r="N22" s="79">
        <f>'3B INWARD'!F245</f>
        <v>4050</v>
      </c>
      <c r="O22" s="79">
        <f t="shared" si="1"/>
        <v>-36073268</v>
      </c>
      <c r="P22" s="256">
        <f t="shared" si="6"/>
        <v>39167977</v>
      </c>
      <c r="Q22" s="256">
        <f>'3B INWARD'!D22</f>
        <v>0</v>
      </c>
      <c r="R22" s="256">
        <f>'3B OUTWARD'!E42+'3B OUTWARD'!G76</f>
        <v>0</v>
      </c>
      <c r="S22" s="256">
        <f>'3B INWARD'!D139</f>
        <v>0</v>
      </c>
      <c r="T22" s="80">
        <f>'3B INWARD'!B247-'3B INWARD'!D245</f>
        <v>-3098761</v>
      </c>
      <c r="U22" s="80">
        <f>'3B INWARD'!G245</f>
        <v>4050</v>
      </c>
      <c r="V22" s="80">
        <f t="shared" si="2"/>
        <v>-36073266</v>
      </c>
      <c r="W22" s="257">
        <f t="shared" si="7"/>
        <v>16768</v>
      </c>
      <c r="X22" s="257">
        <f>'3B INWARD'!E22</f>
        <v>0</v>
      </c>
      <c r="Y22" s="257">
        <f>'3B OUTWARD'!F42</f>
        <v>0</v>
      </c>
      <c r="Z22" s="257">
        <f>'3B INWARD'!E139</f>
        <v>0</v>
      </c>
      <c r="AA22" s="79">
        <v>0</v>
      </c>
      <c r="AB22" s="79">
        <f>'3B INWARD'!H245</f>
        <v>0</v>
      </c>
      <c r="AC22" s="79">
        <f t="shared" si="3"/>
        <v>-16768</v>
      </c>
    </row>
    <row r="23" spans="1:29" x14ac:dyDescent="0.3">
      <c r="A23" s="355"/>
      <c r="B23" s="411"/>
      <c r="C23" s="411"/>
      <c r="D23" s="411"/>
      <c r="E23" s="411"/>
      <c r="F23" s="371"/>
      <c r="G23" s="371"/>
      <c r="H23" s="371"/>
      <c r="I23" s="411"/>
      <c r="J23" s="411"/>
      <c r="K23" s="411"/>
      <c r="L23" s="411"/>
      <c r="M23" s="371"/>
      <c r="N23" s="371"/>
      <c r="O23" s="371"/>
      <c r="P23" s="411"/>
      <c r="Q23" s="411"/>
      <c r="R23" s="411"/>
      <c r="S23" s="411"/>
      <c r="T23" s="371"/>
      <c r="U23" s="371"/>
      <c r="V23" s="371"/>
      <c r="W23" s="411"/>
      <c r="X23" s="411"/>
      <c r="Y23" s="411"/>
      <c r="Z23" s="411"/>
      <c r="AA23" s="371"/>
      <c r="AB23" s="371"/>
      <c r="AC23" s="372"/>
    </row>
    <row r="24" spans="1:29" ht="16.8" x14ac:dyDescent="0.3">
      <c r="A24" s="358" t="s">
        <v>91</v>
      </c>
      <c r="B24" s="412">
        <f>SUM(B11:B22)</f>
        <v>-71344864</v>
      </c>
      <c r="C24" s="412">
        <f t="shared" ref="C24:AC24" si="8">SUM(C11:C22)</f>
        <v>0</v>
      </c>
      <c r="D24" s="412">
        <f t="shared" si="8"/>
        <v>0</v>
      </c>
      <c r="E24" s="412">
        <f t="shared" si="8"/>
        <v>0</v>
      </c>
      <c r="F24" s="412">
        <f t="shared" si="8"/>
        <v>-71081343</v>
      </c>
      <c r="G24" s="412">
        <f t="shared" si="8"/>
        <v>5842678</v>
      </c>
      <c r="H24" s="412">
        <f t="shared" si="8"/>
        <v>60911182</v>
      </c>
      <c r="I24" s="412">
        <f t="shared" si="8"/>
        <v>317984473</v>
      </c>
      <c r="J24" s="412">
        <f t="shared" si="8"/>
        <v>0</v>
      </c>
      <c r="K24" s="412">
        <f t="shared" si="8"/>
        <v>0</v>
      </c>
      <c r="L24" s="412">
        <f t="shared" si="8"/>
        <v>0</v>
      </c>
      <c r="M24" s="412">
        <f t="shared" si="8"/>
        <v>35540672</v>
      </c>
      <c r="N24" s="412">
        <f t="shared" si="8"/>
        <v>532596</v>
      </c>
      <c r="O24" s="412">
        <f t="shared" si="8"/>
        <v>-354057741</v>
      </c>
      <c r="P24" s="412">
        <f t="shared" si="8"/>
        <v>317775744</v>
      </c>
      <c r="Q24" s="412">
        <f t="shared" si="8"/>
        <v>0</v>
      </c>
      <c r="R24" s="412">
        <f t="shared" si="8"/>
        <v>0</v>
      </c>
      <c r="S24" s="412">
        <f t="shared" si="8"/>
        <v>0</v>
      </c>
      <c r="T24" s="412">
        <f t="shared" si="8"/>
        <v>35540671</v>
      </c>
      <c r="U24" s="412">
        <f t="shared" si="8"/>
        <v>532595</v>
      </c>
      <c r="V24" s="412">
        <f t="shared" si="8"/>
        <v>-353849010</v>
      </c>
      <c r="W24" s="412">
        <f t="shared" si="8"/>
        <v>167680</v>
      </c>
      <c r="X24" s="412">
        <f t="shared" si="8"/>
        <v>0</v>
      </c>
      <c r="Y24" s="412">
        <f t="shared" si="8"/>
        <v>0</v>
      </c>
      <c r="Z24" s="412">
        <f t="shared" si="8"/>
        <v>0</v>
      </c>
      <c r="AA24" s="412">
        <f t="shared" si="8"/>
        <v>0</v>
      </c>
      <c r="AB24" s="412">
        <f t="shared" si="8"/>
        <v>16768</v>
      </c>
      <c r="AC24" s="413">
        <f t="shared" si="8"/>
        <v>-184448</v>
      </c>
    </row>
    <row r="28" spans="1:29" ht="18" x14ac:dyDescent="0.35">
      <c r="A28" s="14" t="s">
        <v>454</v>
      </c>
    </row>
    <row r="30" spans="1:29" ht="20.100000000000001" customHeight="1" x14ac:dyDescent="0.3">
      <c r="A30" s="562" t="s">
        <v>82</v>
      </c>
      <c r="B30" s="539" t="s">
        <v>101</v>
      </c>
      <c r="C30" s="540"/>
      <c r="D30" s="540"/>
      <c r="E30" s="540"/>
      <c r="F30" s="540"/>
      <c r="G30" s="540"/>
      <c r="H30" s="557"/>
      <c r="I30" s="539" t="s">
        <v>105</v>
      </c>
      <c r="J30" s="540"/>
      <c r="K30" s="540"/>
      <c r="L30" s="540"/>
      <c r="M30" s="540"/>
      <c r="N30" s="540"/>
      <c r="O30" s="557"/>
      <c r="P30" s="539" t="s">
        <v>106</v>
      </c>
      <c r="Q30" s="540"/>
      <c r="R30" s="540"/>
      <c r="S30" s="540"/>
      <c r="T30" s="540"/>
      <c r="U30" s="540"/>
      <c r="V30" s="557"/>
      <c r="W30" s="539" t="s">
        <v>90</v>
      </c>
      <c r="X30" s="540"/>
      <c r="Y30" s="540"/>
      <c r="Z30" s="540"/>
      <c r="AA30" s="540"/>
      <c r="AB30" s="540"/>
      <c r="AC30" s="541"/>
    </row>
    <row r="31" spans="1:29" ht="28.8" x14ac:dyDescent="0.3">
      <c r="A31" s="516"/>
      <c r="B31" s="410" t="s">
        <v>458</v>
      </c>
      <c r="C31" s="410" t="s">
        <v>459</v>
      </c>
      <c r="D31" s="410" t="s">
        <v>460</v>
      </c>
      <c r="E31" s="410" t="s">
        <v>461</v>
      </c>
      <c r="F31" s="322" t="s">
        <v>462</v>
      </c>
      <c r="G31" s="322" t="s">
        <v>463</v>
      </c>
      <c r="H31" s="322" t="s">
        <v>464</v>
      </c>
      <c r="I31" s="410" t="s">
        <v>458</v>
      </c>
      <c r="J31" s="410" t="s">
        <v>459</v>
      </c>
      <c r="K31" s="410" t="s">
        <v>460</v>
      </c>
      <c r="L31" s="410" t="s">
        <v>461</v>
      </c>
      <c r="M31" s="322" t="s">
        <v>462</v>
      </c>
      <c r="N31" s="322" t="s">
        <v>463</v>
      </c>
      <c r="O31" s="322" t="s">
        <v>464</v>
      </c>
      <c r="P31" s="410" t="s">
        <v>458</v>
      </c>
      <c r="Q31" s="410" t="s">
        <v>459</v>
      </c>
      <c r="R31" s="410" t="s">
        <v>460</v>
      </c>
      <c r="S31" s="410" t="s">
        <v>461</v>
      </c>
      <c r="T31" s="322" t="s">
        <v>462</v>
      </c>
      <c r="U31" s="322" t="s">
        <v>463</v>
      </c>
      <c r="V31" s="322" t="s">
        <v>464</v>
      </c>
      <c r="W31" s="410" t="s">
        <v>458</v>
      </c>
      <c r="X31" s="410" t="s">
        <v>459</v>
      </c>
      <c r="Y31" s="410" t="s">
        <v>460</v>
      </c>
      <c r="Z31" s="410" t="s">
        <v>461</v>
      </c>
      <c r="AA31" s="322" t="s">
        <v>462</v>
      </c>
      <c r="AB31" s="322" t="s">
        <v>463</v>
      </c>
      <c r="AC31" s="359" t="s">
        <v>464</v>
      </c>
    </row>
    <row r="32" spans="1:29" x14ac:dyDescent="0.3">
      <c r="A32" s="21">
        <f>DATE(INT(LEFT($B$3,4)),4,1)</f>
        <v>45748</v>
      </c>
      <c r="B32" s="254"/>
      <c r="C32" s="256">
        <f>'BOA INWARD'!I11+'BOA INWARD'!I32+'BOA INWARD'!I53+'BOA INWARD'!I74+SUMIF('BOA INWARD'!$E$95:$P$95,"IGST",'BOA INWARD'!E96:P96)</f>
        <v>0</v>
      </c>
      <c r="D32" s="256">
        <f>RECO!F77</f>
        <v>0</v>
      </c>
      <c r="E32" s="256">
        <f>'BOA INWARD'!I117</f>
        <v>0</v>
      </c>
      <c r="F32" s="80">
        <f>IF((D32-(C32+B32-E32))&lt;0,IF(OR((K32-(I32+J32-L32))&gt;0,(R32-(P32+Q32-S32))&gt;0),M32+T32,0),IF((K32-(I32+J32-L32))&lt;0,IF((D32-(C32+B32-E32))&gt;(-(K32-(I32+J32-L32))),((-(K32-(I32+J32-L32)))+IF((R32-(P32+Q32-S32))&lt;0,MIN(((D32-(C32+B32-E32))-(-(K32-(I32+J32-L32)))),(-(R32-(P32+Q32-S32)))),0)),(-(D32-(C32+B32-E32)))),0))</f>
        <v>0</v>
      </c>
      <c r="G32" s="80">
        <f>G11</f>
        <v>1117014</v>
      </c>
      <c r="H32" s="80">
        <f>IF(B32&lt;0,((D32+SUMIF('BOA OUT (GST)'!$B$77:$M$77,"IGST",'BOA OUT (GST)'!B78:M78)-(C32-E32))-F32)-G32,((D32+SUMIF('BOA OUT (GST)'!$B$77:$M$77,"IGST",'BOA OUT (GST)'!B78:M78)-((B32+C32)-E32))-F32)-G32)</f>
        <v>-1117014</v>
      </c>
      <c r="I32" s="255"/>
      <c r="J32" s="257">
        <f>'BOA INWARD'!J11+'BOA INWARD'!J32+'BOA INWARD'!J53+'BOA INWARD'!J74+SUMIF('BOA INWARD'!$E$95:$P$95,"CGST",'BOA INWARD'!E96:P96)</f>
        <v>0</v>
      </c>
      <c r="K32" s="257">
        <f>RECO!J77</f>
        <v>0</v>
      </c>
      <c r="L32" s="257">
        <f>'BOA INWARD'!J117</f>
        <v>0</v>
      </c>
      <c r="M32" s="79">
        <f>IF((K32-(I32+J32-L32))&lt;0,IF((D32-(C32+B32-E32))&gt;0,MIN((D32-(C32+B32-E32)),(K32-(I32+J32-L32))),0),IF((D32-(C32+B32-E32))&lt;0,MIN((K32-(I32+J32-L32)),(-(D32-(C32+B32-E32)))),0))</f>
        <v>0</v>
      </c>
      <c r="N32" s="79">
        <f>N11</f>
        <v>157796</v>
      </c>
      <c r="O32" s="79">
        <f>IF(I32&lt;0,(((K32+SUMIF('BOA OUT (GST)'!$B$77:$M$77,"CGST",'BOA OUT (GST)'!B78:M78))-(J32-L32))-M32)-N32,(((K32+SUMIF('BOA OUT (GST)'!$B$77:$M$77,"CGST",'BOA OUT (GST)'!B78:M78))-((I32+J32)-L32))-M32)-N32)</f>
        <v>-157796</v>
      </c>
      <c r="P32" s="254"/>
      <c r="Q32" s="256">
        <f>'BOA INWARD'!K11+'BOA INWARD'!K32+'BOA INWARD'!K53+'BOA INWARD'!K74+SUMIF('BOA INWARD'!$E$95:$P$95,"SGST",'BOA INWARD'!E96:P96)</f>
        <v>0</v>
      </c>
      <c r="R32" s="256">
        <f>RECO!N77</f>
        <v>0</v>
      </c>
      <c r="S32" s="256">
        <f>'BOA INWARD'!K117</f>
        <v>0</v>
      </c>
      <c r="T32" s="80">
        <f>IF((R32-(Q32+P32-S32))&lt;0,IF((D32-(C32+B32-E32))&gt;0,IF((K32-(J32+I32-L32))&lt;0,IF((D32-(C32+B32-E32))&gt;(-(K32-(J32+I32-L32))),MAX((R32-(Q32+P32-S32)),-((D32-(C32+B32-E32))-(-(K32-(J32+I32-L32))))),0),MIN((-(R32-(Q32+P32-S32))),(D32-(C32+B32-E32)))),0),IF((D32-(C32+B32-E32))&lt;0,IF((K32-(J32+I32-L32))&gt;0,IF((-(D32-(C32+B32-E32)))&gt;(K32-(J32+I32-L32)),MIN((R32-(Q32+P32-S32)),((-(D32-(C32+B32-E32)))-(K32-(J32+I32-L32)))),0),MIN((R32-(Q32+P32-S32)),(-(D32-(C32+B32-E32))))),0))</f>
        <v>0</v>
      </c>
      <c r="U32" s="80">
        <f>U11</f>
        <v>157796</v>
      </c>
      <c r="V32" s="80">
        <f>IF(P32&lt;0,((R32+SUMIF('BOA OUT (GST)'!$B$77:$M$77,"SGST",'BOA OUT (GST)'!B78:M78)-(Q32-S32))-T32)-U32,((R32+SUMIF('BOA OUT (GST)'!$B$77:$M$77,"SGST",'BOA OUT (GST)'!B78:M78)-((P32+Q32)-S32))-T32)-U32)</f>
        <v>-157796</v>
      </c>
      <c r="W32" s="255"/>
      <c r="X32" s="257">
        <f>'BOA INWARD'!L11+'BOA INWARD'!L32+'BOA INWARD'!L53+'BOA INWARD'!L74</f>
        <v>0</v>
      </c>
      <c r="Y32" s="257">
        <f>RECO!R77</f>
        <v>0</v>
      </c>
      <c r="Z32" s="257">
        <f>'BOA INWARD'!L117</f>
        <v>0</v>
      </c>
      <c r="AA32" s="79">
        <v>0</v>
      </c>
      <c r="AB32" s="79">
        <f>AB11</f>
        <v>0</v>
      </c>
      <c r="AC32" s="79">
        <f>IF(W32&lt;0,((Y32-(X32-Z32))-AA32)-AB32,((Y32-((W32+X32)-Z32))-AA32)-AB32)</f>
        <v>0</v>
      </c>
    </row>
    <row r="33" spans="1:29" x14ac:dyDescent="0.3">
      <c r="A33" s="21">
        <f>DATE(INT(LEFT($B$3,4)),5,1)</f>
        <v>45778</v>
      </c>
      <c r="B33" s="256">
        <f>-H32</f>
        <v>1117014</v>
      </c>
      <c r="C33" s="256">
        <f>'BOA INWARD'!I12+'BOA INWARD'!I33+'BOA INWARD'!I54+'BOA INWARD'!I75+SUMIF('BOA INWARD'!$E$95:$P$95,"IGST",'BOA INWARD'!E97:P97)</f>
        <v>0</v>
      </c>
      <c r="D33" s="256">
        <f>RECO!F78</f>
        <v>0</v>
      </c>
      <c r="E33" s="256">
        <f>'BOA INWARD'!I118</f>
        <v>0</v>
      </c>
      <c r="F33" s="80">
        <f t="shared" ref="F33:F43" si="9">IF((D33-(C33+B33-E33))&lt;0,IF(OR((K33-(I33+J33-L33))&gt;0,(R33-(P33+Q33-S33))&gt;0),M33+T33,0),IF((K33-(I33+J33-L33))&lt;0,IF((D33-(C33+B33-E33))&gt;(-(K33-(I33+J33-L33))),((-(K33-(I33+J33-L33)))+IF((R33-(P33+Q33-S33))&lt;0,MIN(((D33-(C33+B33-E33))-(-(K33-(I33+J33-L33)))),(-(R33-(P33+Q33-S33)))),0)),(-(D33-(C33+B33-E33)))),0))</f>
        <v>0</v>
      </c>
      <c r="G33" s="80">
        <f t="shared" ref="G33:G43" si="10">G12</f>
        <v>2173347</v>
      </c>
      <c r="H33" s="80">
        <f>IF(B33&lt;0,((D33+SUMIF('BOA OUT (GST)'!$B$77:$M$77,"IGST",'BOA OUT (GST)'!B79:M79)-(C33-E33))-F33)-G33,((D33+SUMIF('BOA OUT (GST)'!$B$77:$M$77,"IGST",'BOA OUT (GST)'!B79:M79)-((B33+C33)-E33))-F33)-G33)</f>
        <v>-3290361</v>
      </c>
      <c r="I33" s="257">
        <f>-O32</f>
        <v>157796</v>
      </c>
      <c r="J33" s="257">
        <f>'BOA INWARD'!J12+'BOA INWARD'!J33+'BOA INWARD'!J54+'BOA INWARD'!J75+SUMIF('BOA INWARD'!$E$95:$P$95,"CGST",'BOA INWARD'!E97:P97)</f>
        <v>0</v>
      </c>
      <c r="K33" s="257">
        <f>RECO!J78</f>
        <v>0</v>
      </c>
      <c r="L33" s="257">
        <f>'BOA INWARD'!J118</f>
        <v>0</v>
      </c>
      <c r="M33" s="79">
        <f t="shared" ref="M33:M43" si="11">IF((K33-(I33+J33-L33))&lt;0,IF((D33-(C33+B33-E33))&gt;0,MIN((D33-(C33+B33-E33)),(K33-(I33+J33-L33))),0),IF((D33-(C33+B33-E33))&lt;0,MIN((K33-(I33+J33-L33)),(-(D33-(C33+B33-E33)))),0))</f>
        <v>0</v>
      </c>
      <c r="N33" s="79">
        <f t="shared" ref="N33:N43" si="12">N12</f>
        <v>44494</v>
      </c>
      <c r="O33" s="79">
        <f>IF(I33&lt;0,(((K33+SUMIF('BOA OUT (GST)'!$B$77:$M$77,"CGST",'BOA OUT (GST)'!B79:M79))-(J33-L33))-M33)-N33,(((K33+SUMIF('BOA OUT (GST)'!$B$77:$M$77,"CGST",'BOA OUT (GST)'!B79:M79))-((I33+J33)-L33))-M33)-N33)</f>
        <v>-202290</v>
      </c>
      <c r="P33" s="256">
        <f>-V32</f>
        <v>157796</v>
      </c>
      <c r="Q33" s="256">
        <f>'BOA INWARD'!K12+'BOA INWARD'!K33+'BOA INWARD'!K54+'BOA INWARD'!K75+SUMIF('BOA INWARD'!$E$95:$P$95,"SGST",'BOA INWARD'!E97:P97)</f>
        <v>0</v>
      </c>
      <c r="R33" s="256">
        <f>RECO!N78</f>
        <v>0</v>
      </c>
      <c r="S33" s="256">
        <f>'BOA INWARD'!K118</f>
        <v>0</v>
      </c>
      <c r="T33" s="80">
        <f t="shared" ref="T33:T43" si="13">IF((R33-(Q33+P33-S33))&lt;0,IF((D33-(C33+B33-E33))&gt;0,IF((K33-(J33+I33-L33))&lt;0,IF((D33-(C33+B33-E33))&gt;(-(K33-(J33+I33-L33))),MAX((R33-(Q33+P33-S33)),-((D33-(C33+B33-E33))-(-(K33-(J33+I33-L33))))),0),MIN((-(R33-(Q33+P33-S33))),(D33-(C33+B33-E33)))),0),IF((D33-(C33+B33-E33))&lt;0,IF((K33-(J33+I33-L33))&gt;0,IF((-(D33-(C33+B33-E33)))&gt;(K33-(J33+I33-L33)),MIN((R33-(Q33+P33-S33)),((-(D33-(C33+B33-E33)))-(K33-(J33+I33-L33)))),0),MIN((R33-(Q33+P33-S33)),(-(D33-(C33+B33-E33))))),0))</f>
        <v>0</v>
      </c>
      <c r="U33" s="80">
        <f t="shared" ref="U33:U43" si="14">U12</f>
        <v>44494</v>
      </c>
      <c r="V33" s="80">
        <f>IF(P33&lt;0,((R33+SUMIF('BOA OUT (GST)'!$B$77:$M$77,"SGST",'BOA OUT (GST)'!B79:M79)-(Q33-S33))-T33)-U33,((R33+SUMIF('BOA OUT (GST)'!$B$77:$M$77,"SGST",'BOA OUT (GST)'!B79:M79)-((P33+Q33)-S33))-T33)-U33)</f>
        <v>-202290</v>
      </c>
      <c r="W33" s="257">
        <f>-AC32</f>
        <v>0</v>
      </c>
      <c r="X33" s="257">
        <f>'BOA INWARD'!L12+'BOA INWARD'!L33+'BOA INWARD'!L54+'BOA INWARD'!L75</f>
        <v>0</v>
      </c>
      <c r="Y33" s="257">
        <f>RECO!R78</f>
        <v>0</v>
      </c>
      <c r="Z33" s="257">
        <f>'BOA INWARD'!L118</f>
        <v>0</v>
      </c>
      <c r="AA33" s="79">
        <v>0</v>
      </c>
      <c r="AB33" s="79">
        <f t="shared" ref="AB33:AB43" si="15">AB12</f>
        <v>16768</v>
      </c>
      <c r="AC33" s="79">
        <f t="shared" ref="AC33:AC43" si="16">IF(W33&lt;0,((Y33-(X33-Z33))-AA33)-AB33,((Y33-((W33+X33)-Z33))-AA33)-AB33)</f>
        <v>-16768</v>
      </c>
    </row>
    <row r="34" spans="1:29" x14ac:dyDescent="0.3">
      <c r="A34" s="21">
        <f>DATE(INT(LEFT($B$3,4)),6,1)</f>
        <v>45809</v>
      </c>
      <c r="B34" s="256">
        <f t="shared" ref="B34:B43" si="17">-H33</f>
        <v>3290361</v>
      </c>
      <c r="C34" s="256">
        <f>'BOA INWARD'!I13+'BOA INWARD'!I34+'BOA INWARD'!I55+'BOA INWARD'!I76+SUMIF('BOA INWARD'!$E$95:$P$95,"IGST",'BOA INWARD'!E98:P98)</f>
        <v>0</v>
      </c>
      <c r="D34" s="256">
        <f>RECO!F79</f>
        <v>0</v>
      </c>
      <c r="E34" s="256">
        <f>'BOA INWARD'!I119</f>
        <v>0</v>
      </c>
      <c r="F34" s="80">
        <f t="shared" si="9"/>
        <v>0</v>
      </c>
      <c r="G34" s="80">
        <f t="shared" si="10"/>
        <v>1490752</v>
      </c>
      <c r="H34" s="80">
        <f>IF(B34&lt;0,((D34+SUMIF('BOA OUT (GST)'!$B$77:$M$77,"IGST",'BOA OUT (GST)'!B80:M80)-(C34-E34))-F34)-G34,((D34+SUMIF('BOA OUT (GST)'!$B$77:$M$77,"IGST",'BOA OUT (GST)'!B80:M80)-((B34+C34)-E34))-F34)-G34)</f>
        <v>-4781113</v>
      </c>
      <c r="I34" s="257">
        <f t="shared" ref="I34:I43" si="18">-O33</f>
        <v>202290</v>
      </c>
      <c r="J34" s="257">
        <f>'BOA INWARD'!J13+'BOA INWARD'!J34+'BOA INWARD'!J55+'BOA INWARD'!J76+SUMIF('BOA INWARD'!$E$95:$P$95,"CGST",'BOA INWARD'!E98:P98)</f>
        <v>0</v>
      </c>
      <c r="K34" s="257">
        <f>RECO!J79</f>
        <v>0</v>
      </c>
      <c r="L34" s="257">
        <f>'BOA INWARD'!J119</f>
        <v>0</v>
      </c>
      <c r="M34" s="79">
        <f t="shared" si="11"/>
        <v>0</v>
      </c>
      <c r="N34" s="79">
        <f t="shared" si="12"/>
        <v>3175</v>
      </c>
      <c r="O34" s="79">
        <f>IF(I34&lt;0,(((K34+SUMIF('BOA OUT (GST)'!$B$77:$M$77,"CGST",'BOA OUT (GST)'!B80:M80))-(J34-L34))-M34)-N34,(((K34+SUMIF('BOA OUT (GST)'!$B$77:$M$77,"CGST",'BOA OUT (GST)'!B80:M80))-((I34+J34)-L34))-M34)-N34)</f>
        <v>-205465</v>
      </c>
      <c r="P34" s="256">
        <f t="shared" ref="P34:P43" si="19">-V33</f>
        <v>202290</v>
      </c>
      <c r="Q34" s="256">
        <f>'BOA INWARD'!K13+'BOA INWARD'!K34+'BOA INWARD'!K55+'BOA INWARD'!K76+SUMIF('BOA INWARD'!$E$95:$P$95,"SGST",'BOA INWARD'!E98:P98)</f>
        <v>0</v>
      </c>
      <c r="R34" s="256">
        <f>RECO!N79</f>
        <v>0</v>
      </c>
      <c r="S34" s="256">
        <f>'BOA INWARD'!K119</f>
        <v>0</v>
      </c>
      <c r="T34" s="80">
        <f t="shared" si="13"/>
        <v>0</v>
      </c>
      <c r="U34" s="80">
        <f t="shared" si="14"/>
        <v>3175</v>
      </c>
      <c r="V34" s="80">
        <f>IF(P34&lt;0,((R34+SUMIF('BOA OUT (GST)'!$B$77:$M$77,"SGST",'BOA OUT (GST)'!B80:M80)-(Q34-S34))-T34)-U34,((R34+SUMIF('BOA OUT (GST)'!$B$77:$M$77,"SGST",'BOA OUT (GST)'!B80:M80)-((P34+Q34)-S34))-T34)-U34)</f>
        <v>-205465</v>
      </c>
      <c r="W34" s="257">
        <f t="shared" ref="W34:W43" si="20">-AC33</f>
        <v>16768</v>
      </c>
      <c r="X34" s="257">
        <f>'BOA INWARD'!L13+'BOA INWARD'!L34+'BOA INWARD'!L55+'BOA INWARD'!L76</f>
        <v>0</v>
      </c>
      <c r="Y34" s="257">
        <f>RECO!R79</f>
        <v>0</v>
      </c>
      <c r="Z34" s="257">
        <f>'BOA INWARD'!L119</f>
        <v>0</v>
      </c>
      <c r="AA34" s="79">
        <v>0</v>
      </c>
      <c r="AB34" s="79">
        <f t="shared" si="15"/>
        <v>0</v>
      </c>
      <c r="AC34" s="79">
        <f t="shared" si="16"/>
        <v>-16768</v>
      </c>
    </row>
    <row r="35" spans="1:29" x14ac:dyDescent="0.3">
      <c r="A35" s="21">
        <f>DATE(INT(LEFT($B$3,4)),7,1)</f>
        <v>45839</v>
      </c>
      <c r="B35" s="256">
        <f t="shared" si="17"/>
        <v>4781113</v>
      </c>
      <c r="C35" s="256">
        <f>'BOA INWARD'!I14+'BOA INWARD'!I35+'BOA INWARD'!I56+'BOA INWARD'!I77+SUMIF('BOA INWARD'!$E$95:$P$95,"IGST",'BOA INWARD'!E99:P99)</f>
        <v>0</v>
      </c>
      <c r="D35" s="256">
        <f>RECO!F80</f>
        <v>0</v>
      </c>
      <c r="E35" s="256">
        <f>'BOA INWARD'!I120</f>
        <v>0</v>
      </c>
      <c r="F35" s="80">
        <f t="shared" si="9"/>
        <v>0</v>
      </c>
      <c r="G35" s="80">
        <f t="shared" si="10"/>
        <v>0</v>
      </c>
      <c r="H35" s="80">
        <f>IF(B35&lt;0,((D35+SUMIF('BOA OUT (GST)'!$B$77:$M$77,"IGST",'BOA OUT (GST)'!B81:M81)-(C35-E35))-F35)-G35,((D35+SUMIF('BOA OUT (GST)'!$B$77:$M$77,"IGST",'BOA OUT (GST)'!B81:M81)-((B35+C35)-E35))-F35)-G35)</f>
        <v>-4781113</v>
      </c>
      <c r="I35" s="257">
        <f t="shared" si="18"/>
        <v>205465</v>
      </c>
      <c r="J35" s="257">
        <f>'BOA INWARD'!J14+'BOA INWARD'!J35+'BOA INWARD'!J56+'BOA INWARD'!J77+SUMIF('BOA INWARD'!$E$95:$P$95,"CGST",'BOA INWARD'!E99:P99)</f>
        <v>0</v>
      </c>
      <c r="K35" s="257">
        <f>RECO!J80</f>
        <v>0</v>
      </c>
      <c r="L35" s="257">
        <f>'BOA INWARD'!J120</f>
        <v>0</v>
      </c>
      <c r="M35" s="79">
        <f t="shared" si="11"/>
        <v>0</v>
      </c>
      <c r="N35" s="79">
        <f t="shared" si="12"/>
        <v>4050</v>
      </c>
      <c r="O35" s="79">
        <f>IF(I35&lt;0,(((K35+SUMIF('BOA OUT (GST)'!$B$77:$M$77,"CGST",'BOA OUT (GST)'!B81:M81))-(J35-L35))-M35)-N35,(((K35+SUMIF('BOA OUT (GST)'!$B$77:$M$77,"CGST",'BOA OUT (GST)'!B81:M81))-((I35+J35)-L35))-M35)-N35)</f>
        <v>-209515</v>
      </c>
      <c r="P35" s="256">
        <f t="shared" si="19"/>
        <v>205465</v>
      </c>
      <c r="Q35" s="256">
        <f>'BOA INWARD'!K14+'BOA INWARD'!K35+'BOA INWARD'!K56+'BOA INWARD'!K77+SUMIF('BOA INWARD'!$E$95:$P$95,"SGST",'BOA INWARD'!E99:P99)</f>
        <v>0</v>
      </c>
      <c r="R35" s="256">
        <f>RECO!N80</f>
        <v>0</v>
      </c>
      <c r="S35" s="256">
        <f>'BOA INWARD'!K120</f>
        <v>0</v>
      </c>
      <c r="T35" s="80">
        <f t="shared" si="13"/>
        <v>0</v>
      </c>
      <c r="U35" s="80">
        <f t="shared" si="14"/>
        <v>4050</v>
      </c>
      <c r="V35" s="80">
        <f>IF(P35&lt;0,((R35+SUMIF('BOA OUT (GST)'!$B$77:$M$77,"SGST",'BOA OUT (GST)'!B81:M81)-(Q35-S35))-T35)-U35,((R35+SUMIF('BOA OUT (GST)'!$B$77:$M$77,"SGST",'BOA OUT (GST)'!B81:M81)-((P35+Q35)-S35))-T35)-U35)</f>
        <v>-209515</v>
      </c>
      <c r="W35" s="257">
        <f t="shared" si="20"/>
        <v>16768</v>
      </c>
      <c r="X35" s="257">
        <f>'BOA INWARD'!L14+'BOA INWARD'!L35+'BOA INWARD'!L56+'BOA INWARD'!L77</f>
        <v>0</v>
      </c>
      <c r="Y35" s="257">
        <f>RECO!R80</f>
        <v>0</v>
      </c>
      <c r="Z35" s="257">
        <f>'BOA INWARD'!L120</f>
        <v>0</v>
      </c>
      <c r="AA35" s="79">
        <v>0</v>
      </c>
      <c r="AB35" s="79">
        <f t="shared" si="15"/>
        <v>0</v>
      </c>
      <c r="AC35" s="79">
        <f t="shared" si="16"/>
        <v>-16768</v>
      </c>
    </row>
    <row r="36" spans="1:29" x14ac:dyDescent="0.3">
      <c r="A36" s="21">
        <f>DATE(INT(LEFT($B$3,4)),8,1)</f>
        <v>45870</v>
      </c>
      <c r="B36" s="256">
        <f t="shared" si="17"/>
        <v>4781113</v>
      </c>
      <c r="C36" s="256">
        <f>'BOA INWARD'!I15+'BOA INWARD'!I36+'BOA INWARD'!I57+'BOA INWARD'!I78+SUMIF('BOA INWARD'!$E$95:$P$95,"IGST",'BOA INWARD'!E100:P100)</f>
        <v>0</v>
      </c>
      <c r="D36" s="256">
        <f>RECO!F81</f>
        <v>0</v>
      </c>
      <c r="E36" s="256">
        <f>'BOA INWARD'!I121</f>
        <v>0</v>
      </c>
      <c r="F36" s="80">
        <f t="shared" si="9"/>
        <v>0</v>
      </c>
      <c r="G36" s="80">
        <f t="shared" si="10"/>
        <v>0</v>
      </c>
      <c r="H36" s="80">
        <f>IF(B36&lt;0,((D36+SUMIF('BOA OUT (GST)'!$B$77:$M$77,"IGST",'BOA OUT (GST)'!B82:M82)-(C36-E36))-F36)-G36,((D36+SUMIF('BOA OUT (GST)'!$B$77:$M$77,"IGST",'BOA OUT (GST)'!B82:M82)-((B36+C36)-E36))-F36)-G36)</f>
        <v>-4781113</v>
      </c>
      <c r="I36" s="257">
        <f t="shared" si="18"/>
        <v>209515</v>
      </c>
      <c r="J36" s="257">
        <f>'BOA INWARD'!J15+'BOA INWARD'!J36+'BOA INWARD'!J57+'BOA INWARD'!J78+SUMIF('BOA INWARD'!$E$95:$P$95,"CGST",'BOA INWARD'!E100:P100)</f>
        <v>0</v>
      </c>
      <c r="K36" s="257">
        <f>RECO!J81</f>
        <v>0</v>
      </c>
      <c r="L36" s="257">
        <f>'BOA INWARD'!J121</f>
        <v>0</v>
      </c>
      <c r="M36" s="79">
        <f t="shared" si="11"/>
        <v>0</v>
      </c>
      <c r="N36" s="79">
        <f t="shared" si="12"/>
        <v>0</v>
      </c>
      <c r="O36" s="79">
        <f>IF(I36&lt;0,(((K36+SUMIF('BOA OUT (GST)'!$B$77:$M$77,"CGST",'BOA OUT (GST)'!B82:M82))-(J36-L36))-M36)-N36,(((K36+SUMIF('BOA OUT (GST)'!$B$77:$M$77,"CGST",'BOA OUT (GST)'!B82:M82))-((I36+J36)-L36))-M36)-N36)</f>
        <v>-209515</v>
      </c>
      <c r="P36" s="256">
        <f t="shared" si="19"/>
        <v>209515</v>
      </c>
      <c r="Q36" s="256">
        <f>'BOA INWARD'!K15+'BOA INWARD'!K36+'BOA INWARD'!K57+'BOA INWARD'!K78+SUMIF('BOA INWARD'!$E$95:$P$95,"SGST",'BOA INWARD'!E100:P100)</f>
        <v>0</v>
      </c>
      <c r="R36" s="256">
        <f>RECO!N81</f>
        <v>0</v>
      </c>
      <c r="S36" s="256">
        <f>'BOA INWARD'!K121</f>
        <v>0</v>
      </c>
      <c r="T36" s="80">
        <f t="shared" si="13"/>
        <v>0</v>
      </c>
      <c r="U36" s="80">
        <f t="shared" si="14"/>
        <v>0</v>
      </c>
      <c r="V36" s="80">
        <f>IF(P36&lt;0,((R36+SUMIF('BOA OUT (GST)'!$B$77:$M$77,"SGST",'BOA OUT (GST)'!B82:M82)-(Q36-S36))-T36)-U36,((R36+SUMIF('BOA OUT (GST)'!$B$77:$M$77,"SGST",'BOA OUT (GST)'!B82:M82)-((P36+Q36)-S36))-T36)-U36)</f>
        <v>-209515</v>
      </c>
      <c r="W36" s="257">
        <f t="shared" si="20"/>
        <v>16768</v>
      </c>
      <c r="X36" s="257">
        <f>'BOA INWARD'!L15+'BOA INWARD'!L36+'BOA INWARD'!L57+'BOA INWARD'!L78</f>
        <v>0</v>
      </c>
      <c r="Y36" s="257">
        <f>RECO!R81</f>
        <v>0</v>
      </c>
      <c r="Z36" s="257">
        <f>'BOA INWARD'!L121</f>
        <v>0</v>
      </c>
      <c r="AA36" s="79">
        <v>0</v>
      </c>
      <c r="AB36" s="79">
        <f t="shared" si="15"/>
        <v>0</v>
      </c>
      <c r="AC36" s="79">
        <f t="shared" si="16"/>
        <v>-16768</v>
      </c>
    </row>
    <row r="37" spans="1:29" x14ac:dyDescent="0.3">
      <c r="A37" s="21">
        <f>DATE(INT(LEFT($B$3,4)),9,1)</f>
        <v>45901</v>
      </c>
      <c r="B37" s="256">
        <f t="shared" si="17"/>
        <v>4781113</v>
      </c>
      <c r="C37" s="256">
        <f>'BOA INWARD'!I16+'BOA INWARD'!I37+'BOA INWARD'!I58+'BOA INWARD'!I79+SUMIF('BOA INWARD'!$E$95:$P$95,"IGST",'BOA INWARD'!E101:P101)</f>
        <v>0</v>
      </c>
      <c r="D37" s="256">
        <f>RECO!F82</f>
        <v>0</v>
      </c>
      <c r="E37" s="256">
        <f>'BOA INWARD'!I122</f>
        <v>0</v>
      </c>
      <c r="F37" s="80">
        <f t="shared" si="9"/>
        <v>0</v>
      </c>
      <c r="G37" s="80">
        <f t="shared" si="10"/>
        <v>67431</v>
      </c>
      <c r="H37" s="80">
        <f>IF(B37&lt;0,((D37+SUMIF('BOA OUT (GST)'!$B$77:$M$77,"IGST",'BOA OUT (GST)'!B83:M83)-(C37-E37))-F37)-G37,((D37+SUMIF('BOA OUT (GST)'!$B$77:$M$77,"IGST",'BOA OUT (GST)'!B83:M83)-((B37+C37)-E37))-F37)-G37)</f>
        <v>-4848544</v>
      </c>
      <c r="I37" s="257">
        <f t="shared" si="18"/>
        <v>209515</v>
      </c>
      <c r="J37" s="257">
        <f>'BOA INWARD'!J16+'BOA INWARD'!J37+'BOA INWARD'!J58+'BOA INWARD'!J79+SUMIF('BOA INWARD'!$E$95:$P$95,"CGST",'BOA INWARD'!E101:P101)</f>
        <v>0</v>
      </c>
      <c r="K37" s="257">
        <f>RECO!J82</f>
        <v>0</v>
      </c>
      <c r="L37" s="257">
        <f>'BOA INWARD'!J122</f>
        <v>0</v>
      </c>
      <c r="M37" s="79">
        <f t="shared" si="11"/>
        <v>0</v>
      </c>
      <c r="N37" s="79">
        <f t="shared" si="12"/>
        <v>4050</v>
      </c>
      <c r="O37" s="79">
        <f>IF(I37&lt;0,(((K37+SUMIF('BOA OUT (GST)'!$B$77:$M$77,"CGST",'BOA OUT (GST)'!B83:M83))-(J37-L37))-M37)-N37,(((K37+SUMIF('BOA OUT (GST)'!$B$77:$M$77,"CGST",'BOA OUT (GST)'!B83:M83))-((I37+J37)-L37))-M37)-N37)</f>
        <v>-213565</v>
      </c>
      <c r="P37" s="256">
        <f t="shared" si="19"/>
        <v>209515</v>
      </c>
      <c r="Q37" s="256">
        <f>'BOA INWARD'!K16+'BOA INWARD'!K37+'BOA INWARD'!K58+'BOA INWARD'!K79+SUMIF('BOA INWARD'!$E$95:$P$95,"SGST",'BOA INWARD'!E101:P101)</f>
        <v>0</v>
      </c>
      <c r="R37" s="256">
        <f>RECO!N82</f>
        <v>0</v>
      </c>
      <c r="S37" s="256">
        <f>'BOA INWARD'!K122</f>
        <v>0</v>
      </c>
      <c r="T37" s="80">
        <f t="shared" si="13"/>
        <v>0</v>
      </c>
      <c r="U37" s="80">
        <f t="shared" si="14"/>
        <v>4050</v>
      </c>
      <c r="V37" s="80">
        <f>IF(P37&lt;0,((R37+SUMIF('BOA OUT (GST)'!$B$77:$M$77,"SGST",'BOA OUT (GST)'!B83:M83)-(Q37-S37))-T37)-U37,((R37+SUMIF('BOA OUT (GST)'!$B$77:$M$77,"SGST",'BOA OUT (GST)'!B83:M83)-((P37+Q37)-S37))-T37)-U37)</f>
        <v>-213565</v>
      </c>
      <c r="W37" s="257">
        <f t="shared" si="20"/>
        <v>16768</v>
      </c>
      <c r="X37" s="257">
        <f>'BOA INWARD'!L16+'BOA INWARD'!L37+'BOA INWARD'!L58+'BOA INWARD'!L79</f>
        <v>0</v>
      </c>
      <c r="Y37" s="257">
        <f>RECO!R82</f>
        <v>0</v>
      </c>
      <c r="Z37" s="257">
        <f>'BOA INWARD'!L122</f>
        <v>0</v>
      </c>
      <c r="AA37" s="79">
        <v>0</v>
      </c>
      <c r="AB37" s="79">
        <f t="shared" si="15"/>
        <v>0</v>
      </c>
      <c r="AC37" s="79">
        <f t="shared" si="16"/>
        <v>-16768</v>
      </c>
    </row>
    <row r="38" spans="1:29" x14ac:dyDescent="0.3">
      <c r="A38" s="21">
        <f>DATE(INT(LEFT($B$3,4)),10,1)</f>
        <v>45931</v>
      </c>
      <c r="B38" s="256">
        <f t="shared" si="17"/>
        <v>4848544</v>
      </c>
      <c r="C38" s="256">
        <f>'BOA INWARD'!I17+'BOA INWARD'!I38+'BOA INWARD'!I59+'BOA INWARD'!I80+SUMIF('BOA INWARD'!$E$95:$P$95,"IGST",'BOA INWARD'!E102:P102)</f>
        <v>0</v>
      </c>
      <c r="D38" s="256">
        <f>RECO!F83</f>
        <v>0</v>
      </c>
      <c r="E38" s="256">
        <f>'BOA INWARD'!I123</f>
        <v>0</v>
      </c>
      <c r="F38" s="80">
        <f t="shared" si="9"/>
        <v>0</v>
      </c>
      <c r="G38" s="80">
        <f t="shared" si="10"/>
        <v>0</v>
      </c>
      <c r="H38" s="80">
        <f>IF(B38&lt;0,((D38+SUMIF('BOA OUT (GST)'!$B$77:$M$77,"IGST",'BOA OUT (GST)'!B84:M84)-(C38-E38))-F38)-G38,((D38+SUMIF('BOA OUT (GST)'!$B$77:$M$77,"IGST",'BOA OUT (GST)'!B84:M84)-((B38+C38)-E38))-F38)-G38)</f>
        <v>-4848544</v>
      </c>
      <c r="I38" s="257">
        <f t="shared" si="18"/>
        <v>213565</v>
      </c>
      <c r="J38" s="257">
        <f>'BOA INWARD'!J17+'BOA INWARD'!J38+'BOA INWARD'!J59+'BOA INWARD'!J80+SUMIF('BOA INWARD'!$E$95:$P$95,"CGST",'BOA INWARD'!E102:P102)</f>
        <v>0</v>
      </c>
      <c r="K38" s="257">
        <f>RECO!J83</f>
        <v>0</v>
      </c>
      <c r="L38" s="257">
        <f>'BOA INWARD'!J123</f>
        <v>0</v>
      </c>
      <c r="M38" s="79">
        <f t="shared" si="11"/>
        <v>0</v>
      </c>
      <c r="N38" s="79">
        <f t="shared" si="12"/>
        <v>195604</v>
      </c>
      <c r="O38" s="79">
        <f>IF(I38&lt;0,(((K38+SUMIF('BOA OUT (GST)'!$B$77:$M$77,"CGST",'BOA OUT (GST)'!B84:M84))-(J38-L38))-M38)-N38,(((K38+SUMIF('BOA OUT (GST)'!$B$77:$M$77,"CGST",'BOA OUT (GST)'!B84:M84))-((I38+J38)-L38))-M38)-N38)</f>
        <v>-409169</v>
      </c>
      <c r="P38" s="256">
        <f t="shared" si="19"/>
        <v>213565</v>
      </c>
      <c r="Q38" s="256">
        <f>'BOA INWARD'!K17+'BOA INWARD'!K38+'BOA INWARD'!K59+'BOA INWARD'!K80+SUMIF('BOA INWARD'!$E$95:$P$95,"SGST",'BOA INWARD'!E102:P102)</f>
        <v>0</v>
      </c>
      <c r="R38" s="256">
        <f>RECO!N83</f>
        <v>0</v>
      </c>
      <c r="S38" s="256">
        <f>'BOA INWARD'!K123</f>
        <v>0</v>
      </c>
      <c r="T38" s="80">
        <f t="shared" si="13"/>
        <v>0</v>
      </c>
      <c r="U38" s="80">
        <f t="shared" si="14"/>
        <v>195603</v>
      </c>
      <c r="V38" s="80">
        <f>IF(P38&lt;0,((R38+SUMIF('BOA OUT (GST)'!$B$77:$M$77,"SGST",'BOA OUT (GST)'!B84:M84)-(Q38-S38))-T38)-U38,((R38+SUMIF('BOA OUT (GST)'!$B$77:$M$77,"SGST",'BOA OUT (GST)'!B84:M84)-((P38+Q38)-S38))-T38)-U38)</f>
        <v>-409168</v>
      </c>
      <c r="W38" s="257">
        <f t="shared" si="20"/>
        <v>16768</v>
      </c>
      <c r="X38" s="257">
        <f>'BOA INWARD'!L17+'BOA INWARD'!L38+'BOA INWARD'!L59+'BOA INWARD'!L80</f>
        <v>0</v>
      </c>
      <c r="Y38" s="257">
        <f>RECO!R83</f>
        <v>0</v>
      </c>
      <c r="Z38" s="257">
        <f>'BOA INWARD'!L123</f>
        <v>0</v>
      </c>
      <c r="AA38" s="79">
        <v>0</v>
      </c>
      <c r="AB38" s="79">
        <f t="shared" si="15"/>
        <v>0</v>
      </c>
      <c r="AC38" s="79">
        <f t="shared" si="16"/>
        <v>-16768</v>
      </c>
    </row>
    <row r="39" spans="1:29" x14ac:dyDescent="0.3">
      <c r="A39" s="21">
        <f>DATE(INT(LEFT($B$3,4)),11,1)</f>
        <v>45962</v>
      </c>
      <c r="B39" s="256">
        <f t="shared" si="17"/>
        <v>4848544</v>
      </c>
      <c r="C39" s="256">
        <f>'BOA INWARD'!I18+'BOA INWARD'!I39+'BOA INWARD'!I60+'BOA INWARD'!I81+SUMIF('BOA INWARD'!$E$95:$P$95,"IGST",'BOA INWARD'!E103:P103)</f>
        <v>0</v>
      </c>
      <c r="D39" s="256">
        <f>RECO!F84</f>
        <v>0</v>
      </c>
      <c r="E39" s="256">
        <f>'BOA INWARD'!I124</f>
        <v>0</v>
      </c>
      <c r="F39" s="80">
        <f t="shared" si="9"/>
        <v>0</v>
      </c>
      <c r="G39" s="80">
        <f t="shared" si="10"/>
        <v>96886</v>
      </c>
      <c r="H39" s="80">
        <f>IF(B39&lt;0,((D39+SUMIF('BOA OUT (GST)'!$B$77:$M$77,"IGST",'BOA OUT (GST)'!B85:M85)-(C39-E39))-F39)-G39,((D39+SUMIF('BOA OUT (GST)'!$B$77:$M$77,"IGST",'BOA OUT (GST)'!B85:M85)-((B39+C39)-E39))-F39)-G39)</f>
        <v>-4945430</v>
      </c>
      <c r="I39" s="257">
        <f t="shared" si="18"/>
        <v>409169</v>
      </c>
      <c r="J39" s="257">
        <f>'BOA INWARD'!J18+'BOA INWARD'!J39+'BOA INWARD'!J60+'BOA INWARD'!J81+SUMIF('BOA INWARD'!$E$95:$P$95,"CGST",'BOA INWARD'!E103:P103)</f>
        <v>0</v>
      </c>
      <c r="K39" s="257">
        <f>RECO!J84</f>
        <v>0</v>
      </c>
      <c r="L39" s="257">
        <f>'BOA INWARD'!J124</f>
        <v>0</v>
      </c>
      <c r="M39" s="79">
        <f t="shared" si="11"/>
        <v>0</v>
      </c>
      <c r="N39" s="79">
        <f t="shared" si="12"/>
        <v>8586</v>
      </c>
      <c r="O39" s="79">
        <f>IF(I39&lt;0,(((K39+SUMIF('BOA OUT (GST)'!$B$77:$M$77,"CGST",'BOA OUT (GST)'!B85:M85))-(J39-L39))-M39)-N39,(((K39+SUMIF('BOA OUT (GST)'!$B$77:$M$77,"CGST",'BOA OUT (GST)'!B85:M85))-((I39+J39)-L39))-M39)-N39)</f>
        <v>-417755</v>
      </c>
      <c r="P39" s="256">
        <f t="shared" si="19"/>
        <v>409168</v>
      </c>
      <c r="Q39" s="256">
        <f>'BOA INWARD'!K18+'BOA INWARD'!K39+'BOA INWARD'!K60+'BOA INWARD'!K81+SUMIF('BOA INWARD'!$E$95:$P$95,"SGST",'BOA INWARD'!E103:P103)</f>
        <v>0</v>
      </c>
      <c r="R39" s="256">
        <f>RECO!N84</f>
        <v>0</v>
      </c>
      <c r="S39" s="256">
        <f>'BOA INWARD'!K124</f>
        <v>0</v>
      </c>
      <c r="T39" s="80">
        <f t="shared" si="13"/>
        <v>0</v>
      </c>
      <c r="U39" s="80">
        <f t="shared" si="14"/>
        <v>8586</v>
      </c>
      <c r="V39" s="80">
        <f>IF(P39&lt;0,((R39+SUMIF('BOA OUT (GST)'!$B$77:$M$77,"SGST",'BOA OUT (GST)'!B85:M85)-(Q39-S39))-T39)-U39,((R39+SUMIF('BOA OUT (GST)'!$B$77:$M$77,"SGST",'BOA OUT (GST)'!B85:M85)-((P39+Q39)-S39))-T39)-U39)</f>
        <v>-417754</v>
      </c>
      <c r="W39" s="257">
        <f t="shared" si="20"/>
        <v>16768</v>
      </c>
      <c r="X39" s="257">
        <f>'BOA INWARD'!L18+'BOA INWARD'!L39+'BOA INWARD'!L60+'BOA INWARD'!L81</f>
        <v>0</v>
      </c>
      <c r="Y39" s="257">
        <f>RECO!R84</f>
        <v>0</v>
      </c>
      <c r="Z39" s="257">
        <f>'BOA INWARD'!L124</f>
        <v>0</v>
      </c>
      <c r="AA39" s="79">
        <v>0</v>
      </c>
      <c r="AB39" s="79">
        <f t="shared" si="15"/>
        <v>0</v>
      </c>
      <c r="AC39" s="79">
        <f t="shared" si="16"/>
        <v>-16768</v>
      </c>
    </row>
    <row r="40" spans="1:29" x14ac:dyDescent="0.3">
      <c r="A40" s="21">
        <f>DATE(INT(LEFT($B$3,4)),12,1)</f>
        <v>45992</v>
      </c>
      <c r="B40" s="256">
        <f t="shared" si="17"/>
        <v>4945430</v>
      </c>
      <c r="C40" s="256">
        <f>'BOA INWARD'!I19+'BOA INWARD'!I40+'BOA INWARD'!I61+'BOA INWARD'!I82+SUMIF('BOA INWARD'!$E$95:$P$95,"IGST",'BOA INWARD'!E104:P104)</f>
        <v>0</v>
      </c>
      <c r="D40" s="256">
        <f>RECO!F85</f>
        <v>0</v>
      </c>
      <c r="E40" s="256">
        <f>'BOA INWARD'!I125</f>
        <v>0</v>
      </c>
      <c r="F40" s="80">
        <f t="shared" si="9"/>
        <v>0</v>
      </c>
      <c r="G40" s="80">
        <f t="shared" si="10"/>
        <v>0</v>
      </c>
      <c r="H40" s="80">
        <f>IF(B40&lt;0,((D40+SUMIF('BOA OUT (GST)'!$B$77:$M$77,"IGST",'BOA OUT (GST)'!B86:M86)-(C40-E40))-F40)-G40,((D40+SUMIF('BOA OUT (GST)'!$B$77:$M$77,"IGST",'BOA OUT (GST)'!B86:M86)-((B40+C40)-E40))-F40)-G40)</f>
        <v>-4945430</v>
      </c>
      <c r="I40" s="257">
        <f t="shared" si="18"/>
        <v>417755</v>
      </c>
      <c r="J40" s="257">
        <f>'BOA INWARD'!J19+'BOA INWARD'!J40+'BOA INWARD'!J61+'BOA INWARD'!J82+SUMIF('BOA INWARD'!$E$95:$P$95,"CGST",'BOA INWARD'!E104:P104)</f>
        <v>0</v>
      </c>
      <c r="K40" s="257">
        <f>RECO!J85</f>
        <v>0</v>
      </c>
      <c r="L40" s="257">
        <f>'BOA INWARD'!J125</f>
        <v>0</v>
      </c>
      <c r="M40" s="79">
        <f t="shared" si="11"/>
        <v>0</v>
      </c>
      <c r="N40" s="79">
        <f t="shared" si="12"/>
        <v>1125</v>
      </c>
      <c r="O40" s="79">
        <f>IF(I40&lt;0,(((K40+SUMIF('BOA OUT (GST)'!$B$77:$M$77,"CGST",'BOA OUT (GST)'!B86:M86))-(J40-L40))-M40)-N40,(((K40+SUMIF('BOA OUT (GST)'!$B$77:$M$77,"CGST",'BOA OUT (GST)'!B86:M86))-((I40+J40)-L40))-M40)-N40)</f>
        <v>-418880</v>
      </c>
      <c r="P40" s="256">
        <f t="shared" si="19"/>
        <v>417754</v>
      </c>
      <c r="Q40" s="256">
        <f>'BOA INWARD'!K19+'BOA INWARD'!K40+'BOA INWARD'!K61+'BOA INWARD'!K82+SUMIF('BOA INWARD'!$E$95:$P$95,"SGST",'BOA INWARD'!E104:P104)</f>
        <v>0</v>
      </c>
      <c r="R40" s="256">
        <f>RECO!N85</f>
        <v>0</v>
      </c>
      <c r="S40" s="256">
        <f>'BOA INWARD'!K125</f>
        <v>0</v>
      </c>
      <c r="T40" s="80">
        <f t="shared" si="13"/>
        <v>0</v>
      </c>
      <c r="U40" s="80">
        <f t="shared" si="14"/>
        <v>1125</v>
      </c>
      <c r="V40" s="80">
        <f>IF(P40&lt;0,((R40+SUMIF('BOA OUT (GST)'!$B$77:$M$77,"SGST",'BOA OUT (GST)'!B86:M86)-(Q40-S40))-T40)-U40,((R40+SUMIF('BOA OUT (GST)'!$B$77:$M$77,"SGST",'BOA OUT (GST)'!B86:M86)-((P40+Q40)-S40))-T40)-U40)</f>
        <v>-418879</v>
      </c>
      <c r="W40" s="257">
        <f t="shared" si="20"/>
        <v>16768</v>
      </c>
      <c r="X40" s="257">
        <f>'BOA INWARD'!L19+'BOA INWARD'!L40+'BOA INWARD'!L61+'BOA INWARD'!L82</f>
        <v>0</v>
      </c>
      <c r="Y40" s="257">
        <f>RECO!R85</f>
        <v>0</v>
      </c>
      <c r="Z40" s="257">
        <f>'BOA INWARD'!L125</f>
        <v>0</v>
      </c>
      <c r="AA40" s="79">
        <v>0</v>
      </c>
      <c r="AB40" s="79">
        <f t="shared" si="15"/>
        <v>0</v>
      </c>
      <c r="AC40" s="79">
        <f t="shared" si="16"/>
        <v>-16768</v>
      </c>
    </row>
    <row r="41" spans="1:29" x14ac:dyDescent="0.3">
      <c r="A41" s="21">
        <f>DATE(INT(LEFT($B$3,4))+1,1,1)</f>
        <v>46023</v>
      </c>
      <c r="B41" s="256">
        <f t="shared" si="17"/>
        <v>4945430</v>
      </c>
      <c r="C41" s="256">
        <f>'BOA INWARD'!I20+'BOA INWARD'!I41+'BOA INWARD'!I62+'BOA INWARD'!I83+SUMIF('BOA INWARD'!$E$95:$P$95,"IGST",'BOA INWARD'!E105:P105)</f>
        <v>0</v>
      </c>
      <c r="D41" s="256">
        <f>RECO!F86</f>
        <v>0</v>
      </c>
      <c r="E41" s="256">
        <f>'BOA INWARD'!I126</f>
        <v>0</v>
      </c>
      <c r="F41" s="80">
        <f t="shared" si="9"/>
        <v>0</v>
      </c>
      <c r="G41" s="80">
        <f t="shared" si="10"/>
        <v>897248</v>
      </c>
      <c r="H41" s="80">
        <f>IF(B41&lt;0,((D41+SUMIF('BOA OUT (GST)'!$B$77:$M$77,"IGST",'BOA OUT (GST)'!B87:M87)-(C41-E41))-F41)-G41,((D41+SUMIF('BOA OUT (GST)'!$B$77:$M$77,"IGST",'BOA OUT (GST)'!B87:M87)-((B41+C41)-E41))-F41)-G41)</f>
        <v>-5842678</v>
      </c>
      <c r="I41" s="257">
        <f t="shared" si="18"/>
        <v>418880</v>
      </c>
      <c r="J41" s="257">
        <f>'BOA INWARD'!J20+'BOA INWARD'!J41+'BOA INWARD'!J62+'BOA INWARD'!J83+SUMIF('BOA INWARD'!$E$95:$P$95,"CGST",'BOA INWARD'!E105:P105)</f>
        <v>0</v>
      </c>
      <c r="K41" s="257">
        <f>RECO!J86</f>
        <v>0</v>
      </c>
      <c r="L41" s="257">
        <f>'BOA INWARD'!J126</f>
        <v>0</v>
      </c>
      <c r="M41" s="79">
        <f t="shared" si="11"/>
        <v>0</v>
      </c>
      <c r="N41" s="79">
        <f t="shared" si="12"/>
        <v>4050</v>
      </c>
      <c r="O41" s="79">
        <f>IF(I41&lt;0,(((K41+SUMIF('BOA OUT (GST)'!$B$77:$M$77,"CGST",'BOA OUT (GST)'!B87:M87))-(J41-L41))-M41)-N41,(((K41+SUMIF('BOA OUT (GST)'!$B$77:$M$77,"CGST",'BOA OUT (GST)'!B87:M87))-((I41+J41)-L41))-M41)-N41)</f>
        <v>-422930</v>
      </c>
      <c r="P41" s="256">
        <f t="shared" si="19"/>
        <v>418879</v>
      </c>
      <c r="Q41" s="256">
        <f>'BOA INWARD'!K20+'BOA INWARD'!K41+'BOA INWARD'!K62+'BOA INWARD'!K83+SUMIF('BOA INWARD'!$E$95:$P$95,"SGST",'BOA INWARD'!E105:P105)</f>
        <v>0</v>
      </c>
      <c r="R41" s="256">
        <f>RECO!N86</f>
        <v>0</v>
      </c>
      <c r="S41" s="256">
        <f>'BOA INWARD'!K126</f>
        <v>0</v>
      </c>
      <c r="T41" s="80">
        <f t="shared" si="13"/>
        <v>0</v>
      </c>
      <c r="U41" s="80">
        <f t="shared" si="14"/>
        <v>4050</v>
      </c>
      <c r="V41" s="80">
        <f>IF(P41&lt;0,((R41+SUMIF('BOA OUT (GST)'!$B$77:$M$77,"SGST",'BOA OUT (GST)'!B87:M87)-(Q41-S41))-T41)-U41,((R41+SUMIF('BOA OUT (GST)'!$B$77:$M$77,"SGST",'BOA OUT (GST)'!B87:M87)-((P41+Q41)-S41))-T41)-U41)</f>
        <v>-422929</v>
      </c>
      <c r="W41" s="257">
        <f t="shared" si="20"/>
        <v>16768</v>
      </c>
      <c r="X41" s="257">
        <f>'BOA INWARD'!L20+'BOA INWARD'!L41+'BOA INWARD'!L62+'BOA INWARD'!L83</f>
        <v>0</v>
      </c>
      <c r="Y41" s="257">
        <f>RECO!R86</f>
        <v>0</v>
      </c>
      <c r="Z41" s="257">
        <f>'BOA INWARD'!L126</f>
        <v>0</v>
      </c>
      <c r="AA41" s="79">
        <v>0</v>
      </c>
      <c r="AB41" s="79">
        <f t="shared" si="15"/>
        <v>0</v>
      </c>
      <c r="AC41" s="79">
        <f t="shared" si="16"/>
        <v>-16768</v>
      </c>
    </row>
    <row r="42" spans="1:29" x14ac:dyDescent="0.3">
      <c r="A42" s="21">
        <f>DATE(INT(LEFT($B$3,4))+1,2,1)</f>
        <v>46054</v>
      </c>
      <c r="B42" s="256">
        <f t="shared" si="17"/>
        <v>5842678</v>
      </c>
      <c r="C42" s="256">
        <f>'BOA INWARD'!I21+'BOA INWARD'!I42+'BOA INWARD'!I63+'BOA INWARD'!I84+SUMIF('BOA INWARD'!$E$95:$P$95,"IGST",'BOA INWARD'!E106:P106)</f>
        <v>0</v>
      </c>
      <c r="D42" s="256">
        <f>RECO!F87</f>
        <v>0</v>
      </c>
      <c r="E42" s="256">
        <f>'BOA INWARD'!I127</f>
        <v>0</v>
      </c>
      <c r="F42" s="80">
        <f t="shared" si="9"/>
        <v>0</v>
      </c>
      <c r="G42" s="80">
        <f t="shared" si="10"/>
        <v>0</v>
      </c>
      <c r="H42" s="80">
        <f>IF(B42&lt;0,((D42+SUMIF('BOA OUT (GST)'!$B$77:$M$77,"IGST",'BOA OUT (GST)'!B88:M88)-(C42-E42))-F42)-G42,((D42+SUMIF('BOA OUT (GST)'!$B$77:$M$77,"IGST",'BOA OUT (GST)'!B88:M88)-((B42+C42)-E42))-F42)-G42)</f>
        <v>-5842678</v>
      </c>
      <c r="I42" s="257">
        <f t="shared" si="18"/>
        <v>422930</v>
      </c>
      <c r="J42" s="257">
        <f>'BOA INWARD'!J21+'BOA INWARD'!J42+'BOA INWARD'!J63+'BOA INWARD'!J84+SUMIF('BOA INWARD'!$E$95:$P$95,"CGST",'BOA INWARD'!E106:P106)</f>
        <v>0</v>
      </c>
      <c r="K42" s="257">
        <f>RECO!J87</f>
        <v>0</v>
      </c>
      <c r="L42" s="257">
        <f>'BOA INWARD'!J127</f>
        <v>0</v>
      </c>
      <c r="M42" s="79">
        <f t="shared" si="11"/>
        <v>0</v>
      </c>
      <c r="N42" s="79">
        <f t="shared" si="12"/>
        <v>105616</v>
      </c>
      <c r="O42" s="79">
        <f>IF(I42&lt;0,(((K42+SUMIF('BOA OUT (GST)'!$B$77:$M$77,"CGST",'BOA OUT (GST)'!B88:M88))-(J42-L42))-M42)-N42,(((K42+SUMIF('BOA OUT (GST)'!$B$77:$M$77,"CGST",'BOA OUT (GST)'!B88:M88))-((I42+J42)-L42))-M42)-N42)</f>
        <v>-528546</v>
      </c>
      <c r="P42" s="256">
        <f t="shared" si="19"/>
        <v>422929</v>
      </c>
      <c r="Q42" s="256">
        <f>'BOA INWARD'!K21+'BOA INWARD'!K42+'BOA INWARD'!K63+'BOA INWARD'!K84+SUMIF('BOA INWARD'!$E$95:$P$95,"SGST",'BOA INWARD'!E106:P106)</f>
        <v>0</v>
      </c>
      <c r="R42" s="256">
        <f>RECO!N87</f>
        <v>0</v>
      </c>
      <c r="S42" s="256">
        <f>'BOA INWARD'!K127</f>
        <v>0</v>
      </c>
      <c r="T42" s="80">
        <f t="shared" si="13"/>
        <v>0</v>
      </c>
      <c r="U42" s="80">
        <f t="shared" si="14"/>
        <v>105616</v>
      </c>
      <c r="V42" s="80">
        <f>IF(P42&lt;0,((R42+SUMIF('BOA OUT (GST)'!$B$77:$M$77,"SGST",'BOA OUT (GST)'!B88:M88)-(Q42-S42))-T42)-U42,((R42+SUMIF('BOA OUT (GST)'!$B$77:$M$77,"SGST",'BOA OUT (GST)'!B88:M88)-((P42+Q42)-S42))-T42)-U42)</f>
        <v>-528545</v>
      </c>
      <c r="W42" s="257">
        <f t="shared" si="20"/>
        <v>16768</v>
      </c>
      <c r="X42" s="257">
        <f>'BOA INWARD'!L21+'BOA INWARD'!L42+'BOA INWARD'!L63+'BOA INWARD'!L84</f>
        <v>0</v>
      </c>
      <c r="Y42" s="257">
        <f>RECO!R87</f>
        <v>0</v>
      </c>
      <c r="Z42" s="257">
        <f>'BOA INWARD'!L127</f>
        <v>0</v>
      </c>
      <c r="AA42" s="79">
        <v>0</v>
      </c>
      <c r="AB42" s="79">
        <f t="shared" si="15"/>
        <v>0</v>
      </c>
      <c r="AC42" s="79">
        <f t="shared" si="16"/>
        <v>-16768</v>
      </c>
    </row>
    <row r="43" spans="1:29" x14ac:dyDescent="0.3">
      <c r="A43" s="21">
        <f>DATE(INT(LEFT($B$3,4))+1,3,1)</f>
        <v>46082</v>
      </c>
      <c r="B43" s="256">
        <f t="shared" si="17"/>
        <v>5842678</v>
      </c>
      <c r="C43" s="256">
        <f>'BOA INWARD'!I22+'BOA INWARD'!I43+'BOA INWARD'!I64+'BOA INWARD'!I85+SUMIF('BOA INWARD'!$E$95:$P$95,"IGST",'BOA INWARD'!E107:P107)</f>
        <v>0</v>
      </c>
      <c r="D43" s="256">
        <f>RECO!F88</f>
        <v>0</v>
      </c>
      <c r="E43" s="256">
        <f>'BOA INWARD'!I128</f>
        <v>0</v>
      </c>
      <c r="F43" s="80">
        <f t="shared" si="9"/>
        <v>0</v>
      </c>
      <c r="G43" s="80">
        <f t="shared" si="10"/>
        <v>0</v>
      </c>
      <c r="H43" s="80">
        <f>IF(B43&lt;0,((D43+SUMIF('BOA OUT (GST)'!$B$77:$M$77,"IGST",'BOA OUT (GST)'!B89:M89)-(C43-E43))-F43)-G43,((D43+SUMIF('BOA OUT (GST)'!$B$77:$M$77,"IGST",'BOA OUT (GST)'!B89:M89)-((B43+C43)-E43))-F43)-G43)</f>
        <v>-5842678</v>
      </c>
      <c r="I43" s="257">
        <f t="shared" si="18"/>
        <v>528546</v>
      </c>
      <c r="J43" s="257">
        <f>'BOA INWARD'!J22+'BOA INWARD'!J43+'BOA INWARD'!J64+'BOA INWARD'!J85+SUMIF('BOA INWARD'!$E$95:$P$95,"CGST",'BOA INWARD'!E107:P107)</f>
        <v>0</v>
      </c>
      <c r="K43" s="257">
        <f>RECO!J88</f>
        <v>0</v>
      </c>
      <c r="L43" s="257">
        <f>'BOA INWARD'!J128</f>
        <v>0</v>
      </c>
      <c r="M43" s="79">
        <f t="shared" si="11"/>
        <v>0</v>
      </c>
      <c r="N43" s="79">
        <f t="shared" si="12"/>
        <v>4050</v>
      </c>
      <c r="O43" s="79">
        <f>IF(I43&lt;0,(((K43+SUMIF('BOA OUT (GST)'!$B$77:$M$77,"CGST",'BOA OUT (GST)'!B89:M89))-(J43-L43))-M43)-N43,(((K43+SUMIF('BOA OUT (GST)'!$B$77:$M$77,"CGST",'BOA OUT (GST)'!B89:M89))-((I43+J43)-L43))-M43)-N43)</f>
        <v>-532596</v>
      </c>
      <c r="P43" s="256">
        <f t="shared" si="19"/>
        <v>528545</v>
      </c>
      <c r="Q43" s="256">
        <f>'BOA INWARD'!K22+'BOA INWARD'!K43+'BOA INWARD'!K64+'BOA INWARD'!K85+SUMIF('BOA INWARD'!$E$95:$P$95,"SGST",'BOA INWARD'!E107:P107)</f>
        <v>0</v>
      </c>
      <c r="R43" s="256">
        <f>RECO!N88</f>
        <v>0</v>
      </c>
      <c r="S43" s="256">
        <f>'BOA INWARD'!K128</f>
        <v>0</v>
      </c>
      <c r="T43" s="80">
        <f t="shared" si="13"/>
        <v>0</v>
      </c>
      <c r="U43" s="80">
        <f t="shared" si="14"/>
        <v>4050</v>
      </c>
      <c r="V43" s="80">
        <f>IF(P43&lt;0,((R43+SUMIF('BOA OUT (GST)'!$B$77:$M$77,"SGST",'BOA OUT (GST)'!B89:M89)-(Q43-S43))-T43)-U43,((R43+SUMIF('BOA OUT (GST)'!$B$77:$M$77,"SGST",'BOA OUT (GST)'!B89:M89)-((P43+Q43)-S43))-T43)-U43)</f>
        <v>-532595</v>
      </c>
      <c r="W43" s="257">
        <f t="shared" si="20"/>
        <v>16768</v>
      </c>
      <c r="X43" s="257">
        <f>'BOA INWARD'!L22+'BOA INWARD'!L43+'BOA INWARD'!L64+'BOA INWARD'!L85</f>
        <v>0</v>
      </c>
      <c r="Y43" s="257">
        <f>RECO!R88</f>
        <v>0</v>
      </c>
      <c r="Z43" s="257">
        <f>'BOA INWARD'!L128</f>
        <v>0</v>
      </c>
      <c r="AA43" s="79">
        <v>0</v>
      </c>
      <c r="AB43" s="79">
        <f t="shared" si="15"/>
        <v>0</v>
      </c>
      <c r="AC43" s="79">
        <f t="shared" si="16"/>
        <v>-16768</v>
      </c>
    </row>
    <row r="44" spans="1:29" x14ac:dyDescent="0.3">
      <c r="A44" s="355"/>
      <c r="B44" s="411"/>
      <c r="C44" s="411"/>
      <c r="D44" s="411"/>
      <c r="E44" s="411"/>
      <c r="F44" s="371"/>
      <c r="G44" s="371"/>
      <c r="H44" s="371"/>
      <c r="I44" s="411"/>
      <c r="J44" s="411"/>
      <c r="K44" s="411"/>
      <c r="L44" s="411"/>
      <c r="M44" s="371"/>
      <c r="N44" s="371"/>
      <c r="O44" s="371"/>
      <c r="P44" s="411"/>
      <c r="Q44" s="411"/>
      <c r="R44" s="411"/>
      <c r="S44" s="411"/>
      <c r="T44" s="371"/>
      <c r="U44" s="371"/>
      <c r="V44" s="371"/>
      <c r="W44" s="411"/>
      <c r="X44" s="411"/>
      <c r="Y44" s="411"/>
      <c r="Z44" s="411"/>
      <c r="AA44" s="371"/>
      <c r="AB44" s="371"/>
      <c r="AC44" s="372"/>
    </row>
    <row r="45" spans="1:29" ht="16.8" x14ac:dyDescent="0.3">
      <c r="A45" s="358" t="s">
        <v>91</v>
      </c>
      <c r="B45" s="412">
        <f>SUM(B32:B43)</f>
        <v>50024018</v>
      </c>
      <c r="C45" s="412">
        <f t="shared" ref="C45:AC45" si="21">SUM(C32:C43)</f>
        <v>0</v>
      </c>
      <c r="D45" s="412">
        <f t="shared" si="21"/>
        <v>0</v>
      </c>
      <c r="E45" s="412">
        <f t="shared" si="21"/>
        <v>0</v>
      </c>
      <c r="F45" s="412">
        <f t="shared" si="21"/>
        <v>0</v>
      </c>
      <c r="G45" s="412">
        <f t="shared" si="21"/>
        <v>5842678</v>
      </c>
      <c r="H45" s="412">
        <f t="shared" si="21"/>
        <v>-55866696</v>
      </c>
      <c r="I45" s="412">
        <f t="shared" si="21"/>
        <v>3395426</v>
      </c>
      <c r="J45" s="412">
        <f t="shared" si="21"/>
        <v>0</v>
      </c>
      <c r="K45" s="412">
        <f t="shared" si="21"/>
        <v>0</v>
      </c>
      <c r="L45" s="412">
        <f t="shared" si="21"/>
        <v>0</v>
      </c>
      <c r="M45" s="412">
        <f t="shared" si="21"/>
        <v>0</v>
      </c>
      <c r="N45" s="412">
        <f t="shared" si="21"/>
        <v>532596</v>
      </c>
      <c r="O45" s="412">
        <f t="shared" si="21"/>
        <v>-3928022</v>
      </c>
      <c r="P45" s="412">
        <f t="shared" si="21"/>
        <v>3395421</v>
      </c>
      <c r="Q45" s="412">
        <f t="shared" si="21"/>
        <v>0</v>
      </c>
      <c r="R45" s="412">
        <f t="shared" si="21"/>
        <v>0</v>
      </c>
      <c r="S45" s="412">
        <f t="shared" si="21"/>
        <v>0</v>
      </c>
      <c r="T45" s="412">
        <f t="shared" si="21"/>
        <v>0</v>
      </c>
      <c r="U45" s="412">
        <f t="shared" si="21"/>
        <v>532595</v>
      </c>
      <c r="V45" s="412">
        <f t="shared" si="21"/>
        <v>-3928016</v>
      </c>
      <c r="W45" s="412">
        <f t="shared" si="21"/>
        <v>167680</v>
      </c>
      <c r="X45" s="412">
        <f t="shared" si="21"/>
        <v>0</v>
      </c>
      <c r="Y45" s="412">
        <f t="shared" si="21"/>
        <v>0</v>
      </c>
      <c r="Z45" s="412">
        <f t="shared" si="21"/>
        <v>0</v>
      </c>
      <c r="AA45" s="412">
        <f t="shared" si="21"/>
        <v>0</v>
      </c>
      <c r="AB45" s="412">
        <f t="shared" si="21"/>
        <v>16768</v>
      </c>
      <c r="AC45" s="413">
        <f t="shared" si="21"/>
        <v>-184448</v>
      </c>
    </row>
  </sheetData>
  <mergeCells count="12">
    <mergeCell ref="P30:V30"/>
    <mergeCell ref="W30:AC30"/>
    <mergeCell ref="B3:C3"/>
    <mergeCell ref="B4:C4"/>
    <mergeCell ref="I9:O9"/>
    <mergeCell ref="P9:V9"/>
    <mergeCell ref="W9:AC9"/>
    <mergeCell ref="A9:A10"/>
    <mergeCell ref="B9:H9"/>
    <mergeCell ref="A30:A31"/>
    <mergeCell ref="B30:H30"/>
    <mergeCell ref="I30:O3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S64"/>
  <sheetViews>
    <sheetView showGridLines="0" zoomScale="95" zoomScaleNormal="95" workbookViewId="0">
      <pane ySplit="9" topLeftCell="A10" activePane="bottomLeft" state="frozen"/>
      <selection pane="bottomLeft"/>
    </sheetView>
  </sheetViews>
  <sheetFormatPr defaultRowHeight="14.4" x14ac:dyDescent="0.3"/>
  <cols>
    <col min="1" max="1" width="21.109375" style="151" bestFit="1" customWidth="1"/>
    <col min="2" max="2" width="38.6640625" bestFit="1" customWidth="1"/>
    <col min="3" max="3" width="29.6640625" style="151" bestFit="1" customWidth="1"/>
    <col min="4" max="5" width="29.6640625" style="151" customWidth="1"/>
    <col min="6" max="6" width="28" style="151" customWidth="1"/>
    <col min="7" max="7" width="31" bestFit="1" customWidth="1"/>
    <col min="8" max="19" width="18.6640625" customWidth="1"/>
  </cols>
  <sheetData>
    <row r="1" spans="1:19" ht="3" customHeight="1" x14ac:dyDescent="0.3"/>
    <row r="2" spans="1:19" ht="17.399999999999999" x14ac:dyDescent="0.35">
      <c r="A2" s="311" t="s">
        <v>0</v>
      </c>
      <c r="B2" s="353">
        <f>'PREL INFO'!C2</f>
        <v>0</v>
      </c>
      <c r="C2" s="354"/>
      <c r="D2" s="152"/>
      <c r="E2" s="152"/>
      <c r="F2" s="152"/>
    </row>
    <row r="3" spans="1:19" ht="17.399999999999999" x14ac:dyDescent="0.35">
      <c r="A3" s="312" t="s">
        <v>9</v>
      </c>
      <c r="B3" s="519" t="str">
        <f>'PREL INFO'!C15</f>
        <v>2025-26</v>
      </c>
      <c r="C3" s="520"/>
      <c r="D3" s="73"/>
      <c r="E3" s="73"/>
      <c r="F3" s="73"/>
    </row>
    <row r="4" spans="1:19" ht="17.399999999999999" x14ac:dyDescent="0.35">
      <c r="A4" s="313" t="s">
        <v>78</v>
      </c>
      <c r="B4" s="521" t="s">
        <v>236</v>
      </c>
      <c r="C4" s="522"/>
      <c r="D4" s="73"/>
      <c r="E4" s="73"/>
      <c r="F4" s="73"/>
    </row>
    <row r="6" spans="1:19" x14ac:dyDescent="0.3">
      <c r="C6"/>
      <c r="D6"/>
      <c r="E6"/>
      <c r="F6"/>
    </row>
    <row r="7" spans="1:19" ht="18" customHeight="1" x14ac:dyDescent="0.3">
      <c r="A7" s="317" t="s">
        <v>81</v>
      </c>
      <c r="B7" s="153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4"/>
    </row>
    <row r="8" spans="1:19" ht="20.100000000000001" customHeight="1" x14ac:dyDescent="0.3">
      <c r="A8" s="527" t="s">
        <v>237</v>
      </c>
      <c r="B8" s="563" t="s">
        <v>238</v>
      </c>
      <c r="C8" s="563" t="s">
        <v>239</v>
      </c>
      <c r="D8" s="564" t="s">
        <v>276</v>
      </c>
      <c r="E8" s="564" t="s">
        <v>276</v>
      </c>
      <c r="F8" s="564" t="s">
        <v>278</v>
      </c>
      <c r="G8" s="564" t="s">
        <v>277</v>
      </c>
      <c r="H8" s="514" t="s">
        <v>240</v>
      </c>
      <c r="I8" s="514"/>
      <c r="J8" s="514"/>
      <c r="K8" s="514"/>
      <c r="L8" s="514" t="s">
        <v>241</v>
      </c>
      <c r="M8" s="514"/>
      <c r="N8" s="514"/>
      <c r="O8" s="514"/>
      <c r="P8" s="514" t="s">
        <v>242</v>
      </c>
      <c r="Q8" s="514"/>
      <c r="R8" s="514"/>
      <c r="S8" s="515"/>
    </row>
    <row r="9" spans="1:19" ht="20.100000000000001" customHeight="1" x14ac:dyDescent="0.3">
      <c r="A9" s="527"/>
      <c r="B9" s="563"/>
      <c r="C9" s="563"/>
      <c r="D9" s="565"/>
      <c r="E9" s="565"/>
      <c r="F9" s="565"/>
      <c r="G9" s="565"/>
      <c r="H9" s="328" t="s">
        <v>101</v>
      </c>
      <c r="I9" s="328" t="s">
        <v>105</v>
      </c>
      <c r="J9" s="328" t="s">
        <v>106</v>
      </c>
      <c r="K9" s="328" t="s">
        <v>90</v>
      </c>
      <c r="L9" s="328" t="s">
        <v>101</v>
      </c>
      <c r="M9" s="328" t="s">
        <v>105</v>
      </c>
      <c r="N9" s="328" t="s">
        <v>106</v>
      </c>
      <c r="O9" s="328" t="s">
        <v>90</v>
      </c>
      <c r="P9" s="328" t="s">
        <v>101</v>
      </c>
      <c r="Q9" s="328" t="s">
        <v>105</v>
      </c>
      <c r="R9" s="328" t="s">
        <v>106</v>
      </c>
      <c r="S9" s="329" t="s">
        <v>90</v>
      </c>
    </row>
    <row r="10" spans="1:19" x14ac:dyDescent="0.3">
      <c r="A10" s="155">
        <v>1</v>
      </c>
      <c r="B10" s="156" t="s">
        <v>243</v>
      </c>
      <c r="C10" s="155" t="s">
        <v>249</v>
      </c>
      <c r="D10" s="155"/>
      <c r="E10" s="155"/>
      <c r="F10" s="155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</row>
    <row r="11" spans="1:19" x14ac:dyDescent="0.3">
      <c r="A11" s="158">
        <f>A10+1</f>
        <v>2</v>
      </c>
      <c r="B11" s="159" t="s">
        <v>500</v>
      </c>
      <c r="C11" s="158" t="s">
        <v>504</v>
      </c>
      <c r="D11" s="158"/>
      <c r="E11" s="158"/>
      <c r="F11" s="158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</row>
    <row r="12" spans="1:19" x14ac:dyDescent="0.3">
      <c r="A12" s="158">
        <f t="shared" ref="A12:A39" si="0">A11+1</f>
        <v>3</v>
      </c>
      <c r="B12" s="159" t="s">
        <v>501</v>
      </c>
      <c r="C12" s="158" t="s">
        <v>504</v>
      </c>
      <c r="D12" s="158"/>
      <c r="E12" s="158"/>
      <c r="F12" s="158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</row>
    <row r="13" spans="1:19" x14ac:dyDescent="0.3">
      <c r="A13" s="158">
        <f t="shared" si="0"/>
        <v>4</v>
      </c>
      <c r="B13" s="159" t="s">
        <v>502</v>
      </c>
      <c r="C13" s="158" t="s">
        <v>504</v>
      </c>
      <c r="D13" s="158"/>
      <c r="E13" s="158"/>
      <c r="F13" s="158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</row>
    <row r="14" spans="1:19" x14ac:dyDescent="0.3">
      <c r="A14" s="158">
        <f t="shared" si="0"/>
        <v>5</v>
      </c>
      <c r="B14" s="159" t="s">
        <v>503</v>
      </c>
      <c r="C14" s="158" t="s">
        <v>504</v>
      </c>
      <c r="D14" s="158"/>
      <c r="E14" s="158"/>
      <c r="F14" s="158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</row>
    <row r="15" spans="1:19" x14ac:dyDescent="0.3">
      <c r="A15" s="158">
        <f t="shared" si="0"/>
        <v>6</v>
      </c>
      <c r="B15" s="159" t="s">
        <v>234</v>
      </c>
      <c r="C15" s="158" t="s">
        <v>505</v>
      </c>
      <c r="D15" s="158"/>
      <c r="E15" s="158"/>
      <c r="F15" s="158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</row>
    <row r="16" spans="1:19" x14ac:dyDescent="0.3">
      <c r="A16" s="158">
        <f t="shared" si="0"/>
        <v>7</v>
      </c>
      <c r="B16" s="159" t="s">
        <v>506</v>
      </c>
      <c r="C16" s="158" t="s">
        <v>505</v>
      </c>
      <c r="D16" s="158"/>
      <c r="E16" s="158"/>
      <c r="F16" s="158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</row>
    <row r="17" spans="1:19" x14ac:dyDescent="0.3">
      <c r="A17" s="158">
        <f t="shared" si="0"/>
        <v>8</v>
      </c>
      <c r="B17" s="159" t="s">
        <v>255</v>
      </c>
      <c r="C17" s="158" t="s">
        <v>505</v>
      </c>
      <c r="D17" s="158"/>
      <c r="E17" s="158"/>
      <c r="F17" s="158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</row>
    <row r="18" spans="1:19" x14ac:dyDescent="0.3">
      <c r="A18" s="158">
        <f t="shared" si="0"/>
        <v>9</v>
      </c>
      <c r="B18" s="159" t="s">
        <v>507</v>
      </c>
      <c r="C18" s="158" t="s">
        <v>505</v>
      </c>
      <c r="D18" s="158"/>
      <c r="E18" s="158"/>
      <c r="F18" s="158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</row>
    <row r="19" spans="1:19" x14ac:dyDescent="0.3">
      <c r="A19" s="158">
        <f t="shared" si="0"/>
        <v>10</v>
      </c>
      <c r="B19" s="159" t="s">
        <v>508</v>
      </c>
      <c r="C19" s="158" t="s">
        <v>505</v>
      </c>
      <c r="D19" s="158"/>
      <c r="E19" s="158"/>
      <c r="F19" s="158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</row>
    <row r="20" spans="1:19" x14ac:dyDescent="0.3">
      <c r="A20" s="158">
        <f t="shared" si="0"/>
        <v>11</v>
      </c>
      <c r="B20" s="274" t="s">
        <v>509</v>
      </c>
      <c r="C20" s="158" t="s">
        <v>505</v>
      </c>
      <c r="D20" s="275"/>
      <c r="E20" s="275"/>
      <c r="F20" s="275"/>
      <c r="G20" s="276"/>
      <c r="H20" s="276"/>
      <c r="I20" s="276"/>
      <c r="J20" s="276"/>
      <c r="K20" s="276"/>
      <c r="L20" s="276"/>
      <c r="M20" s="276"/>
      <c r="N20" s="276"/>
      <c r="O20" s="276"/>
      <c r="P20" s="276"/>
      <c r="Q20" s="276"/>
      <c r="R20" s="276"/>
      <c r="S20" s="276"/>
    </row>
    <row r="21" spans="1:19" x14ac:dyDescent="0.3">
      <c r="A21" s="158">
        <f t="shared" si="0"/>
        <v>12</v>
      </c>
      <c r="B21" s="274" t="s">
        <v>256</v>
      </c>
      <c r="C21" s="158" t="s">
        <v>505</v>
      </c>
      <c r="D21" s="275"/>
      <c r="E21" s="275"/>
      <c r="F21" s="275"/>
      <c r="G21" s="276"/>
      <c r="H21" s="276"/>
      <c r="I21" s="276"/>
      <c r="J21" s="276"/>
      <c r="K21" s="276"/>
      <c r="L21" s="276"/>
      <c r="M21" s="276"/>
      <c r="N21" s="276"/>
      <c r="O21" s="276"/>
      <c r="P21" s="276"/>
      <c r="Q21" s="276"/>
      <c r="R21" s="276"/>
      <c r="S21" s="276"/>
    </row>
    <row r="22" spans="1:19" x14ac:dyDescent="0.3">
      <c r="A22" s="158">
        <f t="shared" si="0"/>
        <v>13</v>
      </c>
      <c r="B22" s="274" t="s">
        <v>510</v>
      </c>
      <c r="C22" s="158" t="s">
        <v>505</v>
      </c>
      <c r="D22" s="275"/>
      <c r="E22" s="275"/>
      <c r="F22" s="275"/>
      <c r="G22" s="276"/>
      <c r="H22" s="276"/>
      <c r="I22" s="276"/>
      <c r="J22" s="276"/>
      <c r="K22" s="276"/>
      <c r="L22" s="276"/>
      <c r="M22" s="276"/>
      <c r="N22" s="276"/>
      <c r="O22" s="276"/>
      <c r="P22" s="276"/>
      <c r="Q22" s="276"/>
      <c r="R22" s="276"/>
      <c r="S22" s="276"/>
    </row>
    <row r="23" spans="1:19" x14ac:dyDescent="0.3">
      <c r="A23" s="158">
        <f t="shared" si="0"/>
        <v>14</v>
      </c>
      <c r="B23" s="274" t="s">
        <v>511</v>
      </c>
      <c r="C23" s="158" t="s">
        <v>505</v>
      </c>
      <c r="D23" s="275"/>
      <c r="E23" s="275"/>
      <c r="F23" s="275"/>
      <c r="G23" s="276"/>
      <c r="H23" s="276"/>
      <c r="I23" s="276"/>
      <c r="J23" s="276"/>
      <c r="K23" s="276"/>
      <c r="L23" s="276"/>
      <c r="M23" s="276"/>
      <c r="N23" s="276"/>
      <c r="O23" s="276"/>
      <c r="P23" s="276"/>
      <c r="Q23" s="276"/>
      <c r="R23" s="276"/>
      <c r="S23" s="276"/>
    </row>
    <row r="24" spans="1:19" x14ac:dyDescent="0.3">
      <c r="A24" s="158">
        <f t="shared" si="0"/>
        <v>15</v>
      </c>
      <c r="B24" s="274" t="s">
        <v>512</v>
      </c>
      <c r="C24" s="158" t="s">
        <v>505</v>
      </c>
      <c r="D24" s="275"/>
      <c r="E24" s="275"/>
      <c r="F24" s="275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  <c r="S24" s="276"/>
    </row>
    <row r="25" spans="1:19" x14ac:dyDescent="0.3">
      <c r="A25" s="158">
        <f t="shared" si="0"/>
        <v>16</v>
      </c>
      <c r="B25" s="274" t="s">
        <v>260</v>
      </c>
      <c r="C25" s="158" t="s">
        <v>505</v>
      </c>
      <c r="D25" s="275"/>
      <c r="E25" s="275"/>
      <c r="F25" s="275"/>
      <c r="G25" s="276"/>
      <c r="H25" s="276"/>
      <c r="I25" s="276"/>
      <c r="J25" s="276"/>
      <c r="K25" s="276"/>
      <c r="L25" s="276"/>
      <c r="M25" s="276"/>
      <c r="N25" s="276"/>
      <c r="O25" s="276"/>
      <c r="P25" s="276"/>
      <c r="Q25" s="276"/>
      <c r="R25" s="276"/>
      <c r="S25" s="276"/>
    </row>
    <row r="26" spans="1:19" x14ac:dyDescent="0.3">
      <c r="A26" s="158">
        <f t="shared" si="0"/>
        <v>17</v>
      </c>
      <c r="B26" s="274" t="s">
        <v>513</v>
      </c>
      <c r="C26" s="158" t="s">
        <v>505</v>
      </c>
      <c r="D26" s="275"/>
      <c r="E26" s="275"/>
      <c r="F26" s="275"/>
      <c r="G26" s="276"/>
      <c r="H26" s="276"/>
      <c r="I26" s="276"/>
      <c r="J26" s="276"/>
      <c r="K26" s="276"/>
      <c r="L26" s="276"/>
      <c r="M26" s="276"/>
      <c r="N26" s="276"/>
      <c r="O26" s="276"/>
      <c r="P26" s="276"/>
      <c r="Q26" s="276"/>
      <c r="R26" s="276"/>
      <c r="S26" s="276"/>
    </row>
    <row r="27" spans="1:19" x14ac:dyDescent="0.3">
      <c r="A27" s="158">
        <f t="shared" si="0"/>
        <v>18</v>
      </c>
      <c r="B27" s="274" t="s">
        <v>514</v>
      </c>
      <c r="C27" s="158" t="s">
        <v>505</v>
      </c>
      <c r="D27" s="275"/>
      <c r="E27" s="275"/>
      <c r="F27" s="275"/>
      <c r="G27" s="276"/>
      <c r="H27" s="276"/>
      <c r="I27" s="276"/>
      <c r="J27" s="276"/>
      <c r="K27" s="276"/>
      <c r="L27" s="276"/>
      <c r="M27" s="276"/>
      <c r="N27" s="276"/>
      <c r="O27" s="276"/>
      <c r="P27" s="276"/>
      <c r="Q27" s="276"/>
      <c r="R27" s="276"/>
      <c r="S27" s="276"/>
    </row>
    <row r="28" spans="1:19" x14ac:dyDescent="0.3">
      <c r="A28" s="158">
        <f t="shared" si="0"/>
        <v>19</v>
      </c>
      <c r="B28" s="274" t="s">
        <v>515</v>
      </c>
      <c r="C28" s="158" t="s">
        <v>505</v>
      </c>
      <c r="D28" s="275"/>
      <c r="E28" s="275"/>
      <c r="F28" s="275"/>
      <c r="G28" s="276"/>
      <c r="H28" s="276"/>
      <c r="I28" s="276"/>
      <c r="J28" s="276"/>
      <c r="K28" s="276"/>
      <c r="L28" s="276"/>
      <c r="M28" s="276"/>
      <c r="N28" s="276"/>
      <c r="O28" s="276"/>
      <c r="P28" s="276"/>
      <c r="Q28" s="276"/>
      <c r="R28" s="276"/>
      <c r="S28" s="276"/>
    </row>
    <row r="29" spans="1:19" x14ac:dyDescent="0.3">
      <c r="A29" s="158">
        <f t="shared" si="0"/>
        <v>20</v>
      </c>
      <c r="B29" s="274"/>
      <c r="C29" s="275"/>
      <c r="D29" s="275"/>
      <c r="E29" s="275"/>
      <c r="F29" s="275"/>
      <c r="G29" s="276"/>
      <c r="H29" s="276"/>
      <c r="I29" s="276"/>
      <c r="J29" s="276"/>
      <c r="K29" s="276"/>
      <c r="L29" s="276"/>
      <c r="M29" s="276"/>
      <c r="N29" s="276"/>
      <c r="O29" s="276"/>
      <c r="P29" s="276"/>
      <c r="Q29" s="276"/>
      <c r="R29" s="276"/>
      <c r="S29" s="276"/>
    </row>
    <row r="30" spans="1:19" x14ac:dyDescent="0.3">
      <c r="A30" s="158">
        <f t="shared" si="0"/>
        <v>21</v>
      </c>
      <c r="B30" s="274"/>
      <c r="C30" s="275"/>
      <c r="D30" s="275"/>
      <c r="E30" s="275"/>
      <c r="F30" s="275"/>
      <c r="G30" s="276"/>
      <c r="H30" s="276"/>
      <c r="I30" s="276"/>
      <c r="J30" s="276"/>
      <c r="K30" s="276"/>
      <c r="L30" s="276"/>
      <c r="M30" s="276"/>
      <c r="N30" s="276"/>
      <c r="O30" s="276"/>
      <c r="P30" s="276"/>
      <c r="Q30" s="276"/>
      <c r="R30" s="276"/>
      <c r="S30" s="276"/>
    </row>
    <row r="31" spans="1:19" x14ac:dyDescent="0.3">
      <c r="A31" s="158">
        <f t="shared" si="0"/>
        <v>22</v>
      </c>
      <c r="B31" s="274"/>
      <c r="C31" s="275"/>
      <c r="D31" s="275"/>
      <c r="E31" s="275"/>
      <c r="F31" s="275"/>
      <c r="G31" s="276"/>
      <c r="H31" s="276"/>
      <c r="I31" s="276"/>
      <c r="J31" s="276"/>
      <c r="K31" s="276"/>
      <c r="L31" s="276"/>
      <c r="M31" s="276"/>
      <c r="N31" s="276"/>
      <c r="O31" s="276"/>
      <c r="P31" s="276"/>
      <c r="Q31" s="276"/>
      <c r="R31" s="276"/>
      <c r="S31" s="276"/>
    </row>
    <row r="32" spans="1:19" x14ac:dyDescent="0.3">
      <c r="A32" s="158">
        <f t="shared" si="0"/>
        <v>23</v>
      </c>
      <c r="B32" s="274"/>
      <c r="C32" s="275"/>
      <c r="D32" s="275"/>
      <c r="E32" s="275"/>
      <c r="F32" s="275"/>
      <c r="G32" s="276"/>
      <c r="H32" s="276"/>
      <c r="I32" s="276"/>
      <c r="J32" s="276"/>
      <c r="K32" s="276"/>
      <c r="L32" s="276"/>
      <c r="M32" s="276"/>
      <c r="N32" s="276"/>
      <c r="O32" s="276"/>
      <c r="P32" s="276"/>
      <c r="Q32" s="276"/>
      <c r="R32" s="276"/>
      <c r="S32" s="276"/>
    </row>
    <row r="33" spans="1:19" x14ac:dyDescent="0.3">
      <c r="A33" s="158">
        <f t="shared" si="0"/>
        <v>24</v>
      </c>
      <c r="B33" s="274"/>
      <c r="C33" s="275"/>
      <c r="D33" s="275"/>
      <c r="E33" s="275"/>
      <c r="F33" s="275"/>
      <c r="G33" s="276"/>
      <c r="H33" s="276"/>
      <c r="I33" s="276"/>
      <c r="J33" s="276"/>
      <c r="K33" s="276"/>
      <c r="L33" s="276"/>
      <c r="M33" s="276"/>
      <c r="N33" s="276"/>
      <c r="O33" s="276"/>
      <c r="P33" s="276"/>
      <c r="Q33" s="276"/>
      <c r="R33" s="276"/>
      <c r="S33" s="276"/>
    </row>
    <row r="34" spans="1:19" x14ac:dyDescent="0.3">
      <c r="A34" s="158">
        <f t="shared" si="0"/>
        <v>25</v>
      </c>
      <c r="B34" s="274"/>
      <c r="C34" s="275"/>
      <c r="D34" s="275"/>
      <c r="E34" s="275"/>
      <c r="F34" s="275"/>
      <c r="G34" s="276"/>
      <c r="H34" s="276"/>
      <c r="I34" s="276"/>
      <c r="J34" s="276"/>
      <c r="K34" s="276"/>
      <c r="L34" s="276"/>
      <c r="M34" s="276"/>
      <c r="N34" s="276"/>
      <c r="O34" s="276"/>
      <c r="P34" s="276"/>
      <c r="Q34" s="276"/>
      <c r="R34" s="276"/>
      <c r="S34" s="276"/>
    </row>
    <row r="35" spans="1:19" x14ac:dyDescent="0.3">
      <c r="A35" s="158">
        <f t="shared" si="0"/>
        <v>26</v>
      </c>
      <c r="B35" s="274"/>
      <c r="C35" s="275"/>
      <c r="D35" s="275"/>
      <c r="E35" s="275"/>
      <c r="F35" s="275"/>
      <c r="G35" s="276"/>
      <c r="H35" s="276"/>
      <c r="I35" s="276"/>
      <c r="J35" s="276"/>
      <c r="K35" s="276"/>
      <c r="L35" s="276"/>
      <c r="M35" s="276"/>
      <c r="N35" s="276"/>
      <c r="O35" s="276"/>
      <c r="P35" s="276"/>
      <c r="Q35" s="276"/>
      <c r="R35" s="276"/>
      <c r="S35" s="276"/>
    </row>
    <row r="36" spans="1:19" x14ac:dyDescent="0.3">
      <c r="A36" s="158">
        <f t="shared" si="0"/>
        <v>27</v>
      </c>
      <c r="B36" s="274"/>
      <c r="C36" s="275"/>
      <c r="D36" s="275"/>
      <c r="E36" s="275"/>
      <c r="F36" s="275"/>
      <c r="G36" s="276"/>
      <c r="H36" s="276"/>
      <c r="I36" s="276"/>
      <c r="J36" s="276"/>
      <c r="K36" s="276"/>
      <c r="L36" s="276"/>
      <c r="M36" s="276"/>
      <c r="N36" s="276"/>
      <c r="O36" s="276"/>
      <c r="P36" s="276"/>
      <c r="Q36" s="276"/>
      <c r="R36" s="276"/>
      <c r="S36" s="276"/>
    </row>
    <row r="37" spans="1:19" x14ac:dyDescent="0.3">
      <c r="A37" s="158">
        <f t="shared" si="0"/>
        <v>28</v>
      </c>
      <c r="B37" s="274"/>
      <c r="C37" s="275"/>
      <c r="D37" s="275"/>
      <c r="E37" s="275"/>
      <c r="F37" s="275"/>
      <c r="G37" s="276"/>
      <c r="H37" s="276"/>
      <c r="I37" s="276"/>
      <c r="J37" s="276"/>
      <c r="K37" s="276"/>
      <c r="L37" s="276"/>
      <c r="M37" s="276"/>
      <c r="N37" s="276"/>
      <c r="O37" s="276"/>
      <c r="P37" s="276"/>
      <c r="Q37" s="276"/>
      <c r="R37" s="276"/>
      <c r="S37" s="276"/>
    </row>
    <row r="38" spans="1:19" x14ac:dyDescent="0.3">
      <c r="A38" s="158">
        <f t="shared" si="0"/>
        <v>29</v>
      </c>
      <c r="B38" s="274"/>
      <c r="C38" s="275"/>
      <c r="D38" s="275"/>
      <c r="E38" s="275"/>
      <c r="F38" s="275"/>
      <c r="G38" s="276"/>
      <c r="H38" s="276"/>
      <c r="I38" s="276"/>
      <c r="J38" s="276"/>
      <c r="K38" s="276"/>
      <c r="L38" s="276"/>
      <c r="M38" s="276"/>
      <c r="N38" s="276"/>
      <c r="O38" s="276"/>
      <c r="P38" s="276"/>
      <c r="Q38" s="276"/>
      <c r="R38" s="276"/>
      <c r="S38" s="276"/>
    </row>
    <row r="39" spans="1:19" x14ac:dyDescent="0.3">
      <c r="A39" s="158">
        <f t="shared" si="0"/>
        <v>30</v>
      </c>
      <c r="B39" s="274"/>
      <c r="C39" s="275"/>
      <c r="D39" s="275"/>
      <c r="E39" s="275"/>
      <c r="F39" s="275"/>
      <c r="G39" s="276"/>
      <c r="H39" s="276"/>
      <c r="I39" s="276"/>
      <c r="J39" s="276"/>
      <c r="K39" s="276"/>
      <c r="L39" s="276"/>
      <c r="M39" s="276"/>
      <c r="N39" s="276"/>
      <c r="O39" s="276"/>
      <c r="P39" s="276"/>
      <c r="Q39" s="276"/>
      <c r="R39" s="276"/>
      <c r="S39" s="276"/>
    </row>
    <row r="40" spans="1:19" x14ac:dyDescent="0.3">
      <c r="A40" s="414"/>
      <c r="B40" s="415"/>
      <c r="C40" s="416"/>
      <c r="D40" s="416"/>
      <c r="E40" s="416"/>
      <c r="F40" s="416"/>
      <c r="G40" s="417"/>
      <c r="H40" s="417"/>
      <c r="I40" s="417"/>
      <c r="J40" s="417"/>
      <c r="K40" s="417"/>
      <c r="L40" s="417"/>
      <c r="M40" s="417"/>
      <c r="N40" s="417"/>
      <c r="O40" s="417"/>
      <c r="P40" s="417"/>
      <c r="Q40" s="417"/>
      <c r="R40" s="417"/>
      <c r="S40" s="418"/>
    </row>
    <row r="41" spans="1:19" ht="16.8" x14ac:dyDescent="0.3">
      <c r="A41" s="419"/>
      <c r="B41" s="420"/>
      <c r="C41" s="421"/>
      <c r="D41" s="373">
        <f t="shared" ref="D41:S41" si="1">SUM(D10:D40)</f>
        <v>0</v>
      </c>
      <c r="E41" s="373">
        <f t="shared" si="1"/>
        <v>0</v>
      </c>
      <c r="F41" s="373">
        <f t="shared" si="1"/>
        <v>0</v>
      </c>
      <c r="G41" s="373">
        <f t="shared" si="1"/>
        <v>0</v>
      </c>
      <c r="H41" s="373">
        <f t="shared" si="1"/>
        <v>0</v>
      </c>
      <c r="I41" s="373">
        <f t="shared" si="1"/>
        <v>0</v>
      </c>
      <c r="J41" s="373">
        <f t="shared" si="1"/>
        <v>0</v>
      </c>
      <c r="K41" s="373">
        <f t="shared" si="1"/>
        <v>0</v>
      </c>
      <c r="L41" s="373">
        <f t="shared" si="1"/>
        <v>0</v>
      </c>
      <c r="M41" s="373">
        <f t="shared" si="1"/>
        <v>0</v>
      </c>
      <c r="N41" s="373">
        <f t="shared" si="1"/>
        <v>0</v>
      </c>
      <c r="O41" s="373">
        <f t="shared" si="1"/>
        <v>0</v>
      </c>
      <c r="P41" s="373">
        <f t="shared" si="1"/>
        <v>0</v>
      </c>
      <c r="Q41" s="373">
        <f t="shared" si="1"/>
        <v>0</v>
      </c>
      <c r="R41" s="373">
        <f t="shared" si="1"/>
        <v>0</v>
      </c>
      <c r="S41" s="374">
        <f t="shared" si="1"/>
        <v>0</v>
      </c>
    </row>
    <row r="45" spans="1:19" ht="18" x14ac:dyDescent="0.35">
      <c r="C45" s="14" t="s">
        <v>279</v>
      </c>
      <c r="D45" s="14"/>
      <c r="E45" s="14"/>
      <c r="F45" s="14"/>
    </row>
    <row r="47" spans="1:19" x14ac:dyDescent="0.3">
      <c r="C47" s="549" t="s">
        <v>239</v>
      </c>
      <c r="D47" s="422"/>
      <c r="E47" s="564" t="s">
        <v>276</v>
      </c>
      <c r="F47" s="564" t="s">
        <v>278</v>
      </c>
      <c r="G47" s="564" t="s">
        <v>277</v>
      </c>
      <c r="H47" s="545" t="s">
        <v>240</v>
      </c>
      <c r="I47" s="545"/>
      <c r="J47" s="545"/>
      <c r="K47" s="545"/>
      <c r="L47" s="545" t="s">
        <v>241</v>
      </c>
      <c r="M47" s="545"/>
      <c r="N47" s="545"/>
      <c r="O47" s="545"/>
      <c r="P47" s="545" t="s">
        <v>242</v>
      </c>
      <c r="Q47" s="545"/>
      <c r="R47" s="545"/>
      <c r="S47" s="556"/>
    </row>
    <row r="48" spans="1:19" x14ac:dyDescent="0.3">
      <c r="C48" s="527"/>
      <c r="D48" s="423"/>
      <c r="E48" s="565"/>
      <c r="F48" s="565"/>
      <c r="G48" s="565"/>
      <c r="H48" s="328" t="s">
        <v>101</v>
      </c>
      <c r="I48" s="328" t="s">
        <v>105</v>
      </c>
      <c r="J48" s="328" t="s">
        <v>106</v>
      </c>
      <c r="K48" s="328" t="s">
        <v>90</v>
      </c>
      <c r="L48" s="328" t="s">
        <v>101</v>
      </c>
      <c r="M48" s="328" t="s">
        <v>105</v>
      </c>
      <c r="N48" s="328" t="s">
        <v>106</v>
      </c>
      <c r="O48" s="328" t="s">
        <v>90</v>
      </c>
      <c r="P48" s="328" t="s">
        <v>101</v>
      </c>
      <c r="Q48" s="328" t="s">
        <v>105</v>
      </c>
      <c r="R48" s="328" t="s">
        <v>106</v>
      </c>
      <c r="S48" s="329" t="s">
        <v>90</v>
      </c>
    </row>
    <row r="49" spans="3:19" x14ac:dyDescent="0.3">
      <c r="C49" s="155" t="str">
        <f t="array" ref="C49">IFERROR(INDEX($C$10:$C$40,MATCH(0,COUNTIF(C48:$C$48,$C$10:$C$40),0)),"-")</f>
        <v>Capital Goods</v>
      </c>
      <c r="D49" s="155"/>
      <c r="E49" s="161">
        <f t="shared" ref="E49:E61" si="2">SUMIF($C$10:$C$40,C49,$E$10:$E$40)</f>
        <v>0</v>
      </c>
      <c r="F49" s="161">
        <f t="shared" ref="F49:F61" si="3">SUMIF($C$10:$C$40,C49,$F$10:$F$40)</f>
        <v>0</v>
      </c>
      <c r="G49" s="157">
        <f t="shared" ref="G49:G61" si="4">SUMIF($C$10:$C$40,C49,$G$10:$G$40)</f>
        <v>0</v>
      </c>
      <c r="H49" s="157">
        <f t="shared" ref="H49:H61" si="5">SUMIF($C$10:$C$40,C49,$H$10:$H$40)</f>
        <v>0</v>
      </c>
      <c r="I49" s="157">
        <f t="shared" ref="I49:I61" si="6">SUMIF($C$10:$C$40,C49,$I$10:$I$40)</f>
        <v>0</v>
      </c>
      <c r="J49" s="157">
        <f t="shared" ref="J49:J61" si="7">SUMIF($C$10:$C$40,C49,$J$10:$J$40)</f>
        <v>0</v>
      </c>
      <c r="K49" s="157">
        <f t="shared" ref="K49:K61" si="8">SUMIF($C$10:$C$40,C49,$K$10:$K$40)</f>
        <v>0</v>
      </c>
      <c r="L49" s="157">
        <f t="shared" ref="L49:L61" si="9">SUMIF($C$10:$C$40,C49,$L$10:$L$40)</f>
        <v>0</v>
      </c>
      <c r="M49" s="157">
        <f t="shared" ref="M49:M61" si="10">SUMIF($C$10:$C$40,C49,$M$10:$M$40)</f>
        <v>0</v>
      </c>
      <c r="N49" s="157">
        <f t="shared" ref="N49:N61" si="11">SUMIF($C$10:$C$40,C49,$N$10:$N$40)</f>
        <v>0</v>
      </c>
      <c r="O49" s="157">
        <f t="shared" ref="O49:O61" si="12">SUMIF($C$10:$C$40,C49,$O$10:$O$40)</f>
        <v>0</v>
      </c>
      <c r="P49" s="157">
        <f t="shared" ref="P49:P61" si="13">SUMIF($C$10:$C$40,C49,$P$10:$P$40)</f>
        <v>0</v>
      </c>
      <c r="Q49" s="157">
        <f t="shared" ref="Q49:Q61" si="14">SUMIF($C$10:$C$40,C49,$Q$10:$Q$40)</f>
        <v>0</v>
      </c>
      <c r="R49" s="157">
        <f t="shared" ref="R49:R61" si="15">SUMIF($C$10:$C$40,C49,$R$10:$R$40)</f>
        <v>0</v>
      </c>
      <c r="S49" s="157">
        <f t="shared" ref="S49:S61" si="16">SUMIF($C$10:$C$40,C49,$S$10:$S$40)</f>
        <v>0</v>
      </c>
    </row>
    <row r="50" spans="3:19" x14ac:dyDescent="0.3">
      <c r="C50" s="155" t="str">
        <f t="array" ref="C50">IFERROR(INDEX($C$10:$C$40,MATCH(0,COUNTIF(C$48:$C49,$C$10:$C$40),0)),"-")</f>
        <v>Input (goods)</v>
      </c>
      <c r="D50" s="155"/>
      <c r="E50" s="161">
        <f t="shared" si="2"/>
        <v>0</v>
      </c>
      <c r="F50" s="161">
        <f t="shared" si="3"/>
        <v>0</v>
      </c>
      <c r="G50" s="157">
        <f t="shared" si="4"/>
        <v>0</v>
      </c>
      <c r="H50" s="157">
        <f t="shared" si="5"/>
        <v>0</v>
      </c>
      <c r="I50" s="157">
        <f t="shared" si="6"/>
        <v>0</v>
      </c>
      <c r="J50" s="157">
        <f t="shared" si="7"/>
        <v>0</v>
      </c>
      <c r="K50" s="157">
        <f t="shared" si="8"/>
        <v>0</v>
      </c>
      <c r="L50" s="157">
        <f t="shared" si="9"/>
        <v>0</v>
      </c>
      <c r="M50" s="157">
        <f t="shared" si="10"/>
        <v>0</v>
      </c>
      <c r="N50" s="157">
        <f t="shared" si="11"/>
        <v>0</v>
      </c>
      <c r="O50" s="157">
        <f t="shared" si="12"/>
        <v>0</v>
      </c>
      <c r="P50" s="157">
        <f t="shared" si="13"/>
        <v>0</v>
      </c>
      <c r="Q50" s="157">
        <f t="shared" si="14"/>
        <v>0</v>
      </c>
      <c r="R50" s="157">
        <f t="shared" si="15"/>
        <v>0</v>
      </c>
      <c r="S50" s="157">
        <f t="shared" si="16"/>
        <v>0</v>
      </c>
    </row>
    <row r="51" spans="3:19" x14ac:dyDescent="0.3">
      <c r="C51" s="155" t="str">
        <f t="array" ref="C51">IFERROR(INDEX($C$10:$C$40,MATCH(0,COUNTIF(C$48:$C50,$C$10:$C$40),0)),"-")</f>
        <v>Input(services)</v>
      </c>
      <c r="D51" s="155"/>
      <c r="E51" s="161">
        <f t="shared" si="2"/>
        <v>0</v>
      </c>
      <c r="F51" s="161">
        <f t="shared" si="3"/>
        <v>0</v>
      </c>
      <c r="G51" s="157">
        <f t="shared" si="4"/>
        <v>0</v>
      </c>
      <c r="H51" s="157">
        <f t="shared" si="5"/>
        <v>0</v>
      </c>
      <c r="I51" s="157">
        <f t="shared" si="6"/>
        <v>0</v>
      </c>
      <c r="J51" s="157">
        <f t="shared" si="7"/>
        <v>0</v>
      </c>
      <c r="K51" s="157">
        <f t="shared" si="8"/>
        <v>0</v>
      </c>
      <c r="L51" s="157">
        <f t="shared" si="9"/>
        <v>0</v>
      </c>
      <c r="M51" s="157">
        <f t="shared" si="10"/>
        <v>0</v>
      </c>
      <c r="N51" s="157">
        <f t="shared" si="11"/>
        <v>0</v>
      </c>
      <c r="O51" s="157">
        <f t="shared" si="12"/>
        <v>0</v>
      </c>
      <c r="P51" s="157">
        <f t="shared" si="13"/>
        <v>0</v>
      </c>
      <c r="Q51" s="157">
        <f t="shared" si="14"/>
        <v>0</v>
      </c>
      <c r="R51" s="157">
        <f t="shared" si="15"/>
        <v>0</v>
      </c>
      <c r="S51" s="157">
        <f t="shared" si="16"/>
        <v>0</v>
      </c>
    </row>
    <row r="52" spans="3:19" x14ac:dyDescent="0.3">
      <c r="C52" s="155">
        <f t="array" ref="C52">IFERROR(INDEX($C$10:$C$40,MATCH(0,COUNTIF(C$48:$C51,$C$10:$C$40),0)),"-")</f>
        <v>0</v>
      </c>
      <c r="D52" s="155"/>
      <c r="E52" s="161">
        <f t="shared" si="2"/>
        <v>0</v>
      </c>
      <c r="F52" s="161">
        <f t="shared" si="3"/>
        <v>0</v>
      </c>
      <c r="G52" s="157">
        <f t="shared" si="4"/>
        <v>0</v>
      </c>
      <c r="H52" s="157">
        <f t="shared" si="5"/>
        <v>0</v>
      </c>
      <c r="I52" s="157">
        <f t="shared" si="6"/>
        <v>0</v>
      </c>
      <c r="J52" s="157">
        <f t="shared" si="7"/>
        <v>0</v>
      </c>
      <c r="K52" s="157">
        <f t="shared" si="8"/>
        <v>0</v>
      </c>
      <c r="L52" s="157">
        <f t="shared" si="9"/>
        <v>0</v>
      </c>
      <c r="M52" s="157">
        <f t="shared" si="10"/>
        <v>0</v>
      </c>
      <c r="N52" s="157">
        <f t="shared" si="11"/>
        <v>0</v>
      </c>
      <c r="O52" s="157">
        <f t="shared" si="12"/>
        <v>0</v>
      </c>
      <c r="P52" s="157">
        <f t="shared" si="13"/>
        <v>0</v>
      </c>
      <c r="Q52" s="157">
        <f t="shared" si="14"/>
        <v>0</v>
      </c>
      <c r="R52" s="157">
        <f t="shared" si="15"/>
        <v>0</v>
      </c>
      <c r="S52" s="157">
        <f t="shared" si="16"/>
        <v>0</v>
      </c>
    </row>
    <row r="53" spans="3:19" x14ac:dyDescent="0.3">
      <c r="C53" s="155" t="str">
        <f t="array" ref="C53">IFERROR(INDEX($C$10:$C$40,MATCH(0,COUNTIF(C$48:$C52,$C$10:$C$40),0)),"-")</f>
        <v>-</v>
      </c>
      <c r="D53" s="155"/>
      <c r="E53" s="161">
        <f t="shared" si="2"/>
        <v>0</v>
      </c>
      <c r="F53" s="161">
        <f t="shared" si="3"/>
        <v>0</v>
      </c>
      <c r="G53" s="157">
        <f t="shared" si="4"/>
        <v>0</v>
      </c>
      <c r="H53" s="157">
        <f t="shared" si="5"/>
        <v>0</v>
      </c>
      <c r="I53" s="157">
        <f t="shared" si="6"/>
        <v>0</v>
      </c>
      <c r="J53" s="157">
        <f t="shared" si="7"/>
        <v>0</v>
      </c>
      <c r="K53" s="157">
        <f t="shared" si="8"/>
        <v>0</v>
      </c>
      <c r="L53" s="157">
        <f t="shared" si="9"/>
        <v>0</v>
      </c>
      <c r="M53" s="157">
        <f t="shared" si="10"/>
        <v>0</v>
      </c>
      <c r="N53" s="157">
        <f t="shared" si="11"/>
        <v>0</v>
      </c>
      <c r="O53" s="157">
        <f t="shared" si="12"/>
        <v>0</v>
      </c>
      <c r="P53" s="157">
        <f t="shared" si="13"/>
        <v>0</v>
      </c>
      <c r="Q53" s="157">
        <f t="shared" si="14"/>
        <v>0</v>
      </c>
      <c r="R53" s="157">
        <f t="shared" si="15"/>
        <v>0</v>
      </c>
      <c r="S53" s="157">
        <f t="shared" si="16"/>
        <v>0</v>
      </c>
    </row>
    <row r="54" spans="3:19" x14ac:dyDescent="0.3">
      <c r="C54" s="155" t="str">
        <f t="array" ref="C54">IFERROR(INDEX($C$10:$C$40,MATCH(0,COUNTIF(C$48:$C53,$C$10:$C$40),0)),"-")</f>
        <v>-</v>
      </c>
      <c r="D54" s="155"/>
      <c r="E54" s="161">
        <f t="shared" si="2"/>
        <v>0</v>
      </c>
      <c r="F54" s="161">
        <f t="shared" si="3"/>
        <v>0</v>
      </c>
      <c r="G54" s="157">
        <f t="shared" si="4"/>
        <v>0</v>
      </c>
      <c r="H54" s="157">
        <f t="shared" si="5"/>
        <v>0</v>
      </c>
      <c r="I54" s="157">
        <f t="shared" si="6"/>
        <v>0</v>
      </c>
      <c r="J54" s="157">
        <f t="shared" si="7"/>
        <v>0</v>
      </c>
      <c r="K54" s="157">
        <f t="shared" si="8"/>
        <v>0</v>
      </c>
      <c r="L54" s="157">
        <f t="shared" si="9"/>
        <v>0</v>
      </c>
      <c r="M54" s="157">
        <f t="shared" si="10"/>
        <v>0</v>
      </c>
      <c r="N54" s="157">
        <f t="shared" si="11"/>
        <v>0</v>
      </c>
      <c r="O54" s="157">
        <f t="shared" si="12"/>
        <v>0</v>
      </c>
      <c r="P54" s="157">
        <f t="shared" si="13"/>
        <v>0</v>
      </c>
      <c r="Q54" s="157">
        <f t="shared" si="14"/>
        <v>0</v>
      </c>
      <c r="R54" s="157">
        <f t="shared" si="15"/>
        <v>0</v>
      </c>
      <c r="S54" s="157">
        <f t="shared" si="16"/>
        <v>0</v>
      </c>
    </row>
    <row r="55" spans="3:19" x14ac:dyDescent="0.3">
      <c r="C55" s="155" t="str">
        <f t="array" ref="C55">IFERROR(INDEX($C$10:$C$40,MATCH(0,COUNTIF(C$48:$C54,$C$10:$C$40),0)),"-")</f>
        <v>-</v>
      </c>
      <c r="D55" s="155"/>
      <c r="E55" s="161">
        <f t="shared" si="2"/>
        <v>0</v>
      </c>
      <c r="F55" s="161">
        <f t="shared" si="3"/>
        <v>0</v>
      </c>
      <c r="G55" s="157">
        <f t="shared" si="4"/>
        <v>0</v>
      </c>
      <c r="H55" s="157">
        <f t="shared" si="5"/>
        <v>0</v>
      </c>
      <c r="I55" s="157">
        <f t="shared" si="6"/>
        <v>0</v>
      </c>
      <c r="J55" s="157">
        <f t="shared" si="7"/>
        <v>0</v>
      </c>
      <c r="K55" s="157">
        <f t="shared" si="8"/>
        <v>0</v>
      </c>
      <c r="L55" s="157">
        <f t="shared" si="9"/>
        <v>0</v>
      </c>
      <c r="M55" s="157">
        <f t="shared" si="10"/>
        <v>0</v>
      </c>
      <c r="N55" s="157">
        <f t="shared" si="11"/>
        <v>0</v>
      </c>
      <c r="O55" s="157">
        <f t="shared" si="12"/>
        <v>0</v>
      </c>
      <c r="P55" s="157">
        <f t="shared" si="13"/>
        <v>0</v>
      </c>
      <c r="Q55" s="157">
        <f t="shared" si="14"/>
        <v>0</v>
      </c>
      <c r="R55" s="157">
        <f t="shared" si="15"/>
        <v>0</v>
      </c>
      <c r="S55" s="157">
        <f t="shared" si="16"/>
        <v>0</v>
      </c>
    </row>
    <row r="56" spans="3:19" x14ac:dyDescent="0.3">
      <c r="C56" s="155" t="str">
        <f t="array" ref="C56">IFERROR(INDEX($C$10:$C$40,MATCH(0,COUNTIF(C$48:$C55,$C$10:$C$40),0)),"-")</f>
        <v>-</v>
      </c>
      <c r="D56" s="155"/>
      <c r="E56" s="161">
        <f t="shared" si="2"/>
        <v>0</v>
      </c>
      <c r="F56" s="161">
        <f t="shared" si="3"/>
        <v>0</v>
      </c>
      <c r="G56" s="157">
        <f t="shared" si="4"/>
        <v>0</v>
      </c>
      <c r="H56" s="157">
        <f t="shared" si="5"/>
        <v>0</v>
      </c>
      <c r="I56" s="157">
        <f t="shared" si="6"/>
        <v>0</v>
      </c>
      <c r="J56" s="157">
        <f t="shared" si="7"/>
        <v>0</v>
      </c>
      <c r="K56" s="157">
        <f t="shared" si="8"/>
        <v>0</v>
      </c>
      <c r="L56" s="157">
        <f t="shared" si="9"/>
        <v>0</v>
      </c>
      <c r="M56" s="157">
        <f t="shared" si="10"/>
        <v>0</v>
      </c>
      <c r="N56" s="157">
        <f t="shared" si="11"/>
        <v>0</v>
      </c>
      <c r="O56" s="157">
        <f t="shared" si="12"/>
        <v>0</v>
      </c>
      <c r="P56" s="157">
        <f t="shared" si="13"/>
        <v>0</v>
      </c>
      <c r="Q56" s="157">
        <f t="shared" si="14"/>
        <v>0</v>
      </c>
      <c r="R56" s="157">
        <f t="shared" si="15"/>
        <v>0</v>
      </c>
      <c r="S56" s="157">
        <f t="shared" si="16"/>
        <v>0</v>
      </c>
    </row>
    <row r="57" spans="3:19" x14ac:dyDescent="0.3">
      <c r="C57" s="155" t="str">
        <f t="array" ref="C57">IFERROR(INDEX($C$10:$C$40,MATCH(0,COUNTIF(C$48:$C56,$C$10:$C$40),0)),"-")</f>
        <v>-</v>
      </c>
      <c r="D57" s="155"/>
      <c r="E57" s="161">
        <f t="shared" si="2"/>
        <v>0</v>
      </c>
      <c r="F57" s="161">
        <f t="shared" si="3"/>
        <v>0</v>
      </c>
      <c r="G57" s="157">
        <f t="shared" si="4"/>
        <v>0</v>
      </c>
      <c r="H57" s="157">
        <f t="shared" si="5"/>
        <v>0</v>
      </c>
      <c r="I57" s="157">
        <f t="shared" si="6"/>
        <v>0</v>
      </c>
      <c r="J57" s="157">
        <f t="shared" si="7"/>
        <v>0</v>
      </c>
      <c r="K57" s="157">
        <f t="shared" si="8"/>
        <v>0</v>
      </c>
      <c r="L57" s="157">
        <f t="shared" si="9"/>
        <v>0</v>
      </c>
      <c r="M57" s="157">
        <f t="shared" si="10"/>
        <v>0</v>
      </c>
      <c r="N57" s="157">
        <f t="shared" si="11"/>
        <v>0</v>
      </c>
      <c r="O57" s="157">
        <f t="shared" si="12"/>
        <v>0</v>
      </c>
      <c r="P57" s="157">
        <f t="shared" si="13"/>
        <v>0</v>
      </c>
      <c r="Q57" s="157">
        <f t="shared" si="14"/>
        <v>0</v>
      </c>
      <c r="R57" s="157">
        <f t="shared" si="15"/>
        <v>0</v>
      </c>
      <c r="S57" s="157">
        <f t="shared" si="16"/>
        <v>0</v>
      </c>
    </row>
    <row r="58" spans="3:19" x14ac:dyDescent="0.3">
      <c r="C58" s="155" t="str">
        <f t="array" ref="C58">IFERROR(INDEX($C$10:$C$40,MATCH(0,COUNTIF(C$48:$C57,$C$10:$C$40),0)),"-")</f>
        <v>-</v>
      </c>
      <c r="D58" s="155"/>
      <c r="E58" s="161">
        <f t="shared" si="2"/>
        <v>0</v>
      </c>
      <c r="F58" s="161">
        <f t="shared" si="3"/>
        <v>0</v>
      </c>
      <c r="G58" s="157">
        <f t="shared" si="4"/>
        <v>0</v>
      </c>
      <c r="H58" s="157">
        <f t="shared" si="5"/>
        <v>0</v>
      </c>
      <c r="I58" s="157">
        <f t="shared" si="6"/>
        <v>0</v>
      </c>
      <c r="J58" s="157">
        <f t="shared" si="7"/>
        <v>0</v>
      </c>
      <c r="K58" s="157">
        <f t="shared" si="8"/>
        <v>0</v>
      </c>
      <c r="L58" s="157">
        <f t="shared" si="9"/>
        <v>0</v>
      </c>
      <c r="M58" s="157">
        <f t="shared" si="10"/>
        <v>0</v>
      </c>
      <c r="N58" s="157">
        <f t="shared" si="11"/>
        <v>0</v>
      </c>
      <c r="O58" s="157">
        <f t="shared" si="12"/>
        <v>0</v>
      </c>
      <c r="P58" s="157">
        <f t="shared" si="13"/>
        <v>0</v>
      </c>
      <c r="Q58" s="157">
        <f t="shared" si="14"/>
        <v>0</v>
      </c>
      <c r="R58" s="157">
        <f t="shared" si="15"/>
        <v>0</v>
      </c>
      <c r="S58" s="157">
        <f t="shared" si="16"/>
        <v>0</v>
      </c>
    </row>
    <row r="59" spans="3:19" x14ac:dyDescent="0.3">
      <c r="C59" s="155" t="str">
        <f t="array" ref="C59">IFERROR(INDEX($C$10:$C$40,MATCH(0,COUNTIF(C$48:$C58,$C$10:$C$40),0)),"-")</f>
        <v>-</v>
      </c>
      <c r="D59" s="155"/>
      <c r="E59" s="161">
        <f t="shared" si="2"/>
        <v>0</v>
      </c>
      <c r="F59" s="161">
        <f t="shared" si="3"/>
        <v>0</v>
      </c>
      <c r="G59" s="157">
        <f t="shared" si="4"/>
        <v>0</v>
      </c>
      <c r="H59" s="157">
        <f t="shared" si="5"/>
        <v>0</v>
      </c>
      <c r="I59" s="157">
        <f t="shared" si="6"/>
        <v>0</v>
      </c>
      <c r="J59" s="157">
        <f t="shared" si="7"/>
        <v>0</v>
      </c>
      <c r="K59" s="157">
        <f t="shared" si="8"/>
        <v>0</v>
      </c>
      <c r="L59" s="157">
        <f t="shared" si="9"/>
        <v>0</v>
      </c>
      <c r="M59" s="157">
        <f t="shared" si="10"/>
        <v>0</v>
      </c>
      <c r="N59" s="157">
        <f t="shared" si="11"/>
        <v>0</v>
      </c>
      <c r="O59" s="157">
        <f t="shared" si="12"/>
        <v>0</v>
      </c>
      <c r="P59" s="157">
        <f t="shared" si="13"/>
        <v>0</v>
      </c>
      <c r="Q59" s="157">
        <f t="shared" si="14"/>
        <v>0</v>
      </c>
      <c r="R59" s="157">
        <f t="shared" si="15"/>
        <v>0</v>
      </c>
      <c r="S59" s="157">
        <f t="shared" si="16"/>
        <v>0</v>
      </c>
    </row>
    <row r="60" spans="3:19" x14ac:dyDescent="0.3">
      <c r="C60" s="155" t="str">
        <f t="array" ref="C60">IFERROR(INDEX($C$10:$C$40,MATCH(0,COUNTIF(C$48:$C59,$C$10:$C$40),0)),"-")</f>
        <v>-</v>
      </c>
      <c r="D60" s="155"/>
      <c r="E60" s="161">
        <f t="shared" si="2"/>
        <v>0</v>
      </c>
      <c r="F60" s="161">
        <f t="shared" si="3"/>
        <v>0</v>
      </c>
      <c r="G60" s="157">
        <f t="shared" si="4"/>
        <v>0</v>
      </c>
      <c r="H60" s="157">
        <f t="shared" si="5"/>
        <v>0</v>
      </c>
      <c r="I60" s="157">
        <f t="shared" si="6"/>
        <v>0</v>
      </c>
      <c r="J60" s="157">
        <f t="shared" si="7"/>
        <v>0</v>
      </c>
      <c r="K60" s="157">
        <f t="shared" si="8"/>
        <v>0</v>
      </c>
      <c r="L60" s="157">
        <f t="shared" si="9"/>
        <v>0</v>
      </c>
      <c r="M60" s="157">
        <f t="shared" si="10"/>
        <v>0</v>
      </c>
      <c r="N60" s="157">
        <f t="shared" si="11"/>
        <v>0</v>
      </c>
      <c r="O60" s="157">
        <f t="shared" si="12"/>
        <v>0</v>
      </c>
      <c r="P60" s="157">
        <f t="shared" si="13"/>
        <v>0</v>
      </c>
      <c r="Q60" s="157">
        <f t="shared" si="14"/>
        <v>0</v>
      </c>
      <c r="R60" s="157">
        <f t="shared" si="15"/>
        <v>0</v>
      </c>
      <c r="S60" s="157">
        <f t="shared" si="16"/>
        <v>0</v>
      </c>
    </row>
    <row r="61" spans="3:19" x14ac:dyDescent="0.3">
      <c r="C61" s="155" t="str">
        <f t="array" ref="C61">IFERROR(INDEX($C$10:$C$40,MATCH(0,COUNTIF(C$48:$C60,$C$10:$C$40),0)),"-")</f>
        <v>-</v>
      </c>
      <c r="D61" s="155"/>
      <c r="E61" s="161">
        <f t="shared" si="2"/>
        <v>0</v>
      </c>
      <c r="F61" s="161">
        <f t="shared" si="3"/>
        <v>0</v>
      </c>
      <c r="G61" s="157">
        <f t="shared" si="4"/>
        <v>0</v>
      </c>
      <c r="H61" s="157">
        <f t="shared" si="5"/>
        <v>0</v>
      </c>
      <c r="I61" s="157">
        <f t="shared" si="6"/>
        <v>0</v>
      </c>
      <c r="J61" s="157">
        <f t="shared" si="7"/>
        <v>0</v>
      </c>
      <c r="K61" s="157">
        <f t="shared" si="8"/>
        <v>0</v>
      </c>
      <c r="L61" s="157">
        <f t="shared" si="9"/>
        <v>0</v>
      </c>
      <c r="M61" s="157">
        <f t="shared" si="10"/>
        <v>0</v>
      </c>
      <c r="N61" s="157">
        <f t="shared" si="11"/>
        <v>0</v>
      </c>
      <c r="O61" s="157">
        <f t="shared" si="12"/>
        <v>0</v>
      </c>
      <c r="P61" s="157">
        <f t="shared" si="13"/>
        <v>0</v>
      </c>
      <c r="Q61" s="157">
        <f t="shared" si="14"/>
        <v>0</v>
      </c>
      <c r="R61" s="157">
        <f t="shared" si="15"/>
        <v>0</v>
      </c>
      <c r="S61" s="157">
        <f t="shared" si="16"/>
        <v>0</v>
      </c>
    </row>
    <row r="62" spans="3:19" x14ac:dyDescent="0.3">
      <c r="C62" s="155"/>
      <c r="D62" s="155"/>
      <c r="E62" s="161"/>
      <c r="F62" s="161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</row>
    <row r="63" spans="3:19" x14ac:dyDescent="0.3">
      <c r="C63" s="414"/>
      <c r="D63" s="416"/>
      <c r="E63" s="416"/>
      <c r="F63" s="416"/>
      <c r="G63" s="417"/>
      <c r="H63" s="417"/>
      <c r="I63" s="417"/>
      <c r="J63" s="417"/>
      <c r="K63" s="417"/>
      <c r="L63" s="417"/>
      <c r="M63" s="417"/>
      <c r="N63" s="417"/>
      <c r="O63" s="417"/>
      <c r="P63" s="417"/>
      <c r="Q63" s="417"/>
      <c r="R63" s="417"/>
      <c r="S63" s="418"/>
    </row>
    <row r="64" spans="3:19" ht="16.8" x14ac:dyDescent="0.3">
      <c r="C64" s="419"/>
      <c r="D64" s="424">
        <f t="shared" ref="D64:S64" si="17">SUM(D49:D63)</f>
        <v>0</v>
      </c>
      <c r="E64" s="424">
        <f t="shared" si="17"/>
        <v>0</v>
      </c>
      <c r="F64" s="424">
        <f t="shared" si="17"/>
        <v>0</v>
      </c>
      <c r="G64" s="424">
        <f t="shared" si="17"/>
        <v>0</v>
      </c>
      <c r="H64" s="424">
        <f t="shared" si="17"/>
        <v>0</v>
      </c>
      <c r="I64" s="424">
        <f t="shared" si="17"/>
        <v>0</v>
      </c>
      <c r="J64" s="424">
        <f t="shared" si="17"/>
        <v>0</v>
      </c>
      <c r="K64" s="424">
        <f t="shared" si="17"/>
        <v>0</v>
      </c>
      <c r="L64" s="424">
        <f t="shared" si="17"/>
        <v>0</v>
      </c>
      <c r="M64" s="424">
        <f t="shared" si="17"/>
        <v>0</v>
      </c>
      <c r="N64" s="424">
        <f t="shared" si="17"/>
        <v>0</v>
      </c>
      <c r="O64" s="424">
        <f t="shared" si="17"/>
        <v>0</v>
      </c>
      <c r="P64" s="424">
        <f t="shared" si="17"/>
        <v>0</v>
      </c>
      <c r="Q64" s="424">
        <f t="shared" si="17"/>
        <v>0</v>
      </c>
      <c r="R64" s="424">
        <f t="shared" si="17"/>
        <v>0</v>
      </c>
      <c r="S64" s="425">
        <f t="shared" si="17"/>
        <v>0</v>
      </c>
    </row>
  </sheetData>
  <mergeCells count="19">
    <mergeCell ref="E47:E48"/>
    <mergeCell ref="F47:F48"/>
    <mergeCell ref="L8:O8"/>
    <mergeCell ref="P8:S8"/>
    <mergeCell ref="C47:C48"/>
    <mergeCell ref="G47:G48"/>
    <mergeCell ref="H47:K47"/>
    <mergeCell ref="L47:O47"/>
    <mergeCell ref="P47:S47"/>
    <mergeCell ref="E8:E9"/>
    <mergeCell ref="F8:F9"/>
    <mergeCell ref="G8:G9"/>
    <mergeCell ref="H8:K8"/>
    <mergeCell ref="D8:D9"/>
    <mergeCell ref="B3:C3"/>
    <mergeCell ref="B4:C4"/>
    <mergeCell ref="A8:A9"/>
    <mergeCell ref="B8:B9"/>
    <mergeCell ref="C8:C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125E046-3426-4907-ABF8-374872FBD705}">
          <x14:formula1>
            <xm:f>Master!$C$4:$C$266</xm:f>
          </x14:formula1>
          <xm:sqref>B10:B19</xm:sqref>
        </x14:dataValidation>
        <x14:dataValidation type="list" allowBlank="1" showInputMessage="1" showErrorMessage="1" xr:uid="{F7DA9601-0F18-4A14-B294-2A431E8C611B}">
          <x14:formula1>
            <xm:f>Master!$F$4:$F$50</xm:f>
          </x14:formula1>
          <xm:sqref>C10:D19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C4:F50"/>
  <sheetViews>
    <sheetView zoomScale="95" zoomScaleNormal="95" workbookViewId="0"/>
  </sheetViews>
  <sheetFormatPr defaultRowHeight="14.4" x14ac:dyDescent="0.3"/>
  <sheetData>
    <row r="4" spans="3:6" x14ac:dyDescent="0.3">
      <c r="C4" t="s">
        <v>243</v>
      </c>
      <c r="F4" t="s">
        <v>244</v>
      </c>
    </row>
    <row r="5" spans="3:6" x14ac:dyDescent="0.3">
      <c r="C5" t="s">
        <v>245</v>
      </c>
      <c r="F5" t="s">
        <v>249</v>
      </c>
    </row>
    <row r="6" spans="3:6" x14ac:dyDescent="0.3">
      <c r="C6" t="s">
        <v>246</v>
      </c>
      <c r="F6" t="s">
        <v>253</v>
      </c>
    </row>
    <row r="7" spans="3:6" x14ac:dyDescent="0.3">
      <c r="C7" t="s">
        <v>247</v>
      </c>
      <c r="F7" t="s">
        <v>266</v>
      </c>
    </row>
    <row r="8" spans="3:6" x14ac:dyDescent="0.3">
      <c r="C8" t="s">
        <v>248</v>
      </c>
      <c r="F8" t="s">
        <v>271</v>
      </c>
    </row>
    <row r="9" spans="3:6" x14ac:dyDescent="0.3">
      <c r="C9" t="s">
        <v>250</v>
      </c>
      <c r="F9" t="s">
        <v>275</v>
      </c>
    </row>
    <row r="10" spans="3:6" x14ac:dyDescent="0.3">
      <c r="C10" t="s">
        <v>251</v>
      </c>
      <c r="F10" t="s">
        <v>477</v>
      </c>
    </row>
    <row r="11" spans="3:6" x14ac:dyDescent="0.3">
      <c r="C11" t="s">
        <v>252</v>
      </c>
      <c r="F11" t="s">
        <v>479</v>
      </c>
    </row>
    <row r="12" spans="3:6" x14ac:dyDescent="0.3">
      <c r="C12" t="s">
        <v>234</v>
      </c>
      <c r="F12" t="s">
        <v>231</v>
      </c>
    </row>
    <row r="13" spans="3:6" x14ac:dyDescent="0.3">
      <c r="C13" t="s">
        <v>254</v>
      </c>
      <c r="F13" t="s">
        <v>489</v>
      </c>
    </row>
    <row r="14" spans="3:6" x14ac:dyDescent="0.3">
      <c r="C14" t="s">
        <v>255</v>
      </c>
      <c r="F14" t="s">
        <v>491</v>
      </c>
    </row>
    <row r="15" spans="3:6" x14ac:dyDescent="0.3">
      <c r="C15" t="s">
        <v>256</v>
      </c>
    </row>
    <row r="16" spans="3:6" x14ac:dyDescent="0.3">
      <c r="C16" t="s">
        <v>257</v>
      </c>
    </row>
    <row r="17" spans="3:3" x14ac:dyDescent="0.3">
      <c r="C17" t="s">
        <v>258</v>
      </c>
    </row>
    <row r="18" spans="3:3" x14ac:dyDescent="0.3">
      <c r="C18" t="s">
        <v>259</v>
      </c>
    </row>
    <row r="19" spans="3:3" x14ac:dyDescent="0.3">
      <c r="C19" t="s">
        <v>260</v>
      </c>
    </row>
    <row r="20" spans="3:3" x14ac:dyDescent="0.3">
      <c r="C20" t="s">
        <v>260</v>
      </c>
    </row>
    <row r="21" spans="3:3" x14ac:dyDescent="0.3">
      <c r="C21" t="s">
        <v>261</v>
      </c>
    </row>
    <row r="22" spans="3:3" x14ac:dyDescent="0.3">
      <c r="C22" t="s">
        <v>235</v>
      </c>
    </row>
    <row r="23" spans="3:3" x14ac:dyDescent="0.3">
      <c r="C23" t="s">
        <v>262</v>
      </c>
    </row>
    <row r="24" spans="3:3" x14ac:dyDescent="0.3">
      <c r="C24" t="s">
        <v>263</v>
      </c>
    </row>
    <row r="25" spans="3:3" x14ac:dyDescent="0.3">
      <c r="C25" t="s">
        <v>264</v>
      </c>
    </row>
    <row r="26" spans="3:3" x14ac:dyDescent="0.3">
      <c r="C26" t="s">
        <v>265</v>
      </c>
    </row>
    <row r="27" spans="3:3" x14ac:dyDescent="0.3">
      <c r="C27" t="s">
        <v>267</v>
      </c>
    </row>
    <row r="28" spans="3:3" x14ac:dyDescent="0.3">
      <c r="C28" t="s">
        <v>268</v>
      </c>
    </row>
    <row r="29" spans="3:3" x14ac:dyDescent="0.3">
      <c r="C29" t="s">
        <v>269</v>
      </c>
    </row>
    <row r="30" spans="3:3" x14ac:dyDescent="0.3">
      <c r="C30" t="s">
        <v>270</v>
      </c>
    </row>
    <row r="31" spans="3:3" x14ac:dyDescent="0.3">
      <c r="C31" t="s">
        <v>272</v>
      </c>
    </row>
    <row r="32" spans="3:3" x14ac:dyDescent="0.3">
      <c r="C32" t="s">
        <v>273</v>
      </c>
    </row>
    <row r="33" spans="3:3" x14ac:dyDescent="0.3">
      <c r="C33" t="s">
        <v>274</v>
      </c>
    </row>
    <row r="34" spans="3:3" x14ac:dyDescent="0.3">
      <c r="C34" t="s">
        <v>270</v>
      </c>
    </row>
    <row r="35" spans="3:3" x14ac:dyDescent="0.3">
      <c r="C35" t="s">
        <v>272</v>
      </c>
    </row>
    <row r="36" spans="3:3" x14ac:dyDescent="0.3">
      <c r="C36" t="s">
        <v>273</v>
      </c>
    </row>
    <row r="37" spans="3:3" x14ac:dyDescent="0.3">
      <c r="C37" t="s">
        <v>274</v>
      </c>
    </row>
    <row r="38" spans="3:3" x14ac:dyDescent="0.3">
      <c r="C38" t="s">
        <v>475</v>
      </c>
    </row>
    <row r="39" spans="3:3" x14ac:dyDescent="0.3">
      <c r="C39" t="s">
        <v>476</v>
      </c>
    </row>
    <row r="40" spans="3:3" x14ac:dyDescent="0.3">
      <c r="C40" t="s">
        <v>478</v>
      </c>
    </row>
    <row r="41" spans="3:3" x14ac:dyDescent="0.3">
      <c r="C41" t="s">
        <v>480</v>
      </c>
    </row>
    <row r="42" spans="3:3" x14ac:dyDescent="0.3">
      <c r="C42" t="s">
        <v>481</v>
      </c>
    </row>
    <row r="43" spans="3:3" x14ac:dyDescent="0.3">
      <c r="C43" t="s">
        <v>482</v>
      </c>
    </row>
    <row r="44" spans="3:3" x14ac:dyDescent="0.3">
      <c r="C44" t="s">
        <v>483</v>
      </c>
    </row>
    <row r="45" spans="3:3" x14ac:dyDescent="0.3">
      <c r="C45" t="s">
        <v>484</v>
      </c>
    </row>
    <row r="46" spans="3:3" x14ac:dyDescent="0.3">
      <c r="C46" t="s">
        <v>485</v>
      </c>
    </row>
    <row r="47" spans="3:3" x14ac:dyDescent="0.3">
      <c r="C47" t="s">
        <v>486</v>
      </c>
    </row>
    <row r="48" spans="3:3" x14ac:dyDescent="0.3">
      <c r="C48" t="s">
        <v>487</v>
      </c>
    </row>
    <row r="49" spans="3:3" x14ac:dyDescent="0.3">
      <c r="C49" t="s">
        <v>488</v>
      </c>
    </row>
    <row r="50" spans="3:3" x14ac:dyDescent="0.3">
      <c r="C50" t="s">
        <v>490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J20"/>
  <sheetViews>
    <sheetView showGridLines="0" zoomScale="95" zoomScaleNormal="95" workbookViewId="0">
      <selection sqref="A1:J2"/>
    </sheetView>
  </sheetViews>
  <sheetFormatPr defaultRowHeight="14.4" x14ac:dyDescent="0.3"/>
  <cols>
    <col min="1" max="1" width="11" customWidth="1"/>
    <col min="2" max="2" width="9.33203125" customWidth="1"/>
    <col min="3" max="3" width="28.6640625" customWidth="1"/>
    <col min="4" max="4" width="21.5546875" customWidth="1"/>
    <col min="5" max="5" width="22.88671875" customWidth="1"/>
    <col min="6" max="6" width="16.33203125" customWidth="1"/>
    <col min="7" max="7" width="14.109375" customWidth="1"/>
    <col min="8" max="8" width="20.44140625" customWidth="1"/>
    <col min="9" max="9" width="14.33203125" customWidth="1"/>
    <col min="10" max="10" width="17.5546875" customWidth="1"/>
  </cols>
  <sheetData>
    <row r="1" spans="1:10" ht="15" customHeight="1" x14ac:dyDescent="0.3">
      <c r="A1" s="567" t="s">
        <v>280</v>
      </c>
      <c r="B1" s="568"/>
      <c r="C1" s="568"/>
      <c r="D1" s="568"/>
      <c r="E1" s="568"/>
      <c r="F1" s="568"/>
      <c r="G1" s="568"/>
      <c r="H1" s="568"/>
      <c r="I1" s="568"/>
      <c r="J1" s="569"/>
    </row>
    <row r="2" spans="1:10" ht="15" customHeight="1" x14ac:dyDescent="0.3">
      <c r="A2" s="570"/>
      <c r="B2" s="571"/>
      <c r="C2" s="571"/>
      <c r="D2" s="571"/>
      <c r="E2" s="571"/>
      <c r="F2" s="571"/>
      <c r="G2" s="571"/>
      <c r="H2" s="571"/>
      <c r="I2" s="571"/>
      <c r="J2" s="572"/>
    </row>
    <row r="3" spans="1:10" x14ac:dyDescent="0.3">
      <c r="A3" s="573" t="s">
        <v>281</v>
      </c>
      <c r="B3" s="574"/>
      <c r="C3" s="574"/>
      <c r="D3" s="574"/>
      <c r="E3" s="574"/>
      <c r="F3" s="574"/>
      <c r="G3" s="574"/>
      <c r="H3" s="574"/>
      <c r="I3" s="574"/>
      <c r="J3" s="575"/>
    </row>
    <row r="4" spans="1:10" x14ac:dyDescent="0.3">
      <c r="A4" s="576" t="s">
        <v>282</v>
      </c>
      <c r="B4" s="577"/>
      <c r="C4" s="577"/>
      <c r="D4" s="577"/>
      <c r="E4" s="578" t="s">
        <v>283</v>
      </c>
      <c r="F4" s="577" t="s">
        <v>284</v>
      </c>
      <c r="G4" s="577"/>
      <c r="H4" s="577"/>
      <c r="I4" s="577"/>
      <c r="J4" s="579" t="s">
        <v>285</v>
      </c>
    </row>
    <row r="5" spans="1:10" ht="27.6" x14ac:dyDescent="0.3">
      <c r="A5" s="576"/>
      <c r="B5" s="577"/>
      <c r="C5" s="577"/>
      <c r="D5" s="577"/>
      <c r="E5" s="578"/>
      <c r="F5" s="162" t="s">
        <v>155</v>
      </c>
      <c r="G5" s="162" t="s">
        <v>286</v>
      </c>
      <c r="H5" s="162" t="s">
        <v>154</v>
      </c>
      <c r="I5" s="162" t="s">
        <v>157</v>
      </c>
      <c r="J5" s="579"/>
    </row>
    <row r="6" spans="1:10" x14ac:dyDescent="0.3">
      <c r="A6" s="163">
        <v>4</v>
      </c>
      <c r="B6" s="577" t="s">
        <v>287</v>
      </c>
      <c r="C6" s="577"/>
      <c r="D6" s="577"/>
      <c r="E6" s="577"/>
      <c r="F6" s="577"/>
      <c r="G6" s="577"/>
      <c r="H6" s="577"/>
      <c r="I6" s="577"/>
      <c r="J6" s="580"/>
    </row>
    <row r="7" spans="1:10" x14ac:dyDescent="0.3">
      <c r="A7" s="164" t="s">
        <v>288</v>
      </c>
      <c r="B7" s="566" t="s">
        <v>289</v>
      </c>
      <c r="C7" s="566"/>
      <c r="D7" s="566"/>
      <c r="E7" s="165">
        <f>RECO!C93</f>
        <v>0</v>
      </c>
      <c r="F7" s="165">
        <f>RECO!K93</f>
        <v>0</v>
      </c>
      <c r="G7" s="165">
        <f>RECO!O93</f>
        <v>0</v>
      </c>
      <c r="H7" s="165">
        <f>RECO!G93</f>
        <v>0</v>
      </c>
      <c r="I7" s="165">
        <f>RECO!S93</f>
        <v>0</v>
      </c>
      <c r="J7" s="166"/>
    </row>
    <row r="8" spans="1:10" x14ac:dyDescent="0.3">
      <c r="A8" s="164" t="s">
        <v>290</v>
      </c>
      <c r="B8" s="566" t="s">
        <v>291</v>
      </c>
      <c r="C8" s="566"/>
      <c r="D8" s="566"/>
      <c r="E8" s="165">
        <f>RECO!C92</f>
        <v>0</v>
      </c>
      <c r="F8" s="165">
        <f>RECO!K92</f>
        <v>0</v>
      </c>
      <c r="G8" s="165">
        <f>RECO!O92</f>
        <v>0</v>
      </c>
      <c r="H8" s="165">
        <f>RECO!G92</f>
        <v>0</v>
      </c>
      <c r="I8" s="165">
        <f>RECO!S92</f>
        <v>0</v>
      </c>
      <c r="J8" s="166"/>
    </row>
    <row r="9" spans="1:10" x14ac:dyDescent="0.3">
      <c r="A9" s="164" t="s">
        <v>292</v>
      </c>
      <c r="B9" s="566" t="s">
        <v>293</v>
      </c>
      <c r="C9" s="566"/>
      <c r="D9" s="566"/>
      <c r="E9" s="167"/>
      <c r="F9" s="168"/>
      <c r="G9" s="168"/>
      <c r="H9" s="167"/>
      <c r="I9" s="167"/>
      <c r="J9" s="166"/>
    </row>
    <row r="10" spans="1:10" x14ac:dyDescent="0.3">
      <c r="A10" s="164" t="s">
        <v>294</v>
      </c>
      <c r="B10" s="566" t="s">
        <v>295</v>
      </c>
      <c r="C10" s="566"/>
      <c r="D10" s="566"/>
      <c r="E10" s="167"/>
      <c r="F10" s="168"/>
      <c r="G10" s="168"/>
      <c r="H10" s="167"/>
      <c r="I10" s="167"/>
      <c r="J10" s="166"/>
    </row>
    <row r="11" spans="1:10" x14ac:dyDescent="0.3">
      <c r="A11" s="164" t="s">
        <v>296</v>
      </c>
      <c r="B11" s="566" t="s">
        <v>297</v>
      </c>
      <c r="C11" s="566"/>
      <c r="D11" s="566"/>
      <c r="E11" s="167"/>
      <c r="F11" s="167"/>
      <c r="G11" s="167"/>
      <c r="H11" s="167"/>
      <c r="I11" s="167"/>
      <c r="J11" s="166"/>
    </row>
    <row r="12" spans="1:10" ht="25.5" customHeight="1" x14ac:dyDescent="0.3">
      <c r="A12" s="164" t="s">
        <v>298</v>
      </c>
      <c r="B12" s="566" t="s">
        <v>299</v>
      </c>
      <c r="C12" s="566"/>
      <c r="D12" s="566"/>
      <c r="E12" s="169">
        <f>RECO!G12-RECO!G13</f>
        <v>0</v>
      </c>
      <c r="F12" s="169"/>
      <c r="G12" s="169"/>
      <c r="H12" s="169"/>
      <c r="I12" s="169"/>
      <c r="J12" s="166"/>
    </row>
    <row r="13" spans="1:10" ht="15" thickBot="1" x14ac:dyDescent="0.35">
      <c r="A13" s="164" t="s">
        <v>300</v>
      </c>
      <c r="B13" s="566" t="s">
        <v>301</v>
      </c>
      <c r="C13" s="566"/>
      <c r="D13" s="566"/>
      <c r="E13" s="170">
        <f>RECO!B161</f>
        <v>0</v>
      </c>
      <c r="F13" s="170">
        <f>RECO!J161</f>
        <v>0</v>
      </c>
      <c r="G13" s="170">
        <f>RECO!N161</f>
        <v>0</v>
      </c>
      <c r="H13" s="170">
        <f>RECO!F161</f>
        <v>0</v>
      </c>
      <c r="I13" s="171"/>
      <c r="J13" s="166"/>
    </row>
    <row r="14" spans="1:10" ht="15" thickTop="1" x14ac:dyDescent="0.3">
      <c r="A14" s="164" t="s">
        <v>302</v>
      </c>
      <c r="B14" s="566" t="s">
        <v>303</v>
      </c>
      <c r="C14" s="566"/>
      <c r="D14" s="566"/>
      <c r="E14" s="172">
        <f>SUM(E7:E13)</f>
        <v>0</v>
      </c>
      <c r="F14" s="172">
        <f t="shared" ref="F14:I14" si="0">SUM(F7:F13)</f>
        <v>0</v>
      </c>
      <c r="G14" s="172">
        <f t="shared" si="0"/>
        <v>0</v>
      </c>
      <c r="H14" s="172">
        <f t="shared" si="0"/>
        <v>0</v>
      </c>
      <c r="I14" s="172">
        <f t="shared" si="0"/>
        <v>0</v>
      </c>
      <c r="J14" s="166"/>
    </row>
    <row r="15" spans="1:10" ht="26.25" customHeight="1" x14ac:dyDescent="0.3">
      <c r="A15" s="164" t="s">
        <v>304</v>
      </c>
      <c r="B15" s="566" t="s">
        <v>305</v>
      </c>
      <c r="C15" s="566"/>
      <c r="D15" s="566"/>
      <c r="E15" s="165">
        <f>RECO!C94</f>
        <v>0</v>
      </c>
      <c r="F15" s="165">
        <f>RECO!K94</f>
        <v>0</v>
      </c>
      <c r="G15" s="165">
        <f>RECO!O94</f>
        <v>0</v>
      </c>
      <c r="H15" s="165">
        <f>RECO!G94</f>
        <v>0</v>
      </c>
      <c r="I15" s="165">
        <f>RECO!S94</f>
        <v>0</v>
      </c>
      <c r="J15" s="166"/>
    </row>
    <row r="16" spans="1:10" x14ac:dyDescent="0.3">
      <c r="A16" s="164" t="s">
        <v>306</v>
      </c>
      <c r="B16" s="566" t="s">
        <v>307</v>
      </c>
      <c r="C16" s="566"/>
      <c r="D16" s="566"/>
      <c r="E16" s="167"/>
      <c r="F16" s="167"/>
      <c r="G16" s="167"/>
      <c r="H16" s="167"/>
      <c r="I16" s="167"/>
      <c r="J16" s="166"/>
    </row>
    <row r="17" spans="1:10" x14ac:dyDescent="0.3">
      <c r="A17" s="164" t="s">
        <v>308</v>
      </c>
      <c r="B17" s="566" t="s">
        <v>309</v>
      </c>
      <c r="C17" s="566"/>
      <c r="D17" s="566"/>
      <c r="E17" s="169">
        <f>'GSTR 1'!C276</f>
        <v>0</v>
      </c>
      <c r="F17" s="169">
        <f>'GSTR 1'!E276</f>
        <v>0</v>
      </c>
      <c r="G17" s="169">
        <f>'GSTR 1'!F276</f>
        <v>0</v>
      </c>
      <c r="H17" s="169">
        <f>'GSTR 1'!D276</f>
        <v>0</v>
      </c>
      <c r="I17" s="169">
        <f>'GSTR 1'!G276</f>
        <v>0</v>
      </c>
      <c r="J17" s="166"/>
    </row>
    <row r="18" spans="1:10" ht="15" thickBot="1" x14ac:dyDescent="0.35">
      <c r="A18" s="164" t="s">
        <v>310</v>
      </c>
      <c r="B18" s="566" t="s">
        <v>311</v>
      </c>
      <c r="C18" s="566"/>
      <c r="D18" s="566"/>
      <c r="E18" s="170">
        <f>'GSTR 1'!C309</f>
        <v>0</v>
      </c>
      <c r="F18" s="170">
        <f>'GSTR 1'!E309</f>
        <v>0</v>
      </c>
      <c r="G18" s="170">
        <f>'GSTR 1'!F309</f>
        <v>0</v>
      </c>
      <c r="H18" s="170">
        <f>'GSTR 1'!D309</f>
        <v>0</v>
      </c>
      <c r="I18" s="170">
        <f>'GSTR 1'!G309</f>
        <v>0</v>
      </c>
      <c r="J18" s="166"/>
    </row>
    <row r="19" spans="1:10" ht="15" thickTop="1" x14ac:dyDescent="0.3">
      <c r="A19" s="164" t="s">
        <v>312</v>
      </c>
      <c r="B19" s="566" t="s">
        <v>313</v>
      </c>
      <c r="C19" s="566"/>
      <c r="D19" s="566"/>
      <c r="E19" s="173">
        <f t="shared" ref="E19:I19" si="1">E16+E17-E15-E18</f>
        <v>0</v>
      </c>
      <c r="F19" s="173">
        <f t="shared" si="1"/>
        <v>0</v>
      </c>
      <c r="G19" s="173">
        <f t="shared" si="1"/>
        <v>0</v>
      </c>
      <c r="H19" s="173">
        <f t="shared" si="1"/>
        <v>0</v>
      </c>
      <c r="I19" s="173">
        <f t="shared" si="1"/>
        <v>0</v>
      </c>
      <c r="J19" s="166"/>
    </row>
    <row r="20" spans="1:10" ht="15.6" x14ac:dyDescent="0.3">
      <c r="A20" s="174" t="s">
        <v>314</v>
      </c>
      <c r="B20" s="581" t="s">
        <v>315</v>
      </c>
      <c r="C20" s="581"/>
      <c r="D20" s="581"/>
      <c r="E20" s="175">
        <f>E14+E19</f>
        <v>0</v>
      </c>
      <c r="F20" s="175">
        <f t="shared" ref="F20:I20" si="2">F14+F19</f>
        <v>0</v>
      </c>
      <c r="G20" s="175">
        <f t="shared" si="2"/>
        <v>0</v>
      </c>
      <c r="H20" s="175">
        <f t="shared" si="2"/>
        <v>0</v>
      </c>
      <c r="I20" s="175">
        <f t="shared" si="2"/>
        <v>0</v>
      </c>
      <c r="J20" s="176"/>
    </row>
  </sheetData>
  <mergeCells count="21">
    <mergeCell ref="B18:D18"/>
    <mergeCell ref="B19:D19"/>
    <mergeCell ref="B20:D20"/>
    <mergeCell ref="B12:D12"/>
    <mergeCell ref="B13:D13"/>
    <mergeCell ref="B14:D14"/>
    <mergeCell ref="B15:D15"/>
    <mergeCell ref="B16:D16"/>
    <mergeCell ref="B17:D17"/>
    <mergeCell ref="B11:D11"/>
    <mergeCell ref="A1:J2"/>
    <mergeCell ref="A3:J3"/>
    <mergeCell ref="A4:D5"/>
    <mergeCell ref="E4:E5"/>
    <mergeCell ref="F4:I4"/>
    <mergeCell ref="J4:J5"/>
    <mergeCell ref="B6:J6"/>
    <mergeCell ref="B7:D7"/>
    <mergeCell ref="B8:D8"/>
    <mergeCell ref="B9:D9"/>
    <mergeCell ref="B10:D10"/>
  </mergeCells>
  <dataValidations count="4">
    <dataValidation type="decimal" allowBlank="1" showInputMessage="1" showErrorMessage="1" error="Please enter value between 0 to  9999999999999.99" sqref="E7:I7" xr:uid="{00000000-0002-0000-0C00-000000000000}">
      <formula1>-9999999999999.99</formula1>
      <formula2>9999999999999.99</formula2>
    </dataValidation>
    <dataValidation type="decimal" allowBlank="1" showInputMessage="1" showErrorMessage="1" error="Please enter value between 0 to  9999999999999.99" sqref="E8" xr:uid="{00000000-0002-0000-0C00-000001000000}">
      <formula1>0</formula1>
      <formula2>9999999999999.99</formula2>
    </dataValidation>
    <dataValidation type="decimal" allowBlank="1" showInputMessage="1" showErrorMessage="1" error="Please enter a value between 0 and 9999999999999.99" sqref="F8:I8 F12:I12 E15:I15 E17:I18" xr:uid="{00000000-0002-0000-0C00-000002000000}">
      <formula1>0</formula1>
      <formula2>9999999999999.99</formula2>
    </dataValidation>
    <dataValidation type="decimal" allowBlank="1" showInputMessage="1" showErrorMessage="1" error="Please enter value between 0  to  9999999999999.99" sqref="E12" xr:uid="{00000000-0002-0000-0C00-000003000000}">
      <formula1>0</formula1>
      <formula2>9999999999999.99</formula2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20"/>
  <sheetViews>
    <sheetView showGridLines="0" zoomScale="95" zoomScaleNormal="95" workbookViewId="0">
      <selection sqref="A1:H2"/>
    </sheetView>
  </sheetViews>
  <sheetFormatPr defaultRowHeight="14.4" x14ac:dyDescent="0.3"/>
  <cols>
    <col min="1" max="1" width="11" customWidth="1"/>
    <col min="2" max="2" width="60.6640625" customWidth="1"/>
    <col min="3" max="3" width="17.6640625" bestFit="1" customWidth="1"/>
    <col min="4" max="4" width="16.33203125" customWidth="1"/>
    <col min="5" max="5" width="17.88671875" customWidth="1"/>
    <col min="6" max="6" width="18.88671875" customWidth="1"/>
    <col min="7" max="7" width="14.33203125" customWidth="1"/>
    <col min="8" max="8" width="16.5546875" customWidth="1"/>
  </cols>
  <sheetData>
    <row r="1" spans="1:8" ht="15" customHeight="1" x14ac:dyDescent="0.3">
      <c r="A1" s="582" t="s">
        <v>280</v>
      </c>
      <c r="B1" s="583"/>
      <c r="C1" s="583"/>
      <c r="D1" s="583"/>
      <c r="E1" s="583"/>
      <c r="F1" s="583"/>
      <c r="G1" s="583"/>
      <c r="H1" s="584"/>
    </row>
    <row r="2" spans="1:8" ht="15" customHeight="1" x14ac:dyDescent="0.3">
      <c r="A2" s="585"/>
      <c r="B2" s="571"/>
      <c r="C2" s="571"/>
      <c r="D2" s="571"/>
      <c r="E2" s="571"/>
      <c r="F2" s="571"/>
      <c r="G2" s="571"/>
      <c r="H2" s="586"/>
    </row>
    <row r="3" spans="1:8" x14ac:dyDescent="0.3">
      <c r="A3" s="587" t="s">
        <v>316</v>
      </c>
      <c r="B3" s="588"/>
      <c r="C3" s="588"/>
      <c r="D3" s="588"/>
      <c r="E3" s="588"/>
      <c r="F3" s="588"/>
      <c r="G3" s="588"/>
      <c r="H3" s="589"/>
    </row>
    <row r="4" spans="1:8" x14ac:dyDescent="0.3">
      <c r="A4" s="577" t="s">
        <v>282</v>
      </c>
      <c r="B4" s="577"/>
      <c r="C4" s="578" t="s">
        <v>283</v>
      </c>
      <c r="D4" s="577" t="s">
        <v>284</v>
      </c>
      <c r="E4" s="577"/>
      <c r="F4" s="577"/>
      <c r="G4" s="577"/>
      <c r="H4" s="590" t="s">
        <v>285</v>
      </c>
    </row>
    <row r="5" spans="1:8" x14ac:dyDescent="0.3">
      <c r="A5" s="577"/>
      <c r="B5" s="577"/>
      <c r="C5" s="578"/>
      <c r="D5" s="162" t="s">
        <v>155</v>
      </c>
      <c r="E5" s="162" t="s">
        <v>286</v>
      </c>
      <c r="F5" s="162" t="s">
        <v>154</v>
      </c>
      <c r="G5" s="162" t="s">
        <v>157</v>
      </c>
      <c r="H5" s="590"/>
    </row>
    <row r="6" spans="1:8" x14ac:dyDescent="0.3">
      <c r="A6" s="178"/>
      <c r="B6" s="577" t="s">
        <v>317</v>
      </c>
      <c r="C6" s="577"/>
      <c r="D6" s="577"/>
      <c r="E6" s="577"/>
      <c r="F6" s="577"/>
      <c r="G6" s="577"/>
      <c r="H6" s="577"/>
    </row>
    <row r="7" spans="1:8" x14ac:dyDescent="0.3">
      <c r="A7" s="179" t="s">
        <v>288</v>
      </c>
      <c r="B7" s="177" t="s">
        <v>318</v>
      </c>
      <c r="C7" s="167"/>
      <c r="D7" s="180"/>
      <c r="E7" s="180"/>
      <c r="F7" s="180"/>
      <c r="G7" s="180"/>
      <c r="H7" s="3"/>
    </row>
    <row r="8" spans="1:8" x14ac:dyDescent="0.3">
      <c r="A8" s="179" t="s">
        <v>290</v>
      </c>
      <c r="B8" s="177" t="s">
        <v>319</v>
      </c>
      <c r="C8" s="181">
        <f>'BOA OUT (AV)'!C87</f>
        <v>0</v>
      </c>
      <c r="D8" s="180"/>
      <c r="E8" s="180"/>
      <c r="F8" s="180"/>
      <c r="G8" s="180"/>
      <c r="H8" s="3"/>
    </row>
    <row r="9" spans="1:8" x14ac:dyDescent="0.3">
      <c r="A9" s="179" t="s">
        <v>292</v>
      </c>
      <c r="B9" s="177" t="s">
        <v>320</v>
      </c>
      <c r="C9" s="181">
        <f>RECO!G32</f>
        <v>0</v>
      </c>
      <c r="D9" s="180"/>
      <c r="E9" s="180"/>
      <c r="F9" s="180"/>
      <c r="G9" s="180"/>
      <c r="H9" s="3"/>
    </row>
    <row r="10" spans="1:8" x14ac:dyDescent="0.3">
      <c r="A10" s="179" t="s">
        <v>294</v>
      </c>
      <c r="B10" s="177" t="s">
        <v>321</v>
      </c>
      <c r="C10" s="181">
        <f>RECO!G30</f>
        <v>0</v>
      </c>
      <c r="D10" s="180"/>
      <c r="E10" s="180"/>
      <c r="F10" s="180"/>
      <c r="G10" s="180"/>
      <c r="H10" s="3"/>
    </row>
    <row r="11" spans="1:8" x14ac:dyDescent="0.3">
      <c r="A11" s="179" t="s">
        <v>296</v>
      </c>
      <c r="B11" s="177" t="s">
        <v>322</v>
      </c>
      <c r="C11" s="181">
        <f>RECO!G29</f>
        <v>0</v>
      </c>
      <c r="D11" s="180"/>
      <c r="E11" s="180"/>
      <c r="F11" s="180"/>
      <c r="G11" s="180"/>
      <c r="H11" s="3"/>
    </row>
    <row r="12" spans="1:8" x14ac:dyDescent="0.3">
      <c r="A12" s="179" t="s">
        <v>298</v>
      </c>
      <c r="B12" s="177" t="s">
        <v>323</v>
      </c>
      <c r="C12" s="181">
        <f>RECO!G31</f>
        <v>0</v>
      </c>
      <c r="D12" s="180"/>
      <c r="E12" s="180"/>
      <c r="F12" s="180"/>
      <c r="G12" s="180"/>
      <c r="H12" s="3"/>
    </row>
    <row r="13" spans="1:8" x14ac:dyDescent="0.3">
      <c r="A13" s="182" t="s">
        <v>300</v>
      </c>
      <c r="B13" s="177" t="s">
        <v>324</v>
      </c>
      <c r="C13" s="183">
        <f>SUM(C7:C12)</f>
        <v>0</v>
      </c>
      <c r="D13" s="184"/>
      <c r="E13" s="184"/>
      <c r="F13" s="184"/>
      <c r="G13" s="184"/>
      <c r="H13" s="3"/>
    </row>
    <row r="14" spans="1:8" x14ac:dyDescent="0.3">
      <c r="A14" s="182" t="s">
        <v>302</v>
      </c>
      <c r="B14" s="177" t="s">
        <v>325</v>
      </c>
      <c r="C14" s="181">
        <f>'BOA OUT (AV)'!E66+'BOA OUT (AV)'!D87+'BOA OUT (AV)'!F109+'BOA OUT (AV)'!F132</f>
        <v>0</v>
      </c>
      <c r="D14" s="180"/>
      <c r="E14" s="180"/>
      <c r="F14" s="180"/>
      <c r="G14" s="180"/>
      <c r="H14" s="3"/>
    </row>
    <row r="15" spans="1:8" x14ac:dyDescent="0.3">
      <c r="A15" s="182" t="s">
        <v>304</v>
      </c>
      <c r="B15" s="177" t="s">
        <v>326</v>
      </c>
      <c r="C15" s="167"/>
      <c r="D15" s="180"/>
      <c r="E15" s="180"/>
      <c r="F15" s="180"/>
      <c r="G15" s="180"/>
      <c r="H15" s="3"/>
    </row>
    <row r="16" spans="1:8" x14ac:dyDescent="0.3">
      <c r="A16" s="182" t="s">
        <v>306</v>
      </c>
      <c r="B16" s="177" t="s">
        <v>327</v>
      </c>
      <c r="C16" s="165">
        <f>'GSTR 1'!B276</f>
        <v>0</v>
      </c>
      <c r="D16" s="180"/>
      <c r="E16" s="180"/>
      <c r="F16" s="180"/>
      <c r="G16" s="180"/>
      <c r="H16" s="3"/>
    </row>
    <row r="17" spans="1:8" x14ac:dyDescent="0.3">
      <c r="A17" s="182" t="s">
        <v>308</v>
      </c>
      <c r="B17" s="177" t="s">
        <v>328</v>
      </c>
      <c r="C17" s="165">
        <f>'GSTR 1'!B309</f>
        <v>0</v>
      </c>
      <c r="D17" s="180"/>
      <c r="E17" s="180"/>
      <c r="F17" s="180"/>
      <c r="G17" s="180"/>
      <c r="H17" s="3"/>
    </row>
    <row r="18" spans="1:8" x14ac:dyDescent="0.3">
      <c r="A18" s="182" t="s">
        <v>310</v>
      </c>
      <c r="B18" s="177" t="s">
        <v>329</v>
      </c>
      <c r="C18" s="183">
        <f>C15+C16-C14-C17</f>
        <v>0</v>
      </c>
      <c r="D18" s="180"/>
      <c r="E18" s="180"/>
      <c r="F18" s="180"/>
      <c r="G18" s="180"/>
      <c r="H18" s="3"/>
    </row>
    <row r="19" spans="1:8" x14ac:dyDescent="0.3">
      <c r="A19" s="182" t="s">
        <v>312</v>
      </c>
      <c r="B19" s="177" t="s">
        <v>330</v>
      </c>
      <c r="C19" s="183">
        <f>C13+C18</f>
        <v>0</v>
      </c>
      <c r="D19" s="180"/>
      <c r="E19" s="180"/>
      <c r="F19" s="180"/>
      <c r="G19" s="180"/>
      <c r="H19" s="3"/>
    </row>
    <row r="20" spans="1:8" x14ac:dyDescent="0.3">
      <c r="A20" s="182" t="s">
        <v>314</v>
      </c>
      <c r="B20" s="177" t="s">
        <v>331</v>
      </c>
      <c r="C20" s="183">
        <f>'4 GSTR9'!E20+'5 GSTR 9'!C19-'4 GSTR9'!E13</f>
        <v>0</v>
      </c>
      <c r="D20" s="183">
        <f>'4 GSTR9'!F20+'5 GSTR 9'!D19-'4 GSTR9'!F13</f>
        <v>0</v>
      </c>
      <c r="E20" s="183">
        <f>'4 GSTR9'!G20+'5 GSTR 9'!E19-'4 GSTR9'!G13</f>
        <v>0</v>
      </c>
      <c r="F20" s="183">
        <f>'4 GSTR9'!H20+'5 GSTR 9'!F19-'4 GSTR9'!H13</f>
        <v>0</v>
      </c>
      <c r="G20" s="183">
        <f>'4 GSTR9'!I20+'5 GSTR 9'!G19-'4 GSTR9'!I13</f>
        <v>0</v>
      </c>
      <c r="H20" s="3"/>
    </row>
  </sheetData>
  <mergeCells count="7">
    <mergeCell ref="B6:H6"/>
    <mergeCell ref="A1:H2"/>
    <mergeCell ref="A3:H3"/>
    <mergeCell ref="A4:B5"/>
    <mergeCell ref="C4:C5"/>
    <mergeCell ref="D4:G4"/>
    <mergeCell ref="H4:H5"/>
  </mergeCells>
  <dataValidations count="1">
    <dataValidation type="decimal" allowBlank="1" showInputMessage="1" showErrorMessage="1" error="Please enter a value between 0 and 9999999999999.99" sqref="C16:C17" xr:uid="{00000000-0002-0000-0D00-000000000000}">
      <formula1>0</formula1>
      <formula2>9999999999999.99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H26"/>
  <sheetViews>
    <sheetView zoomScale="95" zoomScaleNormal="95" workbookViewId="0">
      <selection sqref="A1:H1"/>
    </sheetView>
  </sheetViews>
  <sheetFormatPr defaultRowHeight="14.4" x14ac:dyDescent="0.3"/>
  <cols>
    <col min="1" max="1" width="7.33203125" customWidth="1"/>
    <col min="2" max="2" width="57.6640625" customWidth="1"/>
    <col min="3" max="3" width="26.6640625" customWidth="1"/>
    <col min="4" max="7" width="16.33203125" customWidth="1"/>
    <col min="8" max="8" width="16.5546875" customWidth="1"/>
  </cols>
  <sheetData>
    <row r="1" spans="1:8" x14ac:dyDescent="0.3">
      <c r="A1" s="593" t="s">
        <v>335</v>
      </c>
      <c r="B1" s="594"/>
      <c r="C1" s="594"/>
      <c r="D1" s="594"/>
      <c r="E1" s="594"/>
      <c r="F1" s="594"/>
      <c r="G1" s="594"/>
      <c r="H1" s="595"/>
    </row>
    <row r="2" spans="1:8" x14ac:dyDescent="0.3">
      <c r="A2" s="596" t="s">
        <v>332</v>
      </c>
      <c r="B2" s="596"/>
      <c r="C2" s="596" t="s">
        <v>333</v>
      </c>
      <c r="D2" s="577" t="s">
        <v>284</v>
      </c>
      <c r="E2" s="577"/>
      <c r="F2" s="577"/>
      <c r="G2" s="577"/>
      <c r="H2" s="590" t="s">
        <v>285</v>
      </c>
    </row>
    <row r="3" spans="1:8" ht="27.6" x14ac:dyDescent="0.3">
      <c r="A3" s="596"/>
      <c r="B3" s="596"/>
      <c r="C3" s="596"/>
      <c r="D3" s="162" t="s">
        <v>155</v>
      </c>
      <c r="E3" s="162" t="s">
        <v>286</v>
      </c>
      <c r="F3" s="162" t="s">
        <v>154</v>
      </c>
      <c r="G3" s="162" t="s">
        <v>157</v>
      </c>
      <c r="H3" s="590"/>
    </row>
    <row r="4" spans="1:8" x14ac:dyDescent="0.3">
      <c r="A4" s="185">
        <v>6</v>
      </c>
      <c r="B4" s="597" t="s">
        <v>334</v>
      </c>
      <c r="C4" s="597"/>
      <c r="D4" s="597"/>
      <c r="E4" s="597"/>
      <c r="F4" s="597"/>
      <c r="G4" s="597"/>
      <c r="H4" s="597"/>
    </row>
    <row r="5" spans="1:8" ht="31.5" customHeight="1" x14ac:dyDescent="0.3">
      <c r="A5" s="182" t="s">
        <v>288</v>
      </c>
      <c r="B5" s="598" t="s">
        <v>336</v>
      </c>
      <c r="C5" s="599"/>
      <c r="D5" s="186"/>
      <c r="E5" s="186"/>
      <c r="F5" s="186"/>
      <c r="G5" s="186"/>
      <c r="H5" s="3"/>
    </row>
    <row r="6" spans="1:8" x14ac:dyDescent="0.3">
      <c r="A6" s="591" t="s">
        <v>290</v>
      </c>
      <c r="B6" s="592" t="s">
        <v>337</v>
      </c>
      <c r="C6" s="177" t="s">
        <v>338</v>
      </c>
      <c r="D6" s="165">
        <f>SUMIF('BOA AUDIT EXP'!$C$49:$C$63,"Input (Goods)",'BOA AUDIT EXP'!$I$49:$I$63)</f>
        <v>0</v>
      </c>
      <c r="E6" s="165">
        <f>SUMIF('BOA AUDIT EXP'!$C$49:$C$63,"Input (Goods)",'BOA AUDIT EXP'!$J$49:$J$63)</f>
        <v>0</v>
      </c>
      <c r="F6" s="165">
        <f>SUMIF('BOA AUDIT EXP'!$C$49:$C$63,"Input (Goods)",'BOA AUDIT EXP'!$H$49:$H$63)</f>
        <v>0</v>
      </c>
      <c r="G6" s="165">
        <f>SUMIF('BOA AUDIT EXP'!$C$49:$C$63,"Input (Goods)",'BOA AUDIT EXP'!$K$49:$K$63)</f>
        <v>0</v>
      </c>
      <c r="H6" s="3"/>
    </row>
    <row r="7" spans="1:8" x14ac:dyDescent="0.3">
      <c r="A7" s="591"/>
      <c r="B7" s="592"/>
      <c r="C7" s="177" t="s">
        <v>249</v>
      </c>
      <c r="D7" s="165">
        <f>SUMIF('BOA AUDIT EXP'!$C$49:$C$63,"Capital Goods",'BOA AUDIT EXP'!$I$49:$I$63)</f>
        <v>0</v>
      </c>
      <c r="E7" s="165">
        <f>SUMIF('BOA AUDIT EXP'!$C$49:$C$63,"Capital Goods",'BOA AUDIT EXP'!$J$49:$J$63)</f>
        <v>0</v>
      </c>
      <c r="F7" s="165">
        <f>SUMIF('BOA AUDIT EXP'!$C$49:$C$63,"Capital Goods",'BOA AUDIT EXP'!$H$49:$H$63)</f>
        <v>0</v>
      </c>
      <c r="G7" s="165">
        <f>SUMIF('BOA AUDIT EXP'!$C$49:$C$63,"Capital Goods",'BOA AUDIT EXP'!$K$49:$K$63)</f>
        <v>0</v>
      </c>
      <c r="H7" s="3"/>
    </row>
    <row r="8" spans="1:8" x14ac:dyDescent="0.3">
      <c r="A8" s="591"/>
      <c r="B8" s="592"/>
      <c r="C8" s="177" t="s">
        <v>339</v>
      </c>
      <c r="D8" s="165">
        <f>SUMIF('BOA AUDIT EXP'!$C$49:$C$63,"Input (Services)",'BOA AUDIT EXP'!$I$49:$I$63)</f>
        <v>0</v>
      </c>
      <c r="E8" s="165">
        <f>SUMIF('BOA AUDIT EXP'!$C$49:$C$63,"Input (Services)",'BOA AUDIT EXP'!$J$49:$J$63)</f>
        <v>0</v>
      </c>
      <c r="F8" s="165">
        <f>SUMIF('BOA AUDIT EXP'!$C$49:$C$63,"Input (Services)",'BOA AUDIT EXP'!$H$49:$H$63)</f>
        <v>0</v>
      </c>
      <c r="G8" s="165">
        <f>SUMIF('BOA AUDIT EXP'!$C$49:$C$63,"Input (Services)",'BOA AUDIT EXP'!$K$49:$K$63)</f>
        <v>0</v>
      </c>
      <c r="H8" s="3"/>
    </row>
    <row r="9" spans="1:8" x14ac:dyDescent="0.3">
      <c r="A9" s="591" t="s">
        <v>292</v>
      </c>
      <c r="B9" s="592" t="s">
        <v>340</v>
      </c>
      <c r="C9" s="177" t="s">
        <v>338</v>
      </c>
      <c r="D9" s="165">
        <f>SUMIFS('BOA AUDIT EXP'!$I$49:$I$63,'BOA AUDIT EXP'!$C$49:$C$63,"RCM (Input Goods)",'BOA AUDIT EXP'!$E$49:$E$63,"&lt;&gt;0")</f>
        <v>0</v>
      </c>
      <c r="E9" s="165">
        <f>SUMIFS('BOA AUDIT EXP'!$J$49:$J$63,'BOA AUDIT EXP'!$C$49:$C$63,"RCM (Input Goods)",'BOA AUDIT EXP'!$E$49:$E$63,"&lt;&gt;0")</f>
        <v>0</v>
      </c>
      <c r="F9" s="165">
        <f>SUMIFS('BOA AUDIT EXP'!$H$49:$H$63,'BOA AUDIT EXP'!$C$49:$C$63,"RCM (Input Goods)",'BOA AUDIT EXP'!$E$49:$E$63,"&lt;&gt;0")</f>
        <v>0</v>
      </c>
      <c r="G9" s="165">
        <f>SUMIFS('BOA AUDIT EXP'!$K$49:$K$63,'BOA AUDIT EXP'!$C$49:$C$63,"RCM (Input Goods)",'BOA AUDIT EXP'!$E$49:$E$63,"&lt;&gt;0")</f>
        <v>0</v>
      </c>
      <c r="H9" s="3"/>
    </row>
    <row r="10" spans="1:8" x14ac:dyDescent="0.3">
      <c r="A10" s="591"/>
      <c r="B10" s="592"/>
      <c r="C10" s="177" t="s">
        <v>249</v>
      </c>
      <c r="D10" s="187"/>
      <c r="E10" s="187"/>
      <c r="F10" s="187"/>
      <c r="G10" s="187"/>
      <c r="H10" s="3"/>
    </row>
    <row r="11" spans="1:8" x14ac:dyDescent="0.3">
      <c r="A11" s="591"/>
      <c r="B11" s="592"/>
      <c r="C11" s="177" t="s">
        <v>339</v>
      </c>
      <c r="D11" s="165">
        <f>SUMIFS('BOA AUDIT EXP'!$I$49:$I$63,'BOA AUDIT EXP'!$C$49:$C$63,"RCM (Input Service)",'BOA AUDIT EXP'!$E$49:$E$63,"&lt;&gt;0")</f>
        <v>0</v>
      </c>
      <c r="E11" s="165">
        <f>SUMIFS('BOA AUDIT EXP'!$J$49:$J$63,'BOA AUDIT EXP'!$C$49:$C$63,"RCM (Input Service)",'BOA AUDIT EXP'!$E$49:$E$63,"&lt;&gt;0")</f>
        <v>0</v>
      </c>
      <c r="F11" s="165">
        <f>SUMIFS('BOA AUDIT EXP'!$H$49:$H$63,'BOA AUDIT EXP'!$C$49:$C$63,"RCM (Input Service)",'BOA AUDIT EXP'!$E$49:$E$63,"&lt;&gt;0")</f>
        <v>0</v>
      </c>
      <c r="G11" s="165">
        <f>SUMIFS('BOA AUDIT EXP'!$K$49:$K$63,'BOA AUDIT EXP'!$C$49:$C$63,"RCM (Input Service)",'BOA AUDIT EXP'!$E$49:$E$63,"&lt;&gt;0")</f>
        <v>0</v>
      </c>
      <c r="H11" s="3"/>
    </row>
    <row r="12" spans="1:8" x14ac:dyDescent="0.3">
      <c r="A12" s="591" t="s">
        <v>294</v>
      </c>
      <c r="B12" s="592" t="s">
        <v>341</v>
      </c>
      <c r="C12" s="177" t="s">
        <v>338</v>
      </c>
      <c r="D12" s="165">
        <f>SUMIFS('BOA AUDIT EXP'!$I$49:$I$63,'BOA AUDIT EXP'!$C$49:$C$63,"RCM (Input Goods)",'BOA AUDIT EXP'!$E$49:$E$63,"&gt;0")</f>
        <v>0</v>
      </c>
      <c r="E12" s="165">
        <f>SUMIFS('BOA AUDIT EXP'!$J$49:$J$63,'BOA AUDIT EXP'!$C$49:$C$63,"RCM (Input Goods)",'BOA AUDIT EXP'!$E$49:$E$63,"&gt;0")</f>
        <v>0</v>
      </c>
      <c r="F12" s="165">
        <f>SUMIFS('BOA AUDIT EXP'!$H$49:$H$63,'BOA AUDIT EXP'!$C$49:$C$63,"RCM (Input Goods)",'BOA AUDIT EXP'!$E$49:$E$63,"&gt;0")</f>
        <v>0</v>
      </c>
      <c r="G12" s="165">
        <f>SUMIFS('BOA AUDIT EXP'!$K$49:$K$63,'BOA AUDIT EXP'!$C$49:$C$63,"RCM (Input Goods)",'BOA AUDIT EXP'!$E$49:$E$63,"&gt;0")</f>
        <v>0</v>
      </c>
      <c r="H12" s="3"/>
    </row>
    <row r="13" spans="1:8" x14ac:dyDescent="0.3">
      <c r="A13" s="591"/>
      <c r="B13" s="592"/>
      <c r="C13" s="177" t="s">
        <v>249</v>
      </c>
      <c r="D13" s="187"/>
      <c r="E13" s="187"/>
      <c r="F13" s="187"/>
      <c r="G13" s="187"/>
      <c r="H13" s="3"/>
    </row>
    <row r="14" spans="1:8" x14ac:dyDescent="0.3">
      <c r="A14" s="591"/>
      <c r="B14" s="592"/>
      <c r="C14" s="177" t="s">
        <v>339</v>
      </c>
      <c r="D14" s="165">
        <f>SUMIFS('BOA AUDIT EXP'!$I$49:$I$63,'BOA AUDIT EXP'!$C$49:$C$63,"RCM (Input Service)",'BOA AUDIT EXP'!$E$49:$E$63,"&gt;0")</f>
        <v>0</v>
      </c>
      <c r="E14" s="165">
        <f>SUMIFS('BOA AUDIT EXP'!$J$49:$J$63,'BOA AUDIT EXP'!$C$49:$C$63,"RCM (Input Service)",'BOA AUDIT EXP'!$E$49:$E$63,"&gt;0")</f>
        <v>0</v>
      </c>
      <c r="F14" s="165">
        <f>SUMIFS('BOA AUDIT EXP'!$H$49:$H$63,'BOA AUDIT EXP'!$C$49:$C$63,"RCM (Input Service)",'BOA AUDIT EXP'!$E$49:$E$63,"&gt;0")</f>
        <v>0</v>
      </c>
      <c r="G14" s="165">
        <f>SUMIFS('BOA AUDIT EXP'!$K$49:$K$63,'BOA AUDIT EXP'!$C$49:$C$63,"RCM (Input Service)",'BOA AUDIT EXP'!$E$49:$E$63,"&gt;0")</f>
        <v>0</v>
      </c>
      <c r="H14" s="3"/>
    </row>
    <row r="15" spans="1:8" x14ac:dyDescent="0.3">
      <c r="A15" s="600" t="s">
        <v>296</v>
      </c>
      <c r="B15" s="592" t="s">
        <v>342</v>
      </c>
      <c r="C15" s="177" t="s">
        <v>338</v>
      </c>
      <c r="D15" s="187"/>
      <c r="E15" s="187"/>
      <c r="F15" s="165">
        <f>'BOA AUDIT EXP'!H53</f>
        <v>0</v>
      </c>
      <c r="G15" s="165">
        <f>'BOA AUDIT EXP'!K53</f>
        <v>0</v>
      </c>
      <c r="H15" s="3"/>
    </row>
    <row r="16" spans="1:8" x14ac:dyDescent="0.3">
      <c r="A16" s="600"/>
      <c r="B16" s="592"/>
      <c r="C16" s="177" t="s">
        <v>249</v>
      </c>
      <c r="D16" s="187"/>
      <c r="E16" s="187"/>
      <c r="F16" s="165">
        <f>'BOA AUDIT EXP'!H54</f>
        <v>0</v>
      </c>
      <c r="G16" s="165">
        <f>'BOA AUDIT EXP'!K54</f>
        <v>0</v>
      </c>
      <c r="H16" s="3"/>
    </row>
    <row r="17" spans="1:8" x14ac:dyDescent="0.3">
      <c r="A17" s="182" t="s">
        <v>298</v>
      </c>
      <c r="B17" s="566" t="s">
        <v>343</v>
      </c>
      <c r="C17" s="566"/>
      <c r="D17" s="187"/>
      <c r="E17" s="187"/>
      <c r="F17" s="187"/>
      <c r="G17" s="187"/>
      <c r="H17" s="3"/>
    </row>
    <row r="18" spans="1:8" x14ac:dyDescent="0.3">
      <c r="A18" s="182" t="s">
        <v>300</v>
      </c>
      <c r="B18" s="566" t="s">
        <v>344</v>
      </c>
      <c r="C18" s="566"/>
      <c r="D18" s="167"/>
      <c r="E18" s="167"/>
      <c r="F18" s="167"/>
      <c r="G18" s="167"/>
      <c r="H18" s="3"/>
    </row>
    <row r="19" spans="1:8" x14ac:dyDescent="0.3">
      <c r="A19" s="182" t="s">
        <v>302</v>
      </c>
      <c r="B19" s="566" t="s">
        <v>345</v>
      </c>
      <c r="C19" s="566"/>
      <c r="D19" s="188"/>
      <c r="E19" s="188"/>
      <c r="F19" s="188"/>
      <c r="G19" s="188"/>
      <c r="H19" s="3"/>
    </row>
    <row r="20" spans="1:8" x14ac:dyDescent="0.3">
      <c r="A20" s="182" t="s">
        <v>304</v>
      </c>
      <c r="B20" s="566" t="s">
        <v>346</v>
      </c>
      <c r="C20" s="566"/>
      <c r="D20" s="183">
        <f>SUM(D6:D19)</f>
        <v>0</v>
      </c>
      <c r="E20" s="183">
        <f t="shared" ref="E20:G20" si="0">SUM(E6:E19)</f>
        <v>0</v>
      </c>
      <c r="F20" s="183">
        <f t="shared" si="0"/>
        <v>0</v>
      </c>
      <c r="G20" s="183">
        <f t="shared" si="0"/>
        <v>0</v>
      </c>
      <c r="H20" s="3"/>
    </row>
    <row r="21" spans="1:8" x14ac:dyDescent="0.3">
      <c r="A21" s="182" t="s">
        <v>306</v>
      </c>
      <c r="B21" s="566" t="s">
        <v>347</v>
      </c>
      <c r="C21" s="566"/>
      <c r="D21" s="183">
        <f>D20-D5</f>
        <v>0</v>
      </c>
      <c r="E21" s="183">
        <f t="shared" ref="E21:G21" si="1">E20-E5</f>
        <v>0</v>
      </c>
      <c r="F21" s="183">
        <f t="shared" si="1"/>
        <v>0</v>
      </c>
      <c r="G21" s="183">
        <f t="shared" si="1"/>
        <v>0</v>
      </c>
      <c r="H21" s="3"/>
    </row>
    <row r="22" spans="1:8" x14ac:dyDescent="0.3">
      <c r="A22" s="182" t="s">
        <v>308</v>
      </c>
      <c r="B22" s="566" t="s">
        <v>348</v>
      </c>
      <c r="C22" s="566"/>
      <c r="D22" s="188"/>
      <c r="E22" s="188"/>
      <c r="F22" s="186"/>
      <c r="G22" s="187"/>
      <c r="H22" s="3"/>
    </row>
    <row r="23" spans="1:8" x14ac:dyDescent="0.3">
      <c r="A23" s="182" t="s">
        <v>310</v>
      </c>
      <c r="B23" s="566" t="s">
        <v>349</v>
      </c>
      <c r="C23" s="566"/>
      <c r="D23" s="188"/>
      <c r="E23" s="188"/>
      <c r="F23" s="186"/>
      <c r="G23" s="187"/>
      <c r="H23" s="3"/>
    </row>
    <row r="24" spans="1:8" x14ac:dyDescent="0.3">
      <c r="A24" s="182" t="s">
        <v>312</v>
      </c>
      <c r="B24" s="598" t="s">
        <v>350</v>
      </c>
      <c r="C24" s="599"/>
      <c r="D24" s="188"/>
      <c r="E24" s="188"/>
      <c r="F24" s="188"/>
      <c r="G24" s="188"/>
      <c r="H24" s="3"/>
    </row>
    <row r="25" spans="1:8" x14ac:dyDescent="0.3">
      <c r="A25" s="182" t="s">
        <v>314</v>
      </c>
      <c r="B25" s="566" t="s">
        <v>351</v>
      </c>
      <c r="C25" s="566"/>
      <c r="D25" s="183">
        <f>SUM(D22:D24)</f>
        <v>0</v>
      </c>
      <c r="E25" s="183">
        <f t="shared" ref="E25:G25" si="2">SUM(E22:E24)</f>
        <v>0</v>
      </c>
      <c r="F25" s="183">
        <f t="shared" si="2"/>
        <v>0</v>
      </c>
      <c r="G25" s="183">
        <f t="shared" si="2"/>
        <v>0</v>
      </c>
      <c r="H25" s="3"/>
    </row>
    <row r="26" spans="1:8" x14ac:dyDescent="0.3">
      <c r="A26" s="182" t="s">
        <v>352</v>
      </c>
      <c r="B26" s="566" t="s">
        <v>353</v>
      </c>
      <c r="C26" s="566"/>
      <c r="D26" s="183">
        <f>D20+D25</f>
        <v>0</v>
      </c>
      <c r="E26" s="183">
        <f t="shared" ref="E26:G26" si="3">E20+E25</f>
        <v>0</v>
      </c>
      <c r="F26" s="183">
        <f t="shared" si="3"/>
        <v>0</v>
      </c>
      <c r="G26" s="183">
        <f t="shared" si="3"/>
        <v>0</v>
      </c>
      <c r="H26" s="3"/>
    </row>
  </sheetData>
  <mergeCells count="25">
    <mergeCell ref="B26:C26"/>
    <mergeCell ref="A15:A16"/>
    <mergeCell ref="B15:B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A12:A14"/>
    <mergeCell ref="B12:B14"/>
    <mergeCell ref="A1:H1"/>
    <mergeCell ref="A2:B3"/>
    <mergeCell ref="C2:C3"/>
    <mergeCell ref="D2:G2"/>
    <mergeCell ref="H2:H3"/>
    <mergeCell ref="B4:H4"/>
    <mergeCell ref="B5:C5"/>
    <mergeCell ref="A6:A8"/>
    <mergeCell ref="B6:B8"/>
    <mergeCell ref="A9:A11"/>
    <mergeCell ref="B9:B11"/>
  </mergeCells>
  <dataValidations count="1">
    <dataValidation type="decimal" allowBlank="1" showInputMessage="1" showErrorMessage="1" error="Please enter a value between 0 and 9999999999999.99" sqref="D6:G8 F15:G16" xr:uid="{00000000-0002-0000-0E00-000000000000}">
      <formula1>0</formula1>
      <formula2>9999999999999.99</formula2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G14"/>
  <sheetViews>
    <sheetView zoomScale="95" zoomScaleNormal="95" workbookViewId="0">
      <selection sqref="A1:G1"/>
    </sheetView>
  </sheetViews>
  <sheetFormatPr defaultRowHeight="14.4" x14ac:dyDescent="0.3"/>
  <cols>
    <col min="2" max="2" width="45.6640625" customWidth="1"/>
    <col min="3" max="3" width="13.88671875" customWidth="1"/>
    <col min="4" max="4" width="16.109375" customWidth="1"/>
    <col min="5" max="5" width="14.33203125" customWidth="1"/>
    <col min="6" max="6" width="10.5546875" customWidth="1"/>
    <col min="7" max="7" width="16.88671875" customWidth="1"/>
  </cols>
  <sheetData>
    <row r="1" spans="1:7" ht="15" customHeight="1" x14ac:dyDescent="0.3">
      <c r="A1" s="593" t="s">
        <v>335</v>
      </c>
      <c r="B1" s="594"/>
      <c r="C1" s="594"/>
      <c r="D1" s="594"/>
      <c r="E1" s="594"/>
      <c r="F1" s="594"/>
      <c r="G1" s="595"/>
    </row>
    <row r="2" spans="1:7" x14ac:dyDescent="0.3">
      <c r="A2" s="601" t="s">
        <v>153</v>
      </c>
      <c r="B2" s="601"/>
      <c r="C2" s="602" t="s">
        <v>284</v>
      </c>
      <c r="D2" s="602"/>
      <c r="E2" s="602"/>
      <c r="F2" s="602"/>
      <c r="G2" s="603" t="s">
        <v>285</v>
      </c>
    </row>
    <row r="3" spans="1:7" ht="27.6" x14ac:dyDescent="0.3">
      <c r="A3" s="601"/>
      <c r="B3" s="601"/>
      <c r="C3" s="191" t="s">
        <v>155</v>
      </c>
      <c r="D3" s="191" t="s">
        <v>286</v>
      </c>
      <c r="E3" s="191" t="s">
        <v>154</v>
      </c>
      <c r="F3" s="191" t="s">
        <v>157</v>
      </c>
      <c r="G3" s="603"/>
    </row>
    <row r="4" spans="1:7" x14ac:dyDescent="0.3">
      <c r="A4" s="185">
        <v>7</v>
      </c>
      <c r="B4" s="604" t="s">
        <v>354</v>
      </c>
      <c r="C4" s="605"/>
      <c r="D4" s="605"/>
      <c r="E4" s="605"/>
      <c r="F4" s="605"/>
      <c r="G4" s="606"/>
    </row>
    <row r="5" spans="1:7" x14ac:dyDescent="0.3">
      <c r="A5" s="182" t="s">
        <v>288</v>
      </c>
      <c r="B5" s="192" t="s">
        <v>355</v>
      </c>
      <c r="C5" s="188"/>
      <c r="D5" s="188"/>
      <c r="E5" s="188"/>
      <c r="F5" s="188"/>
      <c r="G5" s="188"/>
    </row>
    <row r="6" spans="1:7" x14ac:dyDescent="0.3">
      <c r="A6" s="182" t="s">
        <v>290</v>
      </c>
      <c r="B6" s="192" t="s">
        <v>356</v>
      </c>
      <c r="C6" s="188"/>
      <c r="D6" s="188"/>
      <c r="E6" s="188"/>
      <c r="F6" s="188"/>
      <c r="G6" s="188"/>
    </row>
    <row r="7" spans="1:7" x14ac:dyDescent="0.3">
      <c r="A7" s="182" t="s">
        <v>292</v>
      </c>
      <c r="B7" s="192" t="s">
        <v>357</v>
      </c>
      <c r="C7" s="188"/>
      <c r="D7" s="188"/>
      <c r="E7" s="188"/>
      <c r="F7" s="188"/>
      <c r="G7" s="188"/>
    </row>
    <row r="8" spans="1:7" x14ac:dyDescent="0.3">
      <c r="A8" s="182" t="s">
        <v>294</v>
      </c>
      <c r="B8" s="192" t="s">
        <v>358</v>
      </c>
      <c r="C8" s="188"/>
      <c r="D8" s="188"/>
      <c r="E8" s="188"/>
      <c r="F8" s="188"/>
      <c r="G8" s="188"/>
    </row>
    <row r="9" spans="1:7" x14ac:dyDescent="0.3">
      <c r="A9" s="182" t="s">
        <v>296</v>
      </c>
      <c r="B9" s="192" t="s">
        <v>359</v>
      </c>
      <c r="C9" s="165">
        <f>'BOA AUDIT EXP'!M41</f>
        <v>0</v>
      </c>
      <c r="D9" s="165">
        <f>'BOA AUDIT EXP'!N41</f>
        <v>0</v>
      </c>
      <c r="E9" s="165">
        <f>'BOA AUDIT EXP'!L41</f>
        <v>0</v>
      </c>
      <c r="F9" s="165">
        <f>'BOA AUDIT EXP'!O41</f>
        <v>0</v>
      </c>
      <c r="G9" s="3"/>
    </row>
    <row r="10" spans="1:7" x14ac:dyDescent="0.3">
      <c r="A10" s="182" t="s">
        <v>298</v>
      </c>
      <c r="B10" s="192" t="s">
        <v>360</v>
      </c>
      <c r="C10" s="188"/>
      <c r="D10" s="188"/>
      <c r="E10" s="187"/>
      <c r="F10" s="187"/>
      <c r="G10" s="3"/>
    </row>
    <row r="11" spans="1:7" x14ac:dyDescent="0.3">
      <c r="A11" s="182" t="s">
        <v>300</v>
      </c>
      <c r="B11" s="192" t="s">
        <v>361</v>
      </c>
      <c r="C11" s="188"/>
      <c r="D11" s="188"/>
      <c r="E11" s="187"/>
      <c r="F11" s="187"/>
      <c r="G11" s="3"/>
    </row>
    <row r="12" spans="1:7" x14ac:dyDescent="0.3">
      <c r="A12" s="182" t="s">
        <v>362</v>
      </c>
      <c r="B12" s="193" t="s">
        <v>363</v>
      </c>
      <c r="C12" s="181"/>
      <c r="D12" s="181"/>
      <c r="E12" s="181"/>
      <c r="F12" s="181"/>
      <c r="G12" s="3"/>
    </row>
    <row r="13" spans="1:7" x14ac:dyDescent="0.3">
      <c r="A13" s="182" t="s">
        <v>304</v>
      </c>
      <c r="B13" s="194" t="s">
        <v>364</v>
      </c>
      <c r="C13" s="195">
        <f>SUM(C5:C12)</f>
        <v>0</v>
      </c>
      <c r="D13" s="195">
        <f>SUM(D5:D12)</f>
        <v>0</v>
      </c>
      <c r="E13" s="195">
        <f>SUM(E5:E12)</f>
        <v>0</v>
      </c>
      <c r="F13" s="195">
        <f>SUM(F5:F12)</f>
        <v>0</v>
      </c>
      <c r="G13" s="3"/>
    </row>
    <row r="14" spans="1:7" x14ac:dyDescent="0.3">
      <c r="A14" s="182" t="s">
        <v>306</v>
      </c>
      <c r="B14" s="194" t="s">
        <v>365</v>
      </c>
      <c r="C14" s="195">
        <f>'6 GSTR 9'!D26-'7 GSTR 9'!C13</f>
        <v>0</v>
      </c>
      <c r="D14" s="195">
        <f>'6 GSTR 9'!E26-'7 GSTR 9'!D13</f>
        <v>0</v>
      </c>
      <c r="E14" s="195">
        <f>'6 GSTR 9'!F26-'7 GSTR 9'!E13</f>
        <v>0</v>
      </c>
      <c r="F14" s="195">
        <f>'6 GSTR 9'!G26-'7 GSTR 9'!F13</f>
        <v>0</v>
      </c>
      <c r="G14" s="3"/>
    </row>
  </sheetData>
  <mergeCells count="5">
    <mergeCell ref="A1:G1"/>
    <mergeCell ref="A2:B3"/>
    <mergeCell ref="C2:F2"/>
    <mergeCell ref="G2:G3"/>
    <mergeCell ref="B4:G4"/>
  </mergeCells>
  <dataValidations disablePrompts="1" count="1">
    <dataValidation type="textLength" allowBlank="1" showInputMessage="1" showErrorMessage="1" error="Other Reversal detail can be of 30 Characters Maximum " sqref="B12" xr:uid="{00000000-0002-0000-0F00-000000000000}">
      <formula1>0</formula1>
      <formula2>30</formula2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G16"/>
  <sheetViews>
    <sheetView zoomScale="95" zoomScaleNormal="95" workbookViewId="0">
      <selection sqref="A1:G1"/>
    </sheetView>
  </sheetViews>
  <sheetFormatPr defaultRowHeight="14.4" x14ac:dyDescent="0.3"/>
  <cols>
    <col min="1" max="1" width="2.44140625" bestFit="1" customWidth="1"/>
    <col min="2" max="2" width="66.109375" customWidth="1"/>
    <col min="3" max="3" width="13.5546875" customWidth="1"/>
    <col min="4" max="4" width="14" customWidth="1"/>
    <col min="5" max="5" width="13" customWidth="1"/>
    <col min="7" max="7" width="17.109375" customWidth="1"/>
  </cols>
  <sheetData>
    <row r="1" spans="1:7" x14ac:dyDescent="0.3">
      <c r="A1" s="613" t="s">
        <v>366</v>
      </c>
      <c r="B1" s="614"/>
      <c r="C1" s="614"/>
      <c r="D1" s="614"/>
      <c r="E1" s="614"/>
      <c r="F1" s="614"/>
      <c r="G1" s="615"/>
    </row>
    <row r="2" spans="1:7" x14ac:dyDescent="0.3">
      <c r="A2" s="616" t="s">
        <v>367</v>
      </c>
      <c r="B2" s="617"/>
      <c r="C2" s="617"/>
      <c r="D2" s="617"/>
      <c r="E2" s="617"/>
      <c r="F2" s="617"/>
      <c r="G2" s="618"/>
    </row>
    <row r="3" spans="1:7" x14ac:dyDescent="0.3">
      <c r="A3" s="607" t="s">
        <v>153</v>
      </c>
      <c r="B3" s="608"/>
      <c r="C3" s="602" t="s">
        <v>284</v>
      </c>
      <c r="D3" s="602"/>
      <c r="E3" s="602"/>
      <c r="F3" s="602"/>
      <c r="G3" s="609" t="s">
        <v>285</v>
      </c>
    </row>
    <row r="4" spans="1:7" ht="26.4" x14ac:dyDescent="0.3">
      <c r="A4" s="607"/>
      <c r="B4" s="608"/>
      <c r="C4" s="196" t="s">
        <v>155</v>
      </c>
      <c r="D4" s="196" t="s">
        <v>286</v>
      </c>
      <c r="E4" s="196" t="s">
        <v>154</v>
      </c>
      <c r="F4" s="196" t="s">
        <v>157</v>
      </c>
      <c r="G4" s="610"/>
    </row>
    <row r="5" spans="1:7" x14ac:dyDescent="0.3">
      <c r="A5" s="200">
        <v>8</v>
      </c>
      <c r="B5" s="611" t="s">
        <v>368</v>
      </c>
      <c r="C5" s="611"/>
      <c r="D5" s="611"/>
      <c r="E5" s="611"/>
      <c r="F5" s="611"/>
      <c r="G5" s="612"/>
    </row>
    <row r="6" spans="1:7" x14ac:dyDescent="0.3">
      <c r="A6" s="182" t="s">
        <v>288</v>
      </c>
      <c r="B6" s="177" t="s">
        <v>369</v>
      </c>
      <c r="C6" s="186"/>
      <c r="D6" s="186"/>
      <c r="E6" s="186"/>
      <c r="F6" s="186"/>
      <c r="G6" s="166"/>
    </row>
    <row r="7" spans="1:7" x14ac:dyDescent="0.3">
      <c r="A7" s="182" t="s">
        <v>290</v>
      </c>
      <c r="B7" s="177" t="s">
        <v>370</v>
      </c>
      <c r="C7" s="186">
        <f>'6 GSTR 9'!D6+'6 GSTR 9'!D7+'6 GSTR 9'!D8+'6 GSTR 9'!D19</f>
        <v>0</v>
      </c>
      <c r="D7" s="186">
        <f>'6 GSTR 9'!E6+'6 GSTR 9'!E7+'6 GSTR 9'!E8+'6 GSTR 9'!E19</f>
        <v>0</v>
      </c>
      <c r="E7" s="186">
        <f>'6 GSTR 9'!F6+'6 GSTR 9'!F7+'6 GSTR 9'!F8+'6 GSTR 9'!F19</f>
        <v>0</v>
      </c>
      <c r="F7" s="186">
        <f>'6 GSTR 9'!G6+'6 GSTR 9'!G7+'6 GSTR 9'!G8+'6 GSTR 9'!G19</f>
        <v>0</v>
      </c>
      <c r="G7" s="166"/>
    </row>
    <row r="8" spans="1:7" ht="39.6" x14ac:dyDescent="0.3">
      <c r="A8" s="182" t="s">
        <v>292</v>
      </c>
      <c r="B8" s="177" t="s">
        <v>371</v>
      </c>
      <c r="C8" s="165">
        <f>Summaries!C13-Summaries!C41-Summaries!C47</f>
        <v>0</v>
      </c>
      <c r="D8" s="165">
        <f>Summaries!D13-Summaries!D41-Summaries!D47</f>
        <v>0</v>
      </c>
      <c r="E8" s="165">
        <f>Summaries!B13-Summaries!B41-Summaries!B47</f>
        <v>0</v>
      </c>
      <c r="F8" s="165">
        <f>Summaries!E13-Summaries!E41-Summaries!E47</f>
        <v>0</v>
      </c>
      <c r="G8" s="166"/>
    </row>
    <row r="9" spans="1:7" x14ac:dyDescent="0.3">
      <c r="A9" s="182" t="s">
        <v>294</v>
      </c>
      <c r="B9" s="177" t="s">
        <v>372</v>
      </c>
      <c r="C9" s="183">
        <f>C6-C7-C8</f>
        <v>0</v>
      </c>
      <c r="D9" s="183">
        <f t="shared" ref="D9:F9" si="0">D6-D7-D8</f>
        <v>0</v>
      </c>
      <c r="E9" s="183">
        <f t="shared" si="0"/>
        <v>0</v>
      </c>
      <c r="F9" s="183">
        <f t="shared" si="0"/>
        <v>0</v>
      </c>
      <c r="G9" s="166"/>
    </row>
    <row r="10" spans="1:7" x14ac:dyDescent="0.3">
      <c r="A10" s="182" t="s">
        <v>296</v>
      </c>
      <c r="B10" s="177" t="s">
        <v>373</v>
      </c>
      <c r="C10" s="181"/>
      <c r="D10" s="181"/>
      <c r="E10" s="181"/>
      <c r="F10" s="181"/>
      <c r="G10" s="166"/>
    </row>
    <row r="11" spans="1:7" x14ac:dyDescent="0.3">
      <c r="A11" s="182" t="s">
        <v>298</v>
      </c>
      <c r="B11" s="177" t="s">
        <v>374</v>
      </c>
      <c r="C11" s="197"/>
      <c r="D11" s="197"/>
      <c r="E11" s="197"/>
      <c r="F11" s="197"/>
      <c r="G11" s="166"/>
    </row>
    <row r="12" spans="1:7" x14ac:dyDescent="0.3">
      <c r="A12" s="182" t="s">
        <v>300</v>
      </c>
      <c r="B12" s="177" t="s">
        <v>375</v>
      </c>
      <c r="C12" s="165">
        <f>Summaries!C43</f>
        <v>0</v>
      </c>
      <c r="D12" s="165">
        <f>Summaries!D43</f>
        <v>0</v>
      </c>
      <c r="E12" s="165">
        <f>Summaries!B43</f>
        <v>0</v>
      </c>
      <c r="F12" s="165">
        <f>Summaries!E43</f>
        <v>0</v>
      </c>
      <c r="G12" s="166"/>
    </row>
    <row r="13" spans="1:7" x14ac:dyDescent="0.3">
      <c r="A13" s="182" t="s">
        <v>302</v>
      </c>
      <c r="B13" s="177" t="s">
        <v>376</v>
      </c>
      <c r="C13" s="187"/>
      <c r="D13" s="187"/>
      <c r="E13" s="183">
        <f>'6 GSTR 9'!F15+'6 GSTR 9'!F16</f>
        <v>0</v>
      </c>
      <c r="F13" s="183">
        <f>'6 GSTR 9'!G15+'6 GSTR 9'!G16</f>
        <v>0</v>
      </c>
      <c r="G13" s="166"/>
    </row>
    <row r="14" spans="1:7" x14ac:dyDescent="0.3">
      <c r="A14" s="182" t="s">
        <v>304</v>
      </c>
      <c r="B14" s="177" t="s">
        <v>377</v>
      </c>
      <c r="C14" s="183">
        <f>C12-C13</f>
        <v>0</v>
      </c>
      <c r="D14" s="183">
        <f t="shared" ref="D14:F14" si="1">D12-D13</f>
        <v>0</v>
      </c>
      <c r="E14" s="183">
        <f t="shared" si="1"/>
        <v>0</v>
      </c>
      <c r="F14" s="183">
        <f t="shared" si="1"/>
        <v>0</v>
      </c>
      <c r="G14" s="166"/>
    </row>
    <row r="15" spans="1:7" x14ac:dyDescent="0.3">
      <c r="A15" s="182" t="s">
        <v>306</v>
      </c>
      <c r="B15" s="177" t="s">
        <v>378</v>
      </c>
      <c r="C15" s="183">
        <f>C14</f>
        <v>0</v>
      </c>
      <c r="D15" s="183">
        <f t="shared" ref="D15:F15" si="2">D14</f>
        <v>0</v>
      </c>
      <c r="E15" s="183">
        <f t="shared" si="2"/>
        <v>0</v>
      </c>
      <c r="F15" s="183">
        <f t="shared" si="2"/>
        <v>0</v>
      </c>
      <c r="G15" s="166"/>
    </row>
    <row r="16" spans="1:7" x14ac:dyDescent="0.3">
      <c r="A16" s="182" t="s">
        <v>308</v>
      </c>
      <c r="B16" s="177" t="s">
        <v>379</v>
      </c>
      <c r="C16" s="198">
        <f>C10+C11+C15</f>
        <v>0</v>
      </c>
      <c r="D16" s="198">
        <f t="shared" ref="D16:F16" si="3">D10+D11+D15</f>
        <v>0</v>
      </c>
      <c r="E16" s="198">
        <f t="shared" si="3"/>
        <v>0</v>
      </c>
      <c r="F16" s="198">
        <f t="shared" si="3"/>
        <v>0</v>
      </c>
      <c r="G16" s="176"/>
    </row>
  </sheetData>
  <mergeCells count="6">
    <mergeCell ref="A3:B4"/>
    <mergeCell ref="C3:F3"/>
    <mergeCell ref="G3:G4"/>
    <mergeCell ref="B5:G5"/>
    <mergeCell ref="A1:G1"/>
    <mergeCell ref="A2:G2"/>
  </mergeCells>
  <dataValidations count="2">
    <dataValidation type="decimal" allowBlank="1" showInputMessage="1" showErrorMessage="1" error="Please enter a value between 0 and 9999999999999.99" sqref="C8:F8 C12:F12" xr:uid="{00000000-0002-0000-1000-000000000000}">
      <formula1>0</formula1>
      <formula2>9999999999999.99</formula2>
    </dataValidation>
    <dataValidation type="decimal" allowBlank="1" showInputMessage="1" showErrorMessage="1" sqref="C13:F15" xr:uid="{00000000-0002-0000-1000-000001000000}">
      <formula1>0</formula1>
      <formula2>9999999999999.99</formula2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18"/>
  <sheetViews>
    <sheetView zoomScale="95" zoomScaleNormal="95" workbookViewId="0">
      <selection sqref="A1:I1"/>
    </sheetView>
  </sheetViews>
  <sheetFormatPr defaultRowHeight="14.4" x14ac:dyDescent="0.3"/>
  <cols>
    <col min="2" max="2" width="28.33203125" customWidth="1"/>
    <col min="3" max="3" width="15.109375" customWidth="1"/>
    <col min="4" max="4" width="12.44140625" customWidth="1"/>
    <col min="5" max="5" width="13.109375" customWidth="1"/>
    <col min="6" max="6" width="14.6640625" customWidth="1"/>
    <col min="7" max="7" width="12.44140625" customWidth="1"/>
    <col min="9" max="9" width="18.33203125" customWidth="1"/>
  </cols>
  <sheetData>
    <row r="1" spans="1:9" x14ac:dyDescent="0.3">
      <c r="A1" s="620" t="s">
        <v>384</v>
      </c>
      <c r="B1" s="620"/>
      <c r="C1" s="620"/>
      <c r="D1" s="620"/>
      <c r="E1" s="620"/>
      <c r="F1" s="620"/>
      <c r="G1" s="620"/>
      <c r="H1" s="620"/>
      <c r="I1" s="620"/>
    </row>
    <row r="2" spans="1:9" x14ac:dyDescent="0.3">
      <c r="A2" s="201">
        <v>9</v>
      </c>
      <c r="B2" s="621" t="s">
        <v>380</v>
      </c>
      <c r="C2" s="622"/>
      <c r="D2" s="622"/>
      <c r="E2" s="622"/>
      <c r="F2" s="622"/>
      <c r="G2" s="622"/>
      <c r="H2" s="622"/>
      <c r="I2" s="622"/>
    </row>
    <row r="3" spans="1:9" x14ac:dyDescent="0.3">
      <c r="A3" s="623"/>
      <c r="B3" s="624" t="s">
        <v>332</v>
      </c>
      <c r="C3" s="608" t="s">
        <v>381</v>
      </c>
      <c r="D3" s="624" t="s">
        <v>382</v>
      </c>
      <c r="E3" s="624" t="s">
        <v>383</v>
      </c>
      <c r="F3" s="624"/>
      <c r="G3" s="624"/>
      <c r="H3" s="624"/>
      <c r="I3" s="603" t="s">
        <v>285</v>
      </c>
    </row>
    <row r="4" spans="1:9" ht="26.4" x14ac:dyDescent="0.3">
      <c r="A4" s="623"/>
      <c r="B4" s="624"/>
      <c r="C4" s="608"/>
      <c r="D4" s="624"/>
      <c r="E4" s="196" t="s">
        <v>155</v>
      </c>
      <c r="F4" s="196" t="s">
        <v>286</v>
      </c>
      <c r="G4" s="196" t="s">
        <v>154</v>
      </c>
      <c r="H4" s="196" t="s">
        <v>157</v>
      </c>
      <c r="I4" s="603"/>
    </row>
    <row r="5" spans="1:9" x14ac:dyDescent="0.3">
      <c r="A5" s="202" t="s">
        <v>288</v>
      </c>
      <c r="B5" s="190" t="s">
        <v>154</v>
      </c>
      <c r="C5" s="165">
        <f>'5 GSTR 9'!F20+'4 GSTR9'!H13</f>
        <v>0</v>
      </c>
      <c r="D5" s="186"/>
      <c r="E5" s="186"/>
      <c r="F5" s="186"/>
      <c r="G5" s="186"/>
      <c r="H5" s="203"/>
      <c r="I5" s="3"/>
    </row>
    <row r="6" spans="1:9" x14ac:dyDescent="0.3">
      <c r="A6" s="202" t="s">
        <v>290</v>
      </c>
      <c r="B6" s="190" t="s">
        <v>155</v>
      </c>
      <c r="C6" s="165">
        <f>'5 GSTR 9'!D20+'4 GSTR9'!F13</f>
        <v>0</v>
      </c>
      <c r="D6" s="186"/>
      <c r="E6" s="186"/>
      <c r="F6" s="203"/>
      <c r="G6" s="186"/>
      <c r="H6" s="203"/>
      <c r="I6" s="3"/>
    </row>
    <row r="7" spans="1:9" x14ac:dyDescent="0.3">
      <c r="A7" s="202" t="s">
        <v>292</v>
      </c>
      <c r="B7" s="190" t="s">
        <v>385</v>
      </c>
      <c r="C7" s="165">
        <f>'5 GSTR 9'!E20+'4 GSTR9'!G13</f>
        <v>0</v>
      </c>
      <c r="D7" s="186"/>
      <c r="E7" s="203"/>
      <c r="F7" s="186"/>
      <c r="G7" s="186"/>
      <c r="H7" s="203"/>
      <c r="I7" s="3"/>
    </row>
    <row r="8" spans="1:9" x14ac:dyDescent="0.3">
      <c r="A8" s="204" t="s">
        <v>294</v>
      </c>
      <c r="B8" s="190" t="s">
        <v>157</v>
      </c>
      <c r="C8" s="165">
        <f>'5 GSTR 9'!G20+'4 GSTR9'!I13</f>
        <v>0</v>
      </c>
      <c r="D8" s="186"/>
      <c r="E8" s="203"/>
      <c r="F8" s="203"/>
      <c r="G8" s="203"/>
      <c r="H8" s="186"/>
      <c r="I8" s="3"/>
    </row>
    <row r="9" spans="1:9" x14ac:dyDescent="0.3">
      <c r="A9" s="202" t="s">
        <v>296</v>
      </c>
      <c r="B9" s="190" t="s">
        <v>386</v>
      </c>
      <c r="C9" s="181"/>
      <c r="D9" s="186"/>
      <c r="E9" s="203"/>
      <c r="F9" s="203"/>
      <c r="G9" s="203"/>
      <c r="H9" s="203"/>
      <c r="I9" s="3"/>
    </row>
    <row r="10" spans="1:9" x14ac:dyDescent="0.3">
      <c r="A10" s="202" t="s">
        <v>298</v>
      </c>
      <c r="B10" s="190" t="s">
        <v>387</v>
      </c>
      <c r="C10" s="181"/>
      <c r="D10" s="186"/>
      <c r="E10" s="203"/>
      <c r="F10" s="203"/>
      <c r="G10" s="203"/>
      <c r="H10" s="203"/>
      <c r="I10" s="3"/>
    </row>
    <row r="11" spans="1:9" x14ac:dyDescent="0.3">
      <c r="A11" s="202" t="s">
        <v>300</v>
      </c>
      <c r="B11" s="190" t="s">
        <v>388</v>
      </c>
      <c r="C11" s="181"/>
      <c r="D11" s="186"/>
      <c r="E11" s="203"/>
      <c r="F11" s="203"/>
      <c r="G11" s="203"/>
      <c r="H11" s="203"/>
      <c r="I11" s="3"/>
    </row>
    <row r="12" spans="1:9" x14ac:dyDescent="0.3">
      <c r="A12" s="202" t="s">
        <v>302</v>
      </c>
      <c r="B12" s="190" t="s">
        <v>389</v>
      </c>
      <c r="C12" s="181"/>
      <c r="D12" s="186"/>
      <c r="E12" s="203"/>
      <c r="F12" s="203"/>
      <c r="G12" s="203"/>
      <c r="H12" s="203"/>
      <c r="I12" s="3"/>
    </row>
    <row r="14" spans="1:9" x14ac:dyDescent="0.3">
      <c r="B14" s="619"/>
      <c r="C14" s="619"/>
      <c r="D14" s="619"/>
      <c r="E14" s="619"/>
      <c r="F14" s="619"/>
      <c r="G14" s="619"/>
      <c r="H14" s="619"/>
      <c r="I14" s="619"/>
    </row>
    <row r="15" spans="1:9" x14ac:dyDescent="0.3">
      <c r="B15" s="619" t="s">
        <v>390</v>
      </c>
      <c r="C15" s="619"/>
      <c r="D15" s="619"/>
      <c r="E15" s="619"/>
      <c r="F15" s="619"/>
      <c r="G15" s="619"/>
      <c r="H15" s="619"/>
      <c r="I15" s="619"/>
    </row>
    <row r="16" spans="1:9" x14ac:dyDescent="0.3">
      <c r="B16" s="619" t="s">
        <v>391</v>
      </c>
      <c r="C16" s="619"/>
      <c r="D16" s="619"/>
      <c r="E16" s="619"/>
      <c r="F16" s="619"/>
      <c r="G16" s="619"/>
      <c r="H16" s="619"/>
      <c r="I16" s="619"/>
    </row>
    <row r="17" spans="2:9" x14ac:dyDescent="0.3">
      <c r="B17" s="619" t="s">
        <v>392</v>
      </c>
      <c r="C17" s="619"/>
      <c r="D17" s="619"/>
      <c r="E17" s="619"/>
      <c r="F17" s="619"/>
      <c r="G17" s="619"/>
      <c r="H17" s="619"/>
      <c r="I17" s="619"/>
    </row>
    <row r="18" spans="2:9" x14ac:dyDescent="0.3">
      <c r="B18" s="2" t="s">
        <v>393</v>
      </c>
    </row>
  </sheetData>
  <mergeCells count="12">
    <mergeCell ref="B14:I14"/>
    <mergeCell ref="B15:I15"/>
    <mergeCell ref="B16:I16"/>
    <mergeCell ref="B17:I17"/>
    <mergeCell ref="A1:I1"/>
    <mergeCell ref="B2:I2"/>
    <mergeCell ref="A3:A4"/>
    <mergeCell ref="B3:B4"/>
    <mergeCell ref="C3:C4"/>
    <mergeCell ref="D3:D4"/>
    <mergeCell ref="E3:H3"/>
    <mergeCell ref="I3:I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12"/>
  <sheetViews>
    <sheetView zoomScale="95" zoomScaleNormal="95" workbookViewId="0">
      <selection sqref="A1:H1"/>
    </sheetView>
  </sheetViews>
  <sheetFormatPr defaultRowHeight="14.4" x14ac:dyDescent="0.3"/>
  <cols>
    <col min="1" max="1" width="3" bestFit="1" customWidth="1"/>
    <col min="2" max="2" width="65.109375" customWidth="1"/>
  </cols>
  <sheetData>
    <row r="1" spans="1:8" ht="15.6" x14ac:dyDescent="0.3">
      <c r="A1" s="625" t="s">
        <v>394</v>
      </c>
      <c r="B1" s="626"/>
      <c r="C1" s="626"/>
      <c r="D1" s="626"/>
      <c r="E1" s="626"/>
      <c r="F1" s="626"/>
      <c r="G1" s="626"/>
      <c r="H1" s="627"/>
    </row>
    <row r="2" spans="1:8" x14ac:dyDescent="0.3">
      <c r="A2" s="616" t="s">
        <v>395</v>
      </c>
      <c r="B2" s="617"/>
      <c r="C2" s="617"/>
      <c r="D2" s="617"/>
      <c r="E2" s="617"/>
      <c r="F2" s="617"/>
      <c r="G2" s="617"/>
      <c r="H2" s="618"/>
    </row>
    <row r="3" spans="1:8" x14ac:dyDescent="0.3">
      <c r="A3" s="624" t="s">
        <v>332</v>
      </c>
      <c r="B3" s="624"/>
      <c r="C3" s="624" t="s">
        <v>283</v>
      </c>
      <c r="D3" s="602" t="s">
        <v>284</v>
      </c>
      <c r="E3" s="602"/>
      <c r="F3" s="602"/>
      <c r="G3" s="602"/>
      <c r="H3" s="603" t="s">
        <v>285</v>
      </c>
    </row>
    <row r="4" spans="1:8" ht="26.4" x14ac:dyDescent="0.3">
      <c r="A4" s="624"/>
      <c r="B4" s="624"/>
      <c r="C4" s="624"/>
      <c r="D4" s="196" t="s">
        <v>155</v>
      </c>
      <c r="E4" s="196" t="s">
        <v>286</v>
      </c>
      <c r="F4" s="196" t="s">
        <v>154</v>
      </c>
      <c r="G4" s="196" t="s">
        <v>157</v>
      </c>
      <c r="H4" s="603"/>
    </row>
    <row r="5" spans="1:8" x14ac:dyDescent="0.3">
      <c r="A5" s="205">
        <v>10</v>
      </c>
      <c r="B5" s="206" t="s">
        <v>396</v>
      </c>
      <c r="C5" s="165">
        <f>'GSTR 1'!C286</f>
        <v>0</v>
      </c>
      <c r="D5" s="165">
        <f>'GSTR 1'!E286</f>
        <v>0</v>
      </c>
      <c r="E5" s="165">
        <f>'GSTR 1'!F286</f>
        <v>0</v>
      </c>
      <c r="F5" s="165">
        <f>'GSTR 1'!D286</f>
        <v>0</v>
      </c>
      <c r="G5" s="165">
        <f>'GSTR 1'!G286</f>
        <v>0</v>
      </c>
      <c r="H5" s="3"/>
    </row>
    <row r="6" spans="1:8" x14ac:dyDescent="0.3">
      <c r="A6" s="205">
        <v>11</v>
      </c>
      <c r="B6" s="206" t="s">
        <v>397</v>
      </c>
      <c r="C6" s="165">
        <f>'GSTR 1'!C319</f>
        <v>0</v>
      </c>
      <c r="D6" s="165">
        <f>'GSTR 1'!E319</f>
        <v>0</v>
      </c>
      <c r="E6" s="165">
        <f>'GSTR 1'!F319</f>
        <v>0</v>
      </c>
      <c r="F6" s="165">
        <f>'GSTR 1'!D319</f>
        <v>0</v>
      </c>
      <c r="G6" s="165">
        <f>'GSTR 1'!G319</f>
        <v>0</v>
      </c>
      <c r="H6" s="3"/>
    </row>
    <row r="7" spans="1:8" x14ac:dyDescent="0.3">
      <c r="A7" s="205">
        <v>12</v>
      </c>
      <c r="B7" s="177" t="s">
        <v>398</v>
      </c>
      <c r="C7" s="208"/>
      <c r="D7" s="169">
        <f>Summaries!C19</f>
        <v>0</v>
      </c>
      <c r="E7" s="169">
        <f>Summaries!D19</f>
        <v>0</v>
      </c>
      <c r="F7" s="169">
        <f>Summaries!B19</f>
        <v>0</v>
      </c>
      <c r="G7" s="169">
        <f>Summaries!E19</f>
        <v>0</v>
      </c>
      <c r="H7" s="3"/>
    </row>
    <row r="8" spans="1:8" ht="15" thickBot="1" x14ac:dyDescent="0.35">
      <c r="A8" s="205">
        <v>13</v>
      </c>
      <c r="B8" s="177" t="s">
        <v>399</v>
      </c>
      <c r="C8" s="211"/>
      <c r="D8" s="212"/>
      <c r="E8" s="212"/>
      <c r="F8" s="212"/>
      <c r="G8" s="212"/>
      <c r="H8" s="3"/>
    </row>
    <row r="9" spans="1:8" ht="15" thickTop="1" x14ac:dyDescent="0.3">
      <c r="A9" s="3"/>
      <c r="B9" s="207" t="s">
        <v>400</v>
      </c>
      <c r="C9" s="209">
        <f>'5 GSTR 9'!C20+C5-C6</f>
        <v>0</v>
      </c>
      <c r="D9" s="210">
        <f>'5 GSTR 9'!D20+D5-D6</f>
        <v>0</v>
      </c>
      <c r="E9" s="210">
        <f>'5 GSTR 9'!E20+E5-E6</f>
        <v>0</v>
      </c>
      <c r="F9" s="210">
        <f>'5 GSTR 9'!F20+F5-F6</f>
        <v>0</v>
      </c>
      <c r="G9" s="210">
        <f>'5 GSTR 9'!G20+G5-G6</f>
        <v>0</v>
      </c>
      <c r="H9" s="3"/>
    </row>
    <row r="11" spans="1:8" x14ac:dyDescent="0.3">
      <c r="B11" s="2"/>
    </row>
    <row r="12" spans="1:8" x14ac:dyDescent="0.3">
      <c r="B12" s="2"/>
    </row>
  </sheetData>
  <mergeCells count="6">
    <mergeCell ref="A1:H1"/>
    <mergeCell ref="A3:B4"/>
    <mergeCell ref="C3:C4"/>
    <mergeCell ref="D3:G3"/>
    <mergeCell ref="H3:H4"/>
    <mergeCell ref="A2:H2"/>
  </mergeCells>
  <dataValidations count="1">
    <dataValidation type="decimal" allowBlank="1" showInputMessage="1" showErrorMessage="1" error="Please enter a value between 0 and 9999999999999.99" sqref="C5:G6 D7:G8" xr:uid="{00000000-0002-0000-1200-000000000000}">
      <formula1>0</formula1>
      <formula2>9999999999999.99</formula2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E10"/>
  <sheetViews>
    <sheetView zoomScale="95" zoomScaleNormal="95" workbookViewId="0">
      <selection sqref="A1:E1"/>
    </sheetView>
  </sheetViews>
  <sheetFormatPr defaultRowHeight="14.4" x14ac:dyDescent="0.3"/>
  <cols>
    <col min="2" max="2" width="41.109375" customWidth="1"/>
    <col min="3" max="3" width="24.33203125" customWidth="1"/>
    <col min="4" max="4" width="20.109375" customWidth="1"/>
    <col min="5" max="5" width="19.88671875" bestFit="1" customWidth="1"/>
  </cols>
  <sheetData>
    <row r="1" spans="1:5" ht="15.6" x14ac:dyDescent="0.3">
      <c r="A1" s="628" t="s">
        <v>401</v>
      </c>
      <c r="B1" s="628"/>
      <c r="C1" s="628"/>
      <c r="D1" s="628"/>
      <c r="E1" s="628"/>
    </row>
    <row r="2" spans="1:5" x14ac:dyDescent="0.3">
      <c r="A2" s="201">
        <v>14</v>
      </c>
      <c r="B2" s="629" t="s">
        <v>402</v>
      </c>
      <c r="C2" s="630"/>
      <c r="D2" s="630"/>
      <c r="E2" s="630"/>
    </row>
    <row r="3" spans="1:5" x14ac:dyDescent="0.3">
      <c r="A3" s="624" t="s">
        <v>332</v>
      </c>
      <c r="B3" s="624"/>
      <c r="C3" s="199" t="s">
        <v>403</v>
      </c>
      <c r="D3" s="199" t="s">
        <v>404</v>
      </c>
      <c r="E3" s="213" t="s">
        <v>285</v>
      </c>
    </row>
    <row r="4" spans="1:5" x14ac:dyDescent="0.3">
      <c r="A4" s="189" t="s">
        <v>288</v>
      </c>
      <c r="B4" s="177" t="s">
        <v>154</v>
      </c>
      <c r="C4" s="181"/>
      <c r="D4" s="181"/>
      <c r="E4" s="3"/>
    </row>
    <row r="5" spans="1:5" x14ac:dyDescent="0.3">
      <c r="A5" s="189" t="s">
        <v>290</v>
      </c>
      <c r="B5" s="177" t="s">
        <v>155</v>
      </c>
      <c r="C5" s="181"/>
      <c r="D5" s="181"/>
      <c r="E5" s="3"/>
    </row>
    <row r="6" spans="1:5" x14ac:dyDescent="0.3">
      <c r="A6" s="189" t="s">
        <v>292</v>
      </c>
      <c r="B6" s="177" t="s">
        <v>385</v>
      </c>
      <c r="C6" s="181"/>
      <c r="D6" s="181"/>
      <c r="E6" s="3"/>
    </row>
    <row r="7" spans="1:5" x14ac:dyDescent="0.3">
      <c r="A7" s="189" t="s">
        <v>294</v>
      </c>
      <c r="B7" s="177" t="s">
        <v>157</v>
      </c>
      <c r="C7" s="181"/>
      <c r="D7" s="181"/>
      <c r="E7" s="3"/>
    </row>
    <row r="8" spans="1:5" x14ac:dyDescent="0.3">
      <c r="A8" s="189" t="s">
        <v>296</v>
      </c>
      <c r="B8" s="177" t="s">
        <v>386</v>
      </c>
      <c r="C8" s="181"/>
      <c r="D8" s="181"/>
      <c r="E8" s="3"/>
    </row>
    <row r="10" spans="1:5" x14ac:dyDescent="0.3">
      <c r="B10" s="214" t="s">
        <v>405</v>
      </c>
    </row>
  </sheetData>
  <mergeCells count="3">
    <mergeCell ref="A1:E1"/>
    <mergeCell ref="B2:E2"/>
    <mergeCell ref="A3:B3"/>
  </mergeCells>
  <dataValidations count="1">
    <dataValidation type="decimal" allowBlank="1" showInputMessage="1" showErrorMessage="1" error="Please enter value between 0 to  9999999999999.99" sqref="C4:D8" xr:uid="{00000000-0002-0000-1300-000000000000}">
      <formula1>0</formula1>
      <formula2>9999999999999.99</formula2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K12"/>
  <sheetViews>
    <sheetView zoomScale="95" zoomScaleNormal="95" workbookViewId="0">
      <selection sqref="A1:K1"/>
    </sheetView>
  </sheetViews>
  <sheetFormatPr defaultRowHeight="14.4" x14ac:dyDescent="0.3"/>
  <cols>
    <col min="2" max="2" width="37.6640625" customWidth="1"/>
    <col min="3" max="3" width="11.5546875" customWidth="1"/>
    <col min="4" max="4" width="11.44140625" customWidth="1"/>
    <col min="5" max="5" width="12.33203125" customWidth="1"/>
    <col min="6" max="6" width="11" customWidth="1"/>
    <col min="7" max="7" width="10.44140625" customWidth="1"/>
    <col min="9" max="9" width="10.6640625" customWidth="1"/>
    <col min="10" max="10" width="16.5546875" customWidth="1"/>
    <col min="11" max="11" width="17.44140625" customWidth="1"/>
  </cols>
  <sheetData>
    <row r="1" spans="1:11" x14ac:dyDescent="0.3">
      <c r="A1" s="631" t="s">
        <v>406</v>
      </c>
      <c r="B1" s="631"/>
      <c r="C1" s="631"/>
      <c r="D1" s="631"/>
      <c r="E1" s="631"/>
      <c r="F1" s="631"/>
      <c r="G1" s="631"/>
      <c r="H1" s="631"/>
      <c r="I1" s="631"/>
      <c r="J1" s="631"/>
      <c r="K1" s="631"/>
    </row>
    <row r="2" spans="1:11" x14ac:dyDescent="0.3">
      <c r="A2" s="632">
        <v>15</v>
      </c>
      <c r="B2" s="634" t="s">
        <v>407</v>
      </c>
      <c r="C2" s="635"/>
      <c r="D2" s="635"/>
      <c r="E2" s="635"/>
      <c r="F2" s="635"/>
      <c r="G2" s="635"/>
      <c r="H2" s="635"/>
      <c r="I2" s="635"/>
      <c r="J2" s="635"/>
      <c r="K2" s="636"/>
    </row>
    <row r="3" spans="1:11" x14ac:dyDescent="0.3">
      <c r="A3" s="633"/>
      <c r="B3" s="637"/>
      <c r="C3" s="638"/>
      <c r="D3" s="638"/>
      <c r="E3" s="638"/>
      <c r="F3" s="638"/>
      <c r="G3" s="638"/>
      <c r="H3" s="638"/>
      <c r="I3" s="638"/>
      <c r="J3" s="638"/>
      <c r="K3" s="639"/>
    </row>
    <row r="4" spans="1:11" x14ac:dyDescent="0.3">
      <c r="A4" s="608" t="s">
        <v>153</v>
      </c>
      <c r="B4" s="608"/>
      <c r="C4" s="624" t="s">
        <v>408</v>
      </c>
      <c r="D4" s="624"/>
      <c r="E4" s="624"/>
      <c r="F4" s="624"/>
      <c r="G4" s="624"/>
      <c r="H4" s="624"/>
      <c r="I4" s="624"/>
      <c r="J4" s="640" t="s">
        <v>285</v>
      </c>
      <c r="K4" s="641" t="s">
        <v>409</v>
      </c>
    </row>
    <row r="5" spans="1:11" ht="26.4" x14ac:dyDescent="0.3">
      <c r="A5" s="608"/>
      <c r="B5" s="608"/>
      <c r="C5" s="196" t="s">
        <v>155</v>
      </c>
      <c r="D5" s="196" t="s">
        <v>286</v>
      </c>
      <c r="E5" s="196" t="s">
        <v>154</v>
      </c>
      <c r="F5" s="196" t="s">
        <v>157</v>
      </c>
      <c r="G5" s="196" t="s">
        <v>386</v>
      </c>
      <c r="H5" s="196" t="s">
        <v>388</v>
      </c>
      <c r="I5" s="196" t="s">
        <v>410</v>
      </c>
      <c r="J5" s="640"/>
      <c r="K5" s="642"/>
    </row>
    <row r="6" spans="1:11" x14ac:dyDescent="0.3">
      <c r="A6" s="182" t="s">
        <v>288</v>
      </c>
      <c r="B6" s="192" t="s">
        <v>411</v>
      </c>
      <c r="C6" s="181"/>
      <c r="D6" s="181"/>
      <c r="E6" s="181"/>
      <c r="F6" s="181"/>
      <c r="G6" s="215"/>
      <c r="H6" s="215"/>
      <c r="I6" s="215"/>
      <c r="J6" s="3"/>
      <c r="K6" s="3"/>
    </row>
    <row r="7" spans="1:11" x14ac:dyDescent="0.3">
      <c r="A7" s="182" t="s">
        <v>290</v>
      </c>
      <c r="B7" s="192" t="s">
        <v>412</v>
      </c>
      <c r="C7" s="181"/>
      <c r="D7" s="181"/>
      <c r="E7" s="181"/>
      <c r="F7" s="181"/>
      <c r="G7" s="215"/>
      <c r="H7" s="215"/>
      <c r="I7" s="215"/>
      <c r="J7" s="3"/>
      <c r="K7" s="3"/>
    </row>
    <row r="8" spans="1:11" x14ac:dyDescent="0.3">
      <c r="A8" s="182" t="s">
        <v>292</v>
      </c>
      <c r="B8" s="192" t="s">
        <v>413</v>
      </c>
      <c r="C8" s="181"/>
      <c r="D8" s="181"/>
      <c r="E8" s="181"/>
      <c r="F8" s="181"/>
      <c r="G8" s="215"/>
      <c r="H8" s="215"/>
      <c r="I8" s="215"/>
      <c r="J8" s="3"/>
      <c r="K8" s="3"/>
    </row>
    <row r="9" spans="1:11" x14ac:dyDescent="0.3">
      <c r="A9" s="182" t="s">
        <v>294</v>
      </c>
      <c r="B9" s="192" t="s">
        <v>414</v>
      </c>
      <c r="C9" s="181"/>
      <c r="D9" s="181"/>
      <c r="E9" s="181"/>
      <c r="F9" s="181"/>
      <c r="G9" s="215"/>
      <c r="H9" s="215"/>
      <c r="I9" s="215"/>
      <c r="J9" s="3"/>
      <c r="K9" s="3"/>
    </row>
    <row r="10" spans="1:11" x14ac:dyDescent="0.3">
      <c r="A10" s="182" t="s">
        <v>296</v>
      </c>
      <c r="B10" s="192" t="s">
        <v>415</v>
      </c>
      <c r="C10" s="181"/>
      <c r="D10" s="181"/>
      <c r="E10" s="181"/>
      <c r="F10" s="181"/>
      <c r="G10" s="181"/>
      <c r="H10" s="181"/>
      <c r="I10" s="181"/>
      <c r="J10" s="3"/>
      <c r="K10" s="216"/>
    </row>
    <row r="11" spans="1:11" x14ac:dyDescent="0.3">
      <c r="A11" s="182" t="s">
        <v>298</v>
      </c>
      <c r="B11" s="192" t="s">
        <v>416</v>
      </c>
      <c r="C11" s="181"/>
      <c r="D11" s="181"/>
      <c r="E11" s="181"/>
      <c r="F11" s="181"/>
      <c r="G11" s="181"/>
      <c r="H11" s="181"/>
      <c r="I11" s="181"/>
      <c r="J11" s="3"/>
      <c r="K11" s="216"/>
    </row>
    <row r="12" spans="1:11" x14ac:dyDescent="0.3">
      <c r="A12" s="182" t="s">
        <v>300</v>
      </c>
      <c r="B12" s="192" t="s">
        <v>417</v>
      </c>
      <c r="C12" s="181"/>
      <c r="D12" s="181"/>
      <c r="E12" s="181"/>
      <c r="F12" s="181"/>
      <c r="G12" s="181"/>
      <c r="H12" s="181"/>
      <c r="I12" s="181"/>
      <c r="J12" s="3"/>
      <c r="K12" s="216"/>
    </row>
  </sheetData>
  <mergeCells count="7">
    <mergeCell ref="A1:K1"/>
    <mergeCell ref="A2:A3"/>
    <mergeCell ref="B2:K3"/>
    <mergeCell ref="A4:B5"/>
    <mergeCell ref="C4:I4"/>
    <mergeCell ref="J4:J5"/>
    <mergeCell ref="K4:K5"/>
  </mergeCells>
  <dataValidations disablePrompts="1" count="1">
    <dataValidation type="decimal" allowBlank="1" showInputMessage="1" showErrorMessage="1" error="Please enter a value between 0 and 9999999999999.99" sqref="G10:I12 C6:F12" xr:uid="{00000000-0002-0000-1400-000000000000}">
      <formula1>0</formula1>
      <formula2>9999999999999.99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H9"/>
  <sheetViews>
    <sheetView zoomScale="95" zoomScaleNormal="95" workbookViewId="0">
      <selection sqref="A1:H1"/>
    </sheetView>
  </sheetViews>
  <sheetFormatPr defaultRowHeight="14.4" x14ac:dyDescent="0.3"/>
  <cols>
    <col min="1" max="1" width="6.109375" customWidth="1"/>
    <col min="2" max="2" width="47.6640625" customWidth="1"/>
    <col min="3" max="3" width="15.109375" bestFit="1" customWidth="1"/>
    <col min="4" max="4" width="11.109375" customWidth="1"/>
    <col min="5" max="5" width="10.6640625" customWidth="1"/>
    <col min="6" max="6" width="15.44140625" customWidth="1"/>
    <col min="8" max="8" width="16.88671875" customWidth="1"/>
  </cols>
  <sheetData>
    <row r="1" spans="1:8" x14ac:dyDescent="0.3">
      <c r="A1" s="644" t="s">
        <v>406</v>
      </c>
      <c r="B1" s="644"/>
      <c r="C1" s="644"/>
      <c r="D1" s="644"/>
      <c r="E1" s="644"/>
      <c r="F1" s="644"/>
      <c r="G1" s="644"/>
      <c r="H1" s="644"/>
    </row>
    <row r="3" spans="1:8" x14ac:dyDescent="0.3">
      <c r="A3" s="632">
        <v>16</v>
      </c>
      <c r="B3" s="634" t="s">
        <v>418</v>
      </c>
      <c r="C3" s="635"/>
      <c r="D3" s="635"/>
      <c r="E3" s="635"/>
      <c r="F3" s="635"/>
      <c r="G3" s="635"/>
      <c r="H3" s="636"/>
    </row>
    <row r="4" spans="1:8" x14ac:dyDescent="0.3">
      <c r="A4" s="633"/>
      <c r="B4" s="637"/>
      <c r="C4" s="638"/>
      <c r="D4" s="638"/>
      <c r="E4" s="638"/>
      <c r="F4" s="638"/>
      <c r="G4" s="638"/>
      <c r="H4" s="639"/>
    </row>
    <row r="5" spans="1:8" x14ac:dyDescent="0.3">
      <c r="A5" s="196"/>
      <c r="B5" s="196"/>
      <c r="C5" s="199"/>
      <c r="D5" s="624" t="s">
        <v>284</v>
      </c>
      <c r="E5" s="624"/>
      <c r="F5" s="624"/>
      <c r="G5" s="624"/>
      <c r="H5" s="643" t="s">
        <v>285</v>
      </c>
    </row>
    <row r="6" spans="1:8" ht="26.4" x14ac:dyDescent="0.3">
      <c r="A6" s="196"/>
      <c r="B6" s="196" t="s">
        <v>153</v>
      </c>
      <c r="C6" s="199" t="s">
        <v>419</v>
      </c>
      <c r="D6" s="196" t="s">
        <v>155</v>
      </c>
      <c r="E6" s="196" t="s">
        <v>286</v>
      </c>
      <c r="F6" s="196" t="s">
        <v>154</v>
      </c>
      <c r="G6" s="196" t="s">
        <v>157</v>
      </c>
      <c r="H6" s="643"/>
    </row>
    <row r="7" spans="1:8" x14ac:dyDescent="0.3">
      <c r="A7" s="182" t="s">
        <v>288</v>
      </c>
      <c r="B7" s="177" t="s">
        <v>420</v>
      </c>
      <c r="C7" s="217"/>
      <c r="D7" s="218"/>
      <c r="E7" s="218"/>
      <c r="F7" s="218"/>
      <c r="G7" s="218"/>
      <c r="H7" s="3"/>
    </row>
    <row r="8" spans="1:8" x14ac:dyDescent="0.3">
      <c r="A8" s="182" t="s">
        <v>290</v>
      </c>
      <c r="B8" s="177" t="s">
        <v>421</v>
      </c>
      <c r="C8" s="217"/>
      <c r="D8" s="217"/>
      <c r="E8" s="217"/>
      <c r="F8" s="217"/>
      <c r="G8" s="217"/>
      <c r="H8" s="3"/>
    </row>
    <row r="9" spans="1:8" x14ac:dyDescent="0.3">
      <c r="A9" s="182" t="s">
        <v>292</v>
      </c>
      <c r="B9" s="177" t="s">
        <v>422</v>
      </c>
      <c r="C9" s="217"/>
      <c r="D9" s="217"/>
      <c r="E9" s="217"/>
      <c r="F9" s="217"/>
      <c r="G9" s="217"/>
      <c r="H9" s="3"/>
    </row>
  </sheetData>
  <mergeCells count="5">
    <mergeCell ref="A3:A4"/>
    <mergeCell ref="B3:H4"/>
    <mergeCell ref="D5:G5"/>
    <mergeCell ref="H5:H6"/>
    <mergeCell ref="A1:H1"/>
  </mergeCells>
  <dataValidations count="1">
    <dataValidation type="decimal" allowBlank="1" showInputMessage="1" showErrorMessage="1" error="Please enter a value between 0 and 9999999999999.99" sqref="C7:C9 D8:G9" xr:uid="{00000000-0002-0000-1500-000000000000}">
      <formula1>0</formula1>
      <formula2>9999999999999.99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N100"/>
  <sheetViews>
    <sheetView zoomScale="95" zoomScaleNormal="95" workbookViewId="0">
      <pane ySplit="3" topLeftCell="A4" activePane="bottomLeft" state="frozen"/>
      <selection pane="bottomLeft" sqref="A1:N1"/>
    </sheetView>
  </sheetViews>
  <sheetFormatPr defaultColWidth="9.109375" defaultRowHeight="14.4" x14ac:dyDescent="0.3"/>
  <cols>
    <col min="1" max="1" width="9.109375" style="151"/>
    <col min="2" max="2" width="24.33203125" style="221" customWidth="1"/>
    <col min="3" max="3" width="9" style="151" customWidth="1"/>
    <col min="4" max="4" width="13.109375" style="239" customWidth="1"/>
    <col min="5" max="5" width="18.6640625" style="239" bestFit="1" customWidth="1"/>
    <col min="6" max="6" width="18" customWidth="1"/>
    <col min="7" max="7" width="9.5546875" style="240" customWidth="1"/>
    <col min="8" max="10" width="16.88671875" style="239" bestFit="1" customWidth="1"/>
    <col min="11" max="11" width="15.6640625" style="239" bestFit="1" customWidth="1"/>
    <col min="14" max="14" width="9" bestFit="1" customWidth="1"/>
  </cols>
  <sheetData>
    <row r="1" spans="1:14" ht="15" customHeight="1" x14ac:dyDescent="0.3">
      <c r="A1" s="631" t="s">
        <v>406</v>
      </c>
      <c r="B1" s="631"/>
      <c r="C1" s="631"/>
      <c r="D1" s="631"/>
      <c r="E1" s="631"/>
      <c r="F1" s="631"/>
      <c r="G1" s="631"/>
      <c r="H1" s="631"/>
      <c r="I1" s="631"/>
      <c r="J1" s="631"/>
      <c r="K1" s="631"/>
      <c r="L1" s="631"/>
      <c r="M1" s="631"/>
      <c r="N1" s="631"/>
    </row>
    <row r="2" spans="1:14" ht="20.100000000000001" customHeight="1" x14ac:dyDescent="0.3">
      <c r="A2" s="242">
        <v>17</v>
      </c>
      <c r="B2" s="621" t="s">
        <v>423</v>
      </c>
      <c r="C2" s="622"/>
      <c r="D2" s="622"/>
      <c r="E2" s="622"/>
      <c r="F2" s="622"/>
      <c r="G2" s="622"/>
      <c r="H2" s="622"/>
      <c r="I2" s="622"/>
      <c r="J2" s="622"/>
      <c r="K2" s="622"/>
      <c r="L2" s="622"/>
      <c r="M2" s="622"/>
      <c r="N2" s="622"/>
    </row>
    <row r="3" spans="1:14" s="234" customFormat="1" ht="48" x14ac:dyDescent="0.3">
      <c r="A3" s="248" t="s">
        <v>424</v>
      </c>
      <c r="B3" s="249" t="s">
        <v>332</v>
      </c>
      <c r="C3" s="249" t="s">
        <v>425</v>
      </c>
      <c r="D3" s="250" t="s">
        <v>426</v>
      </c>
      <c r="E3" s="250" t="s">
        <v>427</v>
      </c>
      <c r="F3" s="249" t="s">
        <v>428</v>
      </c>
      <c r="G3" s="251" t="s">
        <v>429</v>
      </c>
      <c r="H3" s="250" t="s">
        <v>430</v>
      </c>
      <c r="I3" s="250" t="s">
        <v>431</v>
      </c>
      <c r="J3" s="250" t="s">
        <v>432</v>
      </c>
      <c r="K3" s="250" t="s">
        <v>157</v>
      </c>
      <c r="L3" s="249" t="s">
        <v>433</v>
      </c>
      <c r="M3" s="249" t="s">
        <v>434</v>
      </c>
      <c r="N3" s="249" t="s">
        <v>409</v>
      </c>
    </row>
    <row r="4" spans="1:14" x14ac:dyDescent="0.3">
      <c r="A4" s="84" t="str">
        <f>Summaries!B58</f>
        <v>-</v>
      </c>
      <c r="B4" s="243" t="str">
        <f>Summaries!C58</f>
        <v>-</v>
      </c>
      <c r="C4" s="84" t="str">
        <f>Summaries!D58</f>
        <v>-</v>
      </c>
      <c r="D4" s="244">
        <f>Summaries!E58</f>
        <v>0</v>
      </c>
      <c r="E4" s="244">
        <f>Summaries!G58</f>
        <v>0</v>
      </c>
      <c r="F4" s="245"/>
      <c r="G4" s="246">
        <f>IFERROR(SUM(H4:J4)/E4,0)</f>
        <v>0</v>
      </c>
      <c r="H4" s="244">
        <f>Summaries!H58</f>
        <v>0</v>
      </c>
      <c r="I4" s="244">
        <f>Summaries!I58</f>
        <v>0</v>
      </c>
      <c r="J4" s="244">
        <f>Summaries!J58</f>
        <v>0</v>
      </c>
      <c r="K4" s="244">
        <f>Summaries!K58</f>
        <v>0</v>
      </c>
      <c r="L4" s="245"/>
      <c r="M4" s="245"/>
      <c r="N4" s="247"/>
    </row>
    <row r="5" spans="1:14" x14ac:dyDescent="0.3">
      <c r="A5" s="224" t="str">
        <f>Summaries!B59</f>
        <v>-</v>
      </c>
      <c r="B5" s="225" t="str">
        <f>Summaries!C59</f>
        <v>-</v>
      </c>
      <c r="C5" s="224" t="str">
        <f>Summaries!D59</f>
        <v>-</v>
      </c>
      <c r="D5" s="226">
        <f>Summaries!E59</f>
        <v>0</v>
      </c>
      <c r="E5" s="226">
        <f>Summaries!G59</f>
        <v>0</v>
      </c>
      <c r="F5" s="227"/>
      <c r="G5" s="228">
        <f t="shared" ref="G5:G33" si="0">IFERROR(SUM(H5:J5)/E5,0)</f>
        <v>0</v>
      </c>
      <c r="H5" s="226">
        <f>Summaries!H59</f>
        <v>0</v>
      </c>
      <c r="I5" s="226">
        <f>Summaries!I59</f>
        <v>0</v>
      </c>
      <c r="J5" s="226">
        <f>Summaries!J59</f>
        <v>0</v>
      </c>
      <c r="K5" s="226">
        <f>Summaries!K59</f>
        <v>0</v>
      </c>
      <c r="L5" s="227"/>
      <c r="M5" s="227"/>
      <c r="N5" s="227"/>
    </row>
    <row r="6" spans="1:14" ht="15" customHeight="1" x14ac:dyDescent="0.3">
      <c r="A6" s="224" t="str">
        <f>Summaries!B60</f>
        <v>-</v>
      </c>
      <c r="B6" s="225" t="str">
        <f>Summaries!C60</f>
        <v>-</v>
      </c>
      <c r="C6" s="224" t="str">
        <f>Summaries!D60</f>
        <v>-</v>
      </c>
      <c r="D6" s="226">
        <f>Summaries!E60</f>
        <v>0</v>
      </c>
      <c r="E6" s="226">
        <f>Summaries!G60</f>
        <v>0</v>
      </c>
      <c r="F6" s="227"/>
      <c r="G6" s="228">
        <f t="shared" si="0"/>
        <v>0</v>
      </c>
      <c r="H6" s="226">
        <f>Summaries!H60</f>
        <v>0</v>
      </c>
      <c r="I6" s="226">
        <f>Summaries!I60</f>
        <v>0</v>
      </c>
      <c r="J6" s="226">
        <f>Summaries!J60</f>
        <v>0</v>
      </c>
      <c r="K6" s="226">
        <f>Summaries!K60</f>
        <v>0</v>
      </c>
      <c r="L6" s="227"/>
      <c r="M6" s="227"/>
      <c r="N6" s="227"/>
    </row>
    <row r="7" spans="1:14" ht="15" customHeight="1" x14ac:dyDescent="0.3">
      <c r="A7" s="224" t="str">
        <f>Summaries!B61</f>
        <v>-</v>
      </c>
      <c r="B7" s="225" t="str">
        <f>Summaries!C61</f>
        <v>-</v>
      </c>
      <c r="C7" s="224" t="str">
        <f>Summaries!D61</f>
        <v>-</v>
      </c>
      <c r="D7" s="226">
        <f>Summaries!E61</f>
        <v>0</v>
      </c>
      <c r="E7" s="226">
        <f>Summaries!G61</f>
        <v>0</v>
      </c>
      <c r="F7" s="227"/>
      <c r="G7" s="228">
        <f t="shared" si="0"/>
        <v>0</v>
      </c>
      <c r="H7" s="226">
        <f>Summaries!H61</f>
        <v>0</v>
      </c>
      <c r="I7" s="226">
        <f>Summaries!I61</f>
        <v>0</v>
      </c>
      <c r="J7" s="226">
        <f>Summaries!J61</f>
        <v>0</v>
      </c>
      <c r="K7" s="226">
        <f>Summaries!K61</f>
        <v>0</v>
      </c>
      <c r="L7" s="227"/>
      <c r="M7" s="227"/>
      <c r="N7" s="227"/>
    </row>
    <row r="8" spans="1:14" x14ac:dyDescent="0.3">
      <c r="A8" s="224" t="str">
        <f>Summaries!B62</f>
        <v>-</v>
      </c>
      <c r="B8" s="225" t="str">
        <f>Summaries!C62</f>
        <v>-</v>
      </c>
      <c r="C8" s="224" t="str">
        <f>Summaries!D62</f>
        <v>-</v>
      </c>
      <c r="D8" s="226">
        <f>Summaries!E62</f>
        <v>0</v>
      </c>
      <c r="E8" s="226">
        <f>Summaries!G62</f>
        <v>0</v>
      </c>
      <c r="F8" s="227"/>
      <c r="G8" s="228">
        <f t="shared" si="0"/>
        <v>0</v>
      </c>
      <c r="H8" s="226">
        <f>Summaries!H62</f>
        <v>0</v>
      </c>
      <c r="I8" s="226">
        <f>Summaries!I62</f>
        <v>0</v>
      </c>
      <c r="J8" s="226">
        <f>Summaries!J62</f>
        <v>0</v>
      </c>
      <c r="K8" s="226">
        <f>Summaries!K62</f>
        <v>0</v>
      </c>
      <c r="L8" s="227"/>
      <c r="M8" s="227"/>
      <c r="N8" s="227"/>
    </row>
    <row r="9" spans="1:14" x14ac:dyDescent="0.3">
      <c r="A9" s="224" t="str">
        <f>Summaries!B63</f>
        <v>-</v>
      </c>
      <c r="B9" s="225" t="str">
        <f>Summaries!C63</f>
        <v>-</v>
      </c>
      <c r="C9" s="224" t="str">
        <f>Summaries!D63</f>
        <v>-</v>
      </c>
      <c r="D9" s="226">
        <f>Summaries!E63</f>
        <v>0</v>
      </c>
      <c r="E9" s="226">
        <f>Summaries!G63</f>
        <v>0</v>
      </c>
      <c r="F9" s="227"/>
      <c r="G9" s="228">
        <f t="shared" si="0"/>
        <v>0</v>
      </c>
      <c r="H9" s="226">
        <f>Summaries!H63</f>
        <v>0</v>
      </c>
      <c r="I9" s="226">
        <f>Summaries!I63</f>
        <v>0</v>
      </c>
      <c r="J9" s="226">
        <f>Summaries!J63</f>
        <v>0</v>
      </c>
      <c r="K9" s="226">
        <f>Summaries!K63</f>
        <v>0</v>
      </c>
      <c r="L9" s="227"/>
      <c r="M9" s="227"/>
      <c r="N9" s="227"/>
    </row>
    <row r="10" spans="1:14" x14ac:dyDescent="0.3">
      <c r="A10" s="224" t="str">
        <f>Summaries!B64</f>
        <v>-</v>
      </c>
      <c r="B10" s="225" t="str">
        <f>Summaries!C64</f>
        <v>-</v>
      </c>
      <c r="C10" s="224" t="str">
        <f>Summaries!D64</f>
        <v>-</v>
      </c>
      <c r="D10" s="226">
        <f>Summaries!E64</f>
        <v>0</v>
      </c>
      <c r="E10" s="226">
        <f>Summaries!G64</f>
        <v>0</v>
      </c>
      <c r="F10" s="227"/>
      <c r="G10" s="228">
        <f t="shared" si="0"/>
        <v>0</v>
      </c>
      <c r="H10" s="226">
        <f>Summaries!H64</f>
        <v>0</v>
      </c>
      <c r="I10" s="226">
        <f>Summaries!I64</f>
        <v>0</v>
      </c>
      <c r="J10" s="226">
        <f>Summaries!J64</f>
        <v>0</v>
      </c>
      <c r="K10" s="226">
        <f>Summaries!K64</f>
        <v>0</v>
      </c>
      <c r="L10" s="227"/>
      <c r="M10" s="227"/>
      <c r="N10" s="227"/>
    </row>
    <row r="11" spans="1:14" x14ac:dyDescent="0.3">
      <c r="A11" s="224" t="str">
        <f>Summaries!B65</f>
        <v>-</v>
      </c>
      <c r="B11" s="225" t="str">
        <f>Summaries!C65</f>
        <v>-</v>
      </c>
      <c r="C11" s="224" t="str">
        <f>Summaries!D65</f>
        <v>-</v>
      </c>
      <c r="D11" s="226">
        <f>Summaries!E65</f>
        <v>0</v>
      </c>
      <c r="E11" s="226">
        <f>Summaries!G65</f>
        <v>0</v>
      </c>
      <c r="F11" s="227"/>
      <c r="G11" s="228">
        <f t="shared" si="0"/>
        <v>0</v>
      </c>
      <c r="H11" s="226">
        <f>Summaries!H65</f>
        <v>0</v>
      </c>
      <c r="I11" s="226">
        <f>Summaries!I65</f>
        <v>0</v>
      </c>
      <c r="J11" s="226">
        <f>Summaries!J65</f>
        <v>0</v>
      </c>
      <c r="K11" s="226">
        <f>Summaries!K65</f>
        <v>0</v>
      </c>
      <c r="L11" s="227"/>
      <c r="M11" s="227"/>
      <c r="N11" s="227"/>
    </row>
    <row r="12" spans="1:14" x14ac:dyDescent="0.3">
      <c r="A12" s="224" t="str">
        <f>Summaries!B66</f>
        <v>-</v>
      </c>
      <c r="B12" s="225" t="str">
        <f>Summaries!C66</f>
        <v>-</v>
      </c>
      <c r="C12" s="224" t="str">
        <f>Summaries!D66</f>
        <v>-</v>
      </c>
      <c r="D12" s="226">
        <f>Summaries!E66</f>
        <v>0</v>
      </c>
      <c r="E12" s="226">
        <f>Summaries!G66</f>
        <v>0</v>
      </c>
      <c r="F12" s="227"/>
      <c r="G12" s="228">
        <f t="shared" si="0"/>
        <v>0</v>
      </c>
      <c r="H12" s="226">
        <f>Summaries!H66</f>
        <v>0</v>
      </c>
      <c r="I12" s="226">
        <f>Summaries!I66</f>
        <v>0</v>
      </c>
      <c r="J12" s="226">
        <f>Summaries!J66</f>
        <v>0</v>
      </c>
      <c r="K12" s="226">
        <f>Summaries!K66</f>
        <v>0</v>
      </c>
      <c r="L12" s="227"/>
      <c r="M12" s="227"/>
      <c r="N12" s="227"/>
    </row>
    <row r="13" spans="1:14" x14ac:dyDescent="0.3">
      <c r="A13" s="224" t="str">
        <f>Summaries!B67</f>
        <v>-</v>
      </c>
      <c r="B13" s="225" t="str">
        <f>Summaries!C67</f>
        <v>-</v>
      </c>
      <c r="C13" s="224" t="str">
        <f>Summaries!D67</f>
        <v>-</v>
      </c>
      <c r="D13" s="226">
        <f>Summaries!E67</f>
        <v>0</v>
      </c>
      <c r="E13" s="226">
        <f>Summaries!G67</f>
        <v>0</v>
      </c>
      <c r="F13" s="227"/>
      <c r="G13" s="228">
        <f t="shared" si="0"/>
        <v>0</v>
      </c>
      <c r="H13" s="226">
        <f>Summaries!H67</f>
        <v>0</v>
      </c>
      <c r="I13" s="226">
        <f>Summaries!I67</f>
        <v>0</v>
      </c>
      <c r="J13" s="226">
        <f>Summaries!J67</f>
        <v>0</v>
      </c>
      <c r="K13" s="226">
        <f>Summaries!K67</f>
        <v>0</v>
      </c>
      <c r="L13" s="227"/>
      <c r="M13" s="227"/>
      <c r="N13" s="227"/>
    </row>
    <row r="14" spans="1:14" x14ac:dyDescent="0.3">
      <c r="A14" s="224" t="str">
        <f>Summaries!B68</f>
        <v>-</v>
      </c>
      <c r="B14" s="225" t="str">
        <f>Summaries!C68</f>
        <v>-</v>
      </c>
      <c r="C14" s="224" t="str">
        <f>Summaries!D68</f>
        <v>-</v>
      </c>
      <c r="D14" s="226">
        <f>Summaries!E68</f>
        <v>0</v>
      </c>
      <c r="E14" s="226">
        <f>Summaries!G68</f>
        <v>0</v>
      </c>
      <c r="F14" s="227"/>
      <c r="G14" s="228">
        <f t="shared" si="0"/>
        <v>0</v>
      </c>
      <c r="H14" s="226">
        <f>Summaries!H68</f>
        <v>0</v>
      </c>
      <c r="I14" s="226">
        <f>Summaries!I68</f>
        <v>0</v>
      </c>
      <c r="J14" s="226">
        <f>Summaries!J68</f>
        <v>0</v>
      </c>
      <c r="K14" s="226">
        <f>Summaries!K68</f>
        <v>0</v>
      </c>
      <c r="L14" s="227"/>
      <c r="M14" s="227"/>
      <c r="N14" s="227"/>
    </row>
    <row r="15" spans="1:14" x14ac:dyDescent="0.3">
      <c r="A15" s="224" t="str">
        <f>Summaries!B69</f>
        <v>-</v>
      </c>
      <c r="B15" s="225" t="str">
        <f>Summaries!C69</f>
        <v>-</v>
      </c>
      <c r="C15" s="224" t="str">
        <f>Summaries!D69</f>
        <v>-</v>
      </c>
      <c r="D15" s="226">
        <f>Summaries!E69</f>
        <v>0</v>
      </c>
      <c r="E15" s="226">
        <f>Summaries!G69</f>
        <v>0</v>
      </c>
      <c r="F15" s="227"/>
      <c r="G15" s="228">
        <f t="shared" si="0"/>
        <v>0</v>
      </c>
      <c r="H15" s="226">
        <f>Summaries!H69</f>
        <v>0</v>
      </c>
      <c r="I15" s="226">
        <f>Summaries!I69</f>
        <v>0</v>
      </c>
      <c r="J15" s="226">
        <f>Summaries!J69</f>
        <v>0</v>
      </c>
      <c r="K15" s="226">
        <f>Summaries!K69</f>
        <v>0</v>
      </c>
      <c r="L15" s="227"/>
      <c r="M15" s="227"/>
      <c r="N15" s="227"/>
    </row>
    <row r="16" spans="1:14" x14ac:dyDescent="0.3">
      <c r="A16" s="224" t="str">
        <f>Summaries!B70</f>
        <v>-</v>
      </c>
      <c r="B16" s="225" t="str">
        <f>Summaries!C70</f>
        <v>-</v>
      </c>
      <c r="C16" s="224" t="str">
        <f>Summaries!D70</f>
        <v>-</v>
      </c>
      <c r="D16" s="226">
        <f>Summaries!E70</f>
        <v>0</v>
      </c>
      <c r="E16" s="226">
        <f>Summaries!G70</f>
        <v>0</v>
      </c>
      <c r="F16" s="227"/>
      <c r="G16" s="228">
        <f t="shared" si="0"/>
        <v>0</v>
      </c>
      <c r="H16" s="226">
        <f>Summaries!H70</f>
        <v>0</v>
      </c>
      <c r="I16" s="226">
        <f>Summaries!I70</f>
        <v>0</v>
      </c>
      <c r="J16" s="226">
        <f>Summaries!J70</f>
        <v>0</v>
      </c>
      <c r="K16" s="226">
        <f>Summaries!K70</f>
        <v>0</v>
      </c>
      <c r="L16" s="227"/>
      <c r="M16" s="227"/>
      <c r="N16" s="227"/>
    </row>
    <row r="17" spans="1:14" x14ac:dyDescent="0.3">
      <c r="A17" s="224" t="str">
        <f>Summaries!B71</f>
        <v>-</v>
      </c>
      <c r="B17" s="225" t="str">
        <f>Summaries!C71</f>
        <v>-</v>
      </c>
      <c r="C17" s="224" t="str">
        <f>Summaries!D71</f>
        <v>-</v>
      </c>
      <c r="D17" s="226">
        <f>Summaries!E71</f>
        <v>0</v>
      </c>
      <c r="E17" s="226">
        <f>Summaries!G71</f>
        <v>0</v>
      </c>
      <c r="F17" s="227"/>
      <c r="G17" s="228">
        <f t="shared" si="0"/>
        <v>0</v>
      </c>
      <c r="H17" s="226">
        <f>Summaries!H71</f>
        <v>0</v>
      </c>
      <c r="I17" s="226">
        <f>Summaries!I71</f>
        <v>0</v>
      </c>
      <c r="J17" s="226">
        <f>Summaries!J71</f>
        <v>0</v>
      </c>
      <c r="K17" s="226">
        <f>Summaries!K71</f>
        <v>0</v>
      </c>
      <c r="L17" s="227"/>
      <c r="M17" s="227"/>
      <c r="N17" s="227"/>
    </row>
    <row r="18" spans="1:14" x14ac:dyDescent="0.3">
      <c r="A18" s="224" t="str">
        <f>Summaries!B72</f>
        <v>-</v>
      </c>
      <c r="B18" s="225" t="str">
        <f>Summaries!C72</f>
        <v>-</v>
      </c>
      <c r="C18" s="224" t="str">
        <f>Summaries!D72</f>
        <v>-</v>
      </c>
      <c r="D18" s="226">
        <f>Summaries!E72</f>
        <v>0</v>
      </c>
      <c r="E18" s="226">
        <f>Summaries!G72</f>
        <v>0</v>
      </c>
      <c r="F18" s="227"/>
      <c r="G18" s="228">
        <f t="shared" si="0"/>
        <v>0</v>
      </c>
      <c r="H18" s="226">
        <f>Summaries!H72</f>
        <v>0</v>
      </c>
      <c r="I18" s="226">
        <f>Summaries!I72</f>
        <v>0</v>
      </c>
      <c r="J18" s="226">
        <f>Summaries!J72</f>
        <v>0</v>
      </c>
      <c r="K18" s="226">
        <f>Summaries!K72</f>
        <v>0</v>
      </c>
      <c r="L18" s="227"/>
      <c r="M18" s="227"/>
      <c r="N18" s="227"/>
    </row>
    <row r="19" spans="1:14" x14ac:dyDescent="0.3">
      <c r="A19" s="224" t="str">
        <f>Summaries!B73</f>
        <v>-</v>
      </c>
      <c r="B19" s="225" t="str">
        <f>Summaries!C73</f>
        <v>-</v>
      </c>
      <c r="C19" s="224" t="str">
        <f>Summaries!D73</f>
        <v>-</v>
      </c>
      <c r="D19" s="226">
        <f>Summaries!E73</f>
        <v>0</v>
      </c>
      <c r="E19" s="226">
        <f>Summaries!G73</f>
        <v>0</v>
      </c>
      <c r="F19" s="227"/>
      <c r="G19" s="228">
        <f t="shared" si="0"/>
        <v>0</v>
      </c>
      <c r="H19" s="226">
        <f>Summaries!H73</f>
        <v>0</v>
      </c>
      <c r="I19" s="226">
        <f>Summaries!I73</f>
        <v>0</v>
      </c>
      <c r="J19" s="226">
        <f>Summaries!J73</f>
        <v>0</v>
      </c>
      <c r="K19" s="226">
        <f>Summaries!K73</f>
        <v>0</v>
      </c>
      <c r="L19" s="227"/>
      <c r="M19" s="227"/>
      <c r="N19" s="227"/>
    </row>
    <row r="20" spans="1:14" x14ac:dyDescent="0.3">
      <c r="A20" s="224" t="str">
        <f>Summaries!B74</f>
        <v>-</v>
      </c>
      <c r="B20" s="225" t="str">
        <f>Summaries!C74</f>
        <v>-</v>
      </c>
      <c r="C20" s="224" t="str">
        <f>Summaries!D74</f>
        <v>-</v>
      </c>
      <c r="D20" s="226">
        <f>Summaries!E74</f>
        <v>0</v>
      </c>
      <c r="E20" s="226">
        <f>Summaries!G74</f>
        <v>0</v>
      </c>
      <c r="F20" s="227"/>
      <c r="G20" s="228">
        <f t="shared" si="0"/>
        <v>0</v>
      </c>
      <c r="H20" s="226">
        <f>Summaries!H74</f>
        <v>0</v>
      </c>
      <c r="I20" s="226">
        <f>Summaries!I74</f>
        <v>0</v>
      </c>
      <c r="J20" s="226">
        <f>Summaries!J74</f>
        <v>0</v>
      </c>
      <c r="K20" s="226">
        <f>Summaries!K74</f>
        <v>0</v>
      </c>
      <c r="L20" s="227"/>
      <c r="M20" s="227"/>
      <c r="N20" s="227"/>
    </row>
    <row r="21" spans="1:14" x14ac:dyDescent="0.3">
      <c r="A21" s="224" t="str">
        <f>Summaries!B75</f>
        <v>-</v>
      </c>
      <c r="B21" s="225" t="str">
        <f>Summaries!C75</f>
        <v>-</v>
      </c>
      <c r="C21" s="224" t="str">
        <f>Summaries!D75</f>
        <v>-</v>
      </c>
      <c r="D21" s="226">
        <f>Summaries!E75</f>
        <v>0</v>
      </c>
      <c r="E21" s="226">
        <f>Summaries!G75</f>
        <v>0</v>
      </c>
      <c r="F21" s="227"/>
      <c r="G21" s="228">
        <f t="shared" si="0"/>
        <v>0</v>
      </c>
      <c r="H21" s="226">
        <f>Summaries!H75</f>
        <v>0</v>
      </c>
      <c r="I21" s="226">
        <f>Summaries!I75</f>
        <v>0</v>
      </c>
      <c r="J21" s="226">
        <f>Summaries!J75</f>
        <v>0</v>
      </c>
      <c r="K21" s="226">
        <f>Summaries!K75</f>
        <v>0</v>
      </c>
      <c r="L21" s="227"/>
      <c r="M21" s="227"/>
      <c r="N21" s="227"/>
    </row>
    <row r="22" spans="1:14" x14ac:dyDescent="0.3">
      <c r="A22" s="224" t="str">
        <f>Summaries!B76</f>
        <v>-</v>
      </c>
      <c r="B22" s="225" t="str">
        <f>Summaries!C76</f>
        <v>-</v>
      </c>
      <c r="C22" s="224" t="str">
        <f>Summaries!D76</f>
        <v>-</v>
      </c>
      <c r="D22" s="226">
        <f>Summaries!E76</f>
        <v>0</v>
      </c>
      <c r="E22" s="226">
        <f>Summaries!G76</f>
        <v>0</v>
      </c>
      <c r="F22" s="227"/>
      <c r="G22" s="228">
        <f t="shared" si="0"/>
        <v>0</v>
      </c>
      <c r="H22" s="226">
        <f>Summaries!H76</f>
        <v>0</v>
      </c>
      <c r="I22" s="226">
        <f>Summaries!I76</f>
        <v>0</v>
      </c>
      <c r="J22" s="226">
        <f>Summaries!J76</f>
        <v>0</v>
      </c>
      <c r="K22" s="226">
        <f>Summaries!K76</f>
        <v>0</v>
      </c>
      <c r="L22" s="227"/>
      <c r="M22" s="227"/>
      <c r="N22" s="227"/>
    </row>
    <row r="23" spans="1:14" x14ac:dyDescent="0.3">
      <c r="A23" s="224" t="str">
        <f>Summaries!B77</f>
        <v>-</v>
      </c>
      <c r="B23" s="225" t="str">
        <f>Summaries!C77</f>
        <v>-</v>
      </c>
      <c r="C23" s="224" t="str">
        <f>Summaries!D77</f>
        <v>-</v>
      </c>
      <c r="D23" s="226">
        <f>Summaries!E77</f>
        <v>0</v>
      </c>
      <c r="E23" s="226">
        <f>Summaries!G77</f>
        <v>0</v>
      </c>
      <c r="F23" s="227"/>
      <c r="G23" s="228">
        <f t="shared" si="0"/>
        <v>0</v>
      </c>
      <c r="H23" s="226">
        <f>Summaries!H77</f>
        <v>0</v>
      </c>
      <c r="I23" s="226">
        <f>Summaries!I77</f>
        <v>0</v>
      </c>
      <c r="J23" s="226">
        <f>Summaries!J77</f>
        <v>0</v>
      </c>
      <c r="K23" s="226">
        <f>Summaries!K77</f>
        <v>0</v>
      </c>
      <c r="L23" s="227"/>
      <c r="M23" s="227"/>
      <c r="N23" s="227"/>
    </row>
    <row r="24" spans="1:14" x14ac:dyDescent="0.3">
      <c r="A24" s="224" t="str">
        <f>Summaries!B78</f>
        <v>-</v>
      </c>
      <c r="B24" s="225" t="str">
        <f>Summaries!C78</f>
        <v>-</v>
      </c>
      <c r="C24" s="224" t="str">
        <f>Summaries!D78</f>
        <v>-</v>
      </c>
      <c r="D24" s="226">
        <f>Summaries!E78</f>
        <v>0</v>
      </c>
      <c r="E24" s="226">
        <f>Summaries!G78</f>
        <v>0</v>
      </c>
      <c r="F24" s="227"/>
      <c r="G24" s="228">
        <f t="shared" si="0"/>
        <v>0</v>
      </c>
      <c r="H24" s="226">
        <f>Summaries!H78</f>
        <v>0</v>
      </c>
      <c r="I24" s="226">
        <f>Summaries!I78</f>
        <v>0</v>
      </c>
      <c r="J24" s="226">
        <f>Summaries!J78</f>
        <v>0</v>
      </c>
      <c r="K24" s="226">
        <f>Summaries!K78</f>
        <v>0</v>
      </c>
      <c r="L24" s="227"/>
      <c r="M24" s="227"/>
      <c r="N24" s="227"/>
    </row>
    <row r="25" spans="1:14" x14ac:dyDescent="0.3">
      <c r="A25" s="224" t="str">
        <f>Summaries!B79</f>
        <v>-</v>
      </c>
      <c r="B25" s="225" t="str">
        <f>Summaries!C79</f>
        <v>-</v>
      </c>
      <c r="C25" s="224" t="str">
        <f>Summaries!D79</f>
        <v>-</v>
      </c>
      <c r="D25" s="226">
        <f>Summaries!E79</f>
        <v>0</v>
      </c>
      <c r="E25" s="226">
        <f>Summaries!G79</f>
        <v>0</v>
      </c>
      <c r="F25" s="227"/>
      <c r="G25" s="228">
        <f t="shared" si="0"/>
        <v>0</v>
      </c>
      <c r="H25" s="226">
        <f>Summaries!H79</f>
        <v>0</v>
      </c>
      <c r="I25" s="226">
        <f>Summaries!I79</f>
        <v>0</v>
      </c>
      <c r="J25" s="226">
        <f>Summaries!J79</f>
        <v>0</v>
      </c>
      <c r="K25" s="226">
        <f>Summaries!K79</f>
        <v>0</v>
      </c>
      <c r="L25" s="227"/>
      <c r="M25" s="227"/>
      <c r="N25" s="227"/>
    </row>
    <row r="26" spans="1:14" x14ac:dyDescent="0.3">
      <c r="A26" s="224" t="str">
        <f>Summaries!B80</f>
        <v>-</v>
      </c>
      <c r="B26" s="225" t="str">
        <f>Summaries!C80</f>
        <v>-</v>
      </c>
      <c r="C26" s="224" t="str">
        <f>Summaries!D80</f>
        <v>-</v>
      </c>
      <c r="D26" s="226">
        <f>Summaries!E80</f>
        <v>0</v>
      </c>
      <c r="E26" s="226">
        <f>Summaries!G80</f>
        <v>0</v>
      </c>
      <c r="F26" s="227"/>
      <c r="G26" s="228">
        <f t="shared" si="0"/>
        <v>0</v>
      </c>
      <c r="H26" s="226">
        <f>Summaries!H80</f>
        <v>0</v>
      </c>
      <c r="I26" s="226">
        <f>Summaries!I80</f>
        <v>0</v>
      </c>
      <c r="J26" s="226">
        <f>Summaries!J80</f>
        <v>0</v>
      </c>
      <c r="K26" s="226">
        <f>Summaries!K80</f>
        <v>0</v>
      </c>
      <c r="L26" s="227"/>
      <c r="M26" s="227"/>
      <c r="N26" s="227"/>
    </row>
    <row r="27" spans="1:14" x14ac:dyDescent="0.3">
      <c r="A27" s="224" t="str">
        <f>Summaries!B81</f>
        <v>-</v>
      </c>
      <c r="B27" s="225" t="str">
        <f>Summaries!C81</f>
        <v>-</v>
      </c>
      <c r="C27" s="224" t="str">
        <f>Summaries!D81</f>
        <v>-</v>
      </c>
      <c r="D27" s="226">
        <f>Summaries!E81</f>
        <v>0</v>
      </c>
      <c r="E27" s="226">
        <f>Summaries!G81</f>
        <v>0</v>
      </c>
      <c r="F27" s="227"/>
      <c r="G27" s="228">
        <f t="shared" si="0"/>
        <v>0</v>
      </c>
      <c r="H27" s="226">
        <f>Summaries!H81</f>
        <v>0</v>
      </c>
      <c r="I27" s="226">
        <f>Summaries!I81</f>
        <v>0</v>
      </c>
      <c r="J27" s="226">
        <f>Summaries!J81</f>
        <v>0</v>
      </c>
      <c r="K27" s="226">
        <f>Summaries!K81</f>
        <v>0</v>
      </c>
      <c r="L27" s="227"/>
      <c r="M27" s="227"/>
      <c r="N27" s="227"/>
    </row>
    <row r="28" spans="1:14" x14ac:dyDescent="0.3">
      <c r="A28" s="224" t="str">
        <f>Summaries!B82</f>
        <v>-</v>
      </c>
      <c r="B28" s="225" t="str">
        <f>Summaries!C82</f>
        <v>-</v>
      </c>
      <c r="C28" s="224" t="str">
        <f>Summaries!D82</f>
        <v>-</v>
      </c>
      <c r="D28" s="226">
        <f>Summaries!E82</f>
        <v>0</v>
      </c>
      <c r="E28" s="226">
        <f>Summaries!G82</f>
        <v>0</v>
      </c>
      <c r="F28" s="227"/>
      <c r="G28" s="228">
        <f t="shared" si="0"/>
        <v>0</v>
      </c>
      <c r="H28" s="226">
        <f>Summaries!H82</f>
        <v>0</v>
      </c>
      <c r="I28" s="226">
        <f>Summaries!I82</f>
        <v>0</v>
      </c>
      <c r="J28" s="226">
        <f>Summaries!J82</f>
        <v>0</v>
      </c>
      <c r="K28" s="226">
        <f>Summaries!K82</f>
        <v>0</v>
      </c>
      <c r="L28" s="227"/>
      <c r="M28" s="227"/>
      <c r="N28" s="227"/>
    </row>
    <row r="29" spans="1:14" x14ac:dyDescent="0.3">
      <c r="A29" s="224" t="str">
        <f>Summaries!B83</f>
        <v>-</v>
      </c>
      <c r="B29" s="225" t="str">
        <f>Summaries!C83</f>
        <v>-</v>
      </c>
      <c r="C29" s="224" t="str">
        <f>Summaries!D83</f>
        <v>-</v>
      </c>
      <c r="D29" s="226">
        <f>Summaries!E83</f>
        <v>0</v>
      </c>
      <c r="E29" s="226">
        <f>Summaries!G83</f>
        <v>0</v>
      </c>
      <c r="F29" s="227"/>
      <c r="G29" s="228">
        <f t="shared" si="0"/>
        <v>0</v>
      </c>
      <c r="H29" s="226">
        <f>Summaries!H83</f>
        <v>0</v>
      </c>
      <c r="I29" s="226">
        <f>Summaries!I83</f>
        <v>0</v>
      </c>
      <c r="J29" s="226">
        <f>Summaries!J83</f>
        <v>0</v>
      </c>
      <c r="K29" s="226">
        <f>Summaries!K83</f>
        <v>0</v>
      </c>
      <c r="L29" s="227"/>
      <c r="M29" s="227"/>
      <c r="N29" s="227"/>
    </row>
    <row r="30" spans="1:14" x14ac:dyDescent="0.3">
      <c r="A30" s="224" t="str">
        <f>Summaries!B84</f>
        <v>-</v>
      </c>
      <c r="B30" s="225" t="str">
        <f>Summaries!C84</f>
        <v>-</v>
      </c>
      <c r="C30" s="224" t="str">
        <f>Summaries!D84</f>
        <v>-</v>
      </c>
      <c r="D30" s="226">
        <f>Summaries!E84</f>
        <v>0</v>
      </c>
      <c r="E30" s="226">
        <f>Summaries!G84</f>
        <v>0</v>
      </c>
      <c r="F30" s="227"/>
      <c r="G30" s="228">
        <f t="shared" si="0"/>
        <v>0</v>
      </c>
      <c r="H30" s="226">
        <f>Summaries!H84</f>
        <v>0</v>
      </c>
      <c r="I30" s="226">
        <f>Summaries!I84</f>
        <v>0</v>
      </c>
      <c r="J30" s="226">
        <f>Summaries!J84</f>
        <v>0</v>
      </c>
      <c r="K30" s="226">
        <f>Summaries!K84</f>
        <v>0</v>
      </c>
      <c r="L30" s="227"/>
      <c r="M30" s="227"/>
      <c r="N30" s="227"/>
    </row>
    <row r="31" spans="1:14" x14ac:dyDescent="0.3">
      <c r="A31" s="224" t="str">
        <f>Summaries!B85</f>
        <v>-</v>
      </c>
      <c r="B31" s="225" t="str">
        <f>Summaries!C85</f>
        <v>-</v>
      </c>
      <c r="C31" s="224" t="str">
        <f>Summaries!D85</f>
        <v>-</v>
      </c>
      <c r="D31" s="226">
        <f>Summaries!E85</f>
        <v>0</v>
      </c>
      <c r="E31" s="226">
        <f>Summaries!G85</f>
        <v>0</v>
      </c>
      <c r="F31" s="227"/>
      <c r="G31" s="228">
        <f t="shared" si="0"/>
        <v>0</v>
      </c>
      <c r="H31" s="226">
        <f>Summaries!H85</f>
        <v>0</v>
      </c>
      <c r="I31" s="226">
        <f>Summaries!I85</f>
        <v>0</v>
      </c>
      <c r="J31" s="226">
        <f>Summaries!J85</f>
        <v>0</v>
      </c>
      <c r="K31" s="226">
        <f>Summaries!K85</f>
        <v>0</v>
      </c>
      <c r="L31" s="227"/>
      <c r="M31" s="227"/>
      <c r="N31" s="227"/>
    </row>
    <row r="32" spans="1:14" x14ac:dyDescent="0.3">
      <c r="A32" s="224" t="str">
        <f>Summaries!B86</f>
        <v>-</v>
      </c>
      <c r="B32" s="225" t="str">
        <f>Summaries!C86</f>
        <v>-</v>
      </c>
      <c r="C32" s="224" t="str">
        <f>Summaries!D86</f>
        <v>-</v>
      </c>
      <c r="D32" s="226">
        <f>Summaries!E86</f>
        <v>0</v>
      </c>
      <c r="E32" s="226">
        <f>Summaries!G86</f>
        <v>0</v>
      </c>
      <c r="F32" s="227"/>
      <c r="G32" s="228">
        <f t="shared" si="0"/>
        <v>0</v>
      </c>
      <c r="H32" s="226">
        <f>Summaries!H86</f>
        <v>0</v>
      </c>
      <c r="I32" s="226">
        <f>Summaries!I86</f>
        <v>0</v>
      </c>
      <c r="J32" s="226">
        <f>Summaries!J86</f>
        <v>0</v>
      </c>
      <c r="K32" s="226">
        <f>Summaries!K86</f>
        <v>0</v>
      </c>
      <c r="L32" s="227"/>
      <c r="M32" s="227"/>
      <c r="N32" s="227"/>
    </row>
    <row r="33" spans="1:14" x14ac:dyDescent="0.3">
      <c r="A33" s="224" t="str">
        <f>Summaries!B87</f>
        <v>-</v>
      </c>
      <c r="B33" s="225" t="str">
        <f>Summaries!C87</f>
        <v>-</v>
      </c>
      <c r="C33" s="224" t="str">
        <f>Summaries!D87</f>
        <v>-</v>
      </c>
      <c r="D33" s="226">
        <f>Summaries!E87</f>
        <v>0</v>
      </c>
      <c r="E33" s="226">
        <f>Summaries!G87</f>
        <v>0</v>
      </c>
      <c r="F33" s="227"/>
      <c r="G33" s="228">
        <f t="shared" si="0"/>
        <v>0</v>
      </c>
      <c r="H33" s="226">
        <f>Summaries!H87</f>
        <v>0</v>
      </c>
      <c r="I33" s="226">
        <f>Summaries!I87</f>
        <v>0</v>
      </c>
      <c r="J33" s="226">
        <f>Summaries!J87</f>
        <v>0</v>
      </c>
      <c r="K33" s="226">
        <f>Summaries!K87</f>
        <v>0</v>
      </c>
      <c r="L33" s="227"/>
      <c r="M33" s="227"/>
      <c r="N33" s="227"/>
    </row>
    <row r="34" spans="1:14" ht="15" thickBot="1" x14ac:dyDescent="0.35">
      <c r="A34" s="229"/>
      <c r="B34" s="230"/>
      <c r="C34" s="229"/>
      <c r="D34" s="231"/>
      <c r="E34" s="231"/>
      <c r="F34" s="232"/>
      <c r="G34" s="233"/>
      <c r="H34" s="231"/>
      <c r="I34" s="231"/>
      <c r="J34" s="231"/>
      <c r="K34" s="231"/>
      <c r="L34" s="232"/>
      <c r="M34" s="232"/>
      <c r="N34" s="232"/>
    </row>
    <row r="35" spans="1:14" ht="16.2" thickTop="1" x14ac:dyDescent="0.3">
      <c r="A35" s="235"/>
      <c r="B35" s="236"/>
      <c r="C35" s="235"/>
      <c r="D35" s="241">
        <f>SUM(D4:D34)</f>
        <v>0</v>
      </c>
      <c r="E35" s="241">
        <f t="shared" ref="E35" si="1">SUM(E4:E34)</f>
        <v>0</v>
      </c>
      <c r="F35" s="237"/>
      <c r="G35" s="238"/>
      <c r="H35" s="241">
        <f t="shared" ref="H35:K35" si="2">SUM(H4:H34)</f>
        <v>0</v>
      </c>
      <c r="I35" s="241">
        <f t="shared" si="2"/>
        <v>0</v>
      </c>
      <c r="J35" s="241">
        <f t="shared" si="2"/>
        <v>0</v>
      </c>
      <c r="K35" s="241">
        <f t="shared" si="2"/>
        <v>0</v>
      </c>
      <c r="L35" s="237"/>
      <c r="M35" s="237"/>
      <c r="N35" s="237"/>
    </row>
    <row r="36" spans="1:14" x14ac:dyDescent="0.3">
      <c r="D36" s="222">
        <f>D35-Summaries!E89</f>
        <v>0</v>
      </c>
      <c r="E36" s="222">
        <f>E35-Summaries!G89</f>
        <v>0</v>
      </c>
      <c r="G36" s="223"/>
      <c r="H36" s="222">
        <f>H35-Summaries!H89</f>
        <v>0</v>
      </c>
      <c r="I36" s="222">
        <f>I35-Summaries!I89</f>
        <v>0</v>
      </c>
      <c r="J36" s="222">
        <f>J35-Summaries!J89</f>
        <v>0</v>
      </c>
      <c r="K36" s="222">
        <f>K35-Summaries!K89</f>
        <v>0</v>
      </c>
    </row>
    <row r="37" spans="1:14" x14ac:dyDescent="0.3">
      <c r="D37" s="222"/>
      <c r="E37" s="222"/>
      <c r="G37" s="223"/>
      <c r="H37" s="222"/>
      <c r="I37" s="222"/>
      <c r="J37" s="222"/>
      <c r="K37" s="222"/>
    </row>
    <row r="38" spans="1:14" x14ac:dyDescent="0.3">
      <c r="D38" s="222"/>
      <c r="E38" s="222"/>
      <c r="G38" s="223"/>
      <c r="H38" s="222"/>
      <c r="I38" s="222"/>
      <c r="J38" s="222"/>
      <c r="K38" s="222"/>
    </row>
    <row r="39" spans="1:14" x14ac:dyDescent="0.3">
      <c r="D39" s="222"/>
      <c r="E39" s="222"/>
      <c r="G39" s="223"/>
      <c r="H39" s="222"/>
      <c r="I39" s="222"/>
      <c r="J39" s="222"/>
      <c r="K39" s="222"/>
    </row>
    <row r="40" spans="1:14" x14ac:dyDescent="0.3">
      <c r="D40" s="222"/>
      <c r="E40" s="222"/>
      <c r="G40" s="223"/>
      <c r="H40" s="222"/>
      <c r="I40" s="222"/>
      <c r="J40" s="222"/>
      <c r="K40" s="222"/>
    </row>
    <row r="41" spans="1:14" x14ac:dyDescent="0.3">
      <c r="D41" s="222"/>
      <c r="E41" s="222"/>
      <c r="G41" s="223"/>
      <c r="H41" s="222"/>
      <c r="I41" s="222"/>
      <c r="J41" s="222"/>
      <c r="K41" s="222"/>
    </row>
    <row r="42" spans="1:14" x14ac:dyDescent="0.3">
      <c r="D42" s="222"/>
      <c r="E42" s="222"/>
      <c r="G42" s="223"/>
      <c r="H42" s="222"/>
      <c r="I42" s="222"/>
      <c r="J42" s="222"/>
      <c r="K42" s="222"/>
    </row>
    <row r="43" spans="1:14" x14ac:dyDescent="0.3">
      <c r="D43" s="222"/>
      <c r="E43" s="222"/>
      <c r="G43" s="223"/>
      <c r="H43" s="222"/>
      <c r="I43" s="222"/>
      <c r="J43" s="222"/>
      <c r="K43" s="222"/>
    </row>
    <row r="44" spans="1:14" x14ac:dyDescent="0.3">
      <c r="D44" s="222"/>
      <c r="E44" s="222"/>
      <c r="G44" s="223"/>
      <c r="H44" s="222"/>
      <c r="I44" s="222"/>
      <c r="J44" s="222"/>
      <c r="K44" s="222"/>
    </row>
    <row r="45" spans="1:14" x14ac:dyDescent="0.3">
      <c r="D45" s="222"/>
      <c r="E45" s="222"/>
      <c r="G45" s="223"/>
      <c r="H45" s="222"/>
      <c r="I45" s="222"/>
      <c r="J45" s="222"/>
      <c r="K45" s="222"/>
    </row>
    <row r="46" spans="1:14" x14ac:dyDescent="0.3">
      <c r="D46" s="222"/>
      <c r="E46" s="222"/>
      <c r="G46" s="223"/>
      <c r="H46" s="222"/>
      <c r="I46" s="222"/>
      <c r="J46" s="222"/>
      <c r="K46" s="222"/>
    </row>
    <row r="47" spans="1:14" x14ac:dyDescent="0.3">
      <c r="D47" s="222"/>
      <c r="E47" s="222"/>
      <c r="G47" s="223"/>
      <c r="H47" s="222"/>
      <c r="I47" s="222"/>
      <c r="J47" s="222"/>
      <c r="K47" s="222"/>
    </row>
    <row r="48" spans="1:14" x14ac:dyDescent="0.3">
      <c r="D48" s="222"/>
      <c r="E48" s="222"/>
      <c r="G48" s="223"/>
      <c r="H48" s="222"/>
      <c r="I48" s="222"/>
      <c r="J48" s="222"/>
      <c r="K48" s="222"/>
    </row>
    <row r="49" spans="4:11" x14ac:dyDescent="0.3">
      <c r="D49" s="222"/>
      <c r="E49" s="222"/>
      <c r="G49" s="223"/>
      <c r="H49" s="222"/>
      <c r="I49" s="222"/>
      <c r="J49" s="222"/>
      <c r="K49" s="222"/>
    </row>
    <row r="50" spans="4:11" x14ac:dyDescent="0.3">
      <c r="D50" s="222"/>
      <c r="E50" s="222"/>
      <c r="G50" s="223"/>
      <c r="H50" s="222"/>
      <c r="I50" s="222"/>
      <c r="J50" s="222"/>
      <c r="K50" s="222"/>
    </row>
    <row r="51" spans="4:11" x14ac:dyDescent="0.3">
      <c r="D51" s="222"/>
      <c r="E51" s="222"/>
      <c r="G51" s="223"/>
      <c r="H51" s="222"/>
      <c r="I51" s="222"/>
      <c r="J51" s="222"/>
      <c r="K51" s="222"/>
    </row>
    <row r="52" spans="4:11" x14ac:dyDescent="0.3">
      <c r="D52" s="222"/>
      <c r="E52" s="222"/>
      <c r="G52" s="223"/>
      <c r="H52" s="222"/>
      <c r="I52" s="222"/>
      <c r="J52" s="222"/>
      <c r="K52" s="222"/>
    </row>
    <row r="53" spans="4:11" x14ac:dyDescent="0.3">
      <c r="D53" s="222"/>
      <c r="E53" s="222"/>
      <c r="G53" s="223"/>
      <c r="H53" s="222"/>
      <c r="I53" s="222"/>
      <c r="J53" s="222"/>
      <c r="K53" s="222"/>
    </row>
    <row r="54" spans="4:11" x14ac:dyDescent="0.3">
      <c r="D54" s="222"/>
      <c r="E54" s="222"/>
      <c r="G54" s="223"/>
      <c r="H54" s="222"/>
      <c r="I54" s="222"/>
      <c r="J54" s="222"/>
      <c r="K54" s="222"/>
    </row>
    <row r="55" spans="4:11" x14ac:dyDescent="0.3">
      <c r="D55" s="222"/>
      <c r="E55" s="222"/>
      <c r="G55" s="223"/>
      <c r="H55" s="222"/>
      <c r="I55" s="222"/>
      <c r="J55" s="222"/>
      <c r="K55" s="222"/>
    </row>
    <row r="56" spans="4:11" x14ac:dyDescent="0.3">
      <c r="D56" s="222"/>
      <c r="E56" s="222"/>
      <c r="G56" s="223"/>
      <c r="H56" s="222"/>
      <c r="I56" s="222"/>
      <c r="J56" s="222"/>
      <c r="K56" s="222"/>
    </row>
    <row r="57" spans="4:11" x14ac:dyDescent="0.3">
      <c r="D57" s="222"/>
      <c r="E57" s="222"/>
      <c r="G57" s="223"/>
      <c r="H57" s="222"/>
      <c r="I57" s="222"/>
      <c r="J57" s="222"/>
      <c r="K57" s="222"/>
    </row>
    <row r="58" spans="4:11" x14ac:dyDescent="0.3">
      <c r="D58" s="222"/>
      <c r="E58" s="222"/>
      <c r="G58" s="223"/>
      <c r="H58" s="222"/>
      <c r="I58" s="222"/>
      <c r="J58" s="222"/>
      <c r="K58" s="222"/>
    </row>
    <row r="59" spans="4:11" x14ac:dyDescent="0.3">
      <c r="D59" s="222"/>
      <c r="E59" s="222"/>
      <c r="G59" s="223"/>
      <c r="H59" s="222"/>
      <c r="I59" s="222"/>
      <c r="J59" s="222"/>
      <c r="K59" s="222"/>
    </row>
    <row r="60" spans="4:11" x14ac:dyDescent="0.3">
      <c r="D60" s="222"/>
      <c r="E60" s="222"/>
      <c r="G60" s="223"/>
      <c r="H60" s="222"/>
      <c r="I60" s="222"/>
      <c r="J60" s="222"/>
      <c r="K60" s="222"/>
    </row>
    <row r="61" spans="4:11" x14ac:dyDescent="0.3">
      <c r="D61" s="222"/>
      <c r="E61" s="222"/>
      <c r="G61" s="223"/>
      <c r="H61" s="222"/>
      <c r="I61" s="222"/>
      <c r="J61" s="222"/>
      <c r="K61" s="222"/>
    </row>
    <row r="62" spans="4:11" x14ac:dyDescent="0.3">
      <c r="D62" s="222"/>
      <c r="E62" s="222"/>
      <c r="G62" s="223"/>
      <c r="H62" s="222"/>
      <c r="I62" s="222"/>
      <c r="J62" s="222"/>
      <c r="K62" s="222"/>
    </row>
    <row r="63" spans="4:11" x14ac:dyDescent="0.3">
      <c r="D63" s="222"/>
      <c r="E63" s="222"/>
      <c r="G63" s="223"/>
      <c r="H63" s="222"/>
      <c r="I63" s="222"/>
      <c r="J63" s="222"/>
      <c r="K63" s="222"/>
    </row>
    <row r="64" spans="4:11" x14ac:dyDescent="0.3">
      <c r="D64" s="222"/>
      <c r="E64" s="222"/>
      <c r="G64" s="223"/>
      <c r="H64" s="222"/>
      <c r="I64" s="222"/>
      <c r="J64" s="222"/>
      <c r="K64" s="222"/>
    </row>
    <row r="65" spans="4:11" x14ac:dyDescent="0.3">
      <c r="D65" s="222"/>
      <c r="E65" s="222"/>
      <c r="G65" s="223"/>
      <c r="H65" s="222"/>
      <c r="I65" s="222"/>
      <c r="J65" s="222"/>
      <c r="K65" s="222"/>
    </row>
    <row r="66" spans="4:11" x14ac:dyDescent="0.3">
      <c r="D66" s="222"/>
      <c r="E66" s="222"/>
      <c r="G66" s="223"/>
      <c r="H66" s="222"/>
      <c r="I66" s="222"/>
      <c r="J66" s="222"/>
      <c r="K66" s="222"/>
    </row>
    <row r="67" spans="4:11" x14ac:dyDescent="0.3">
      <c r="D67" s="222"/>
      <c r="E67" s="222"/>
      <c r="G67" s="223"/>
      <c r="H67" s="222"/>
      <c r="I67" s="222"/>
      <c r="J67" s="222"/>
      <c r="K67" s="222"/>
    </row>
    <row r="68" spans="4:11" x14ac:dyDescent="0.3">
      <c r="D68" s="222"/>
      <c r="E68" s="222"/>
      <c r="G68" s="223"/>
      <c r="H68" s="222"/>
      <c r="I68" s="222"/>
      <c r="J68" s="222"/>
      <c r="K68" s="222"/>
    </row>
    <row r="69" spans="4:11" x14ac:dyDescent="0.3">
      <c r="D69" s="222"/>
      <c r="E69" s="222"/>
      <c r="G69" s="223"/>
      <c r="H69" s="222"/>
      <c r="I69" s="222"/>
      <c r="J69" s="222"/>
      <c r="K69" s="222"/>
    </row>
    <row r="70" spans="4:11" x14ac:dyDescent="0.3">
      <c r="D70" s="222"/>
      <c r="E70" s="222"/>
      <c r="G70" s="223"/>
      <c r="H70" s="222"/>
      <c r="I70" s="222"/>
      <c r="J70" s="222"/>
      <c r="K70" s="222"/>
    </row>
    <row r="71" spans="4:11" x14ac:dyDescent="0.3">
      <c r="D71" s="222"/>
      <c r="E71" s="222"/>
      <c r="G71" s="223"/>
      <c r="H71" s="222"/>
      <c r="I71" s="222"/>
      <c r="J71" s="222"/>
      <c r="K71" s="222"/>
    </row>
    <row r="72" spans="4:11" x14ac:dyDescent="0.3">
      <c r="D72" s="222"/>
      <c r="E72" s="222"/>
      <c r="G72" s="223"/>
      <c r="H72" s="222"/>
      <c r="I72" s="222"/>
      <c r="J72" s="222"/>
      <c r="K72" s="222"/>
    </row>
    <row r="73" spans="4:11" x14ac:dyDescent="0.3">
      <c r="D73" s="222"/>
      <c r="E73" s="222"/>
      <c r="G73" s="223"/>
      <c r="H73" s="222"/>
      <c r="I73" s="222"/>
      <c r="J73" s="222"/>
      <c r="K73" s="222"/>
    </row>
    <row r="74" spans="4:11" x14ac:dyDescent="0.3">
      <c r="D74" s="222"/>
      <c r="E74" s="222"/>
      <c r="G74" s="223"/>
      <c r="H74" s="222"/>
      <c r="I74" s="222"/>
      <c r="J74" s="222"/>
      <c r="K74" s="222"/>
    </row>
    <row r="75" spans="4:11" x14ac:dyDescent="0.3">
      <c r="D75" s="222"/>
      <c r="E75" s="222"/>
      <c r="G75" s="223"/>
      <c r="H75" s="222"/>
      <c r="I75" s="222"/>
      <c r="J75" s="222"/>
      <c r="K75" s="222"/>
    </row>
    <row r="76" spans="4:11" x14ac:dyDescent="0.3">
      <c r="D76" s="222"/>
      <c r="E76" s="222"/>
      <c r="G76" s="223"/>
      <c r="H76" s="222"/>
      <c r="I76" s="222"/>
      <c r="J76" s="222"/>
      <c r="K76" s="222"/>
    </row>
    <row r="77" spans="4:11" x14ac:dyDescent="0.3">
      <c r="D77" s="222"/>
      <c r="E77" s="222"/>
      <c r="G77" s="223"/>
      <c r="H77" s="222"/>
      <c r="I77" s="222"/>
      <c r="J77" s="222"/>
      <c r="K77" s="222"/>
    </row>
    <row r="78" spans="4:11" x14ac:dyDescent="0.3">
      <c r="D78" s="222"/>
      <c r="E78" s="222"/>
      <c r="G78" s="223"/>
      <c r="H78" s="222"/>
      <c r="I78" s="222"/>
      <c r="J78" s="222"/>
      <c r="K78" s="222"/>
    </row>
    <row r="79" spans="4:11" x14ac:dyDescent="0.3">
      <c r="D79" s="222"/>
      <c r="E79" s="222"/>
      <c r="G79" s="223"/>
      <c r="H79" s="222"/>
      <c r="I79" s="222"/>
      <c r="J79" s="222"/>
      <c r="K79" s="222"/>
    </row>
    <row r="80" spans="4:11" x14ac:dyDescent="0.3">
      <c r="D80" s="222"/>
      <c r="E80" s="222"/>
      <c r="G80" s="223"/>
      <c r="H80" s="222"/>
      <c r="I80" s="222"/>
      <c r="J80" s="222"/>
      <c r="K80" s="222"/>
    </row>
    <row r="81" spans="4:11" x14ac:dyDescent="0.3">
      <c r="D81" s="222"/>
      <c r="E81" s="222"/>
      <c r="G81" s="223"/>
      <c r="H81" s="222"/>
      <c r="I81" s="222"/>
      <c r="J81" s="222"/>
      <c r="K81" s="222"/>
    </row>
    <row r="82" spans="4:11" x14ac:dyDescent="0.3">
      <c r="D82" s="222"/>
      <c r="E82" s="222"/>
      <c r="G82" s="223"/>
      <c r="H82" s="222"/>
      <c r="I82" s="222"/>
      <c r="J82" s="222"/>
      <c r="K82" s="222"/>
    </row>
    <row r="83" spans="4:11" x14ac:dyDescent="0.3">
      <c r="D83" s="222"/>
      <c r="E83" s="222"/>
      <c r="G83" s="223"/>
      <c r="H83" s="222"/>
      <c r="I83" s="222"/>
      <c r="J83" s="222"/>
      <c r="K83" s="222"/>
    </row>
    <row r="84" spans="4:11" x14ac:dyDescent="0.3">
      <c r="D84" s="222"/>
      <c r="E84" s="222"/>
      <c r="G84" s="223"/>
      <c r="H84" s="222"/>
      <c r="I84" s="222"/>
      <c r="J84" s="222"/>
      <c r="K84" s="222"/>
    </row>
    <row r="85" spans="4:11" x14ac:dyDescent="0.3">
      <c r="D85" s="222"/>
      <c r="E85" s="222"/>
      <c r="G85" s="223"/>
      <c r="H85" s="222"/>
      <c r="I85" s="222"/>
      <c r="J85" s="222"/>
      <c r="K85" s="222"/>
    </row>
    <row r="86" spans="4:11" x14ac:dyDescent="0.3">
      <c r="D86" s="222"/>
      <c r="E86" s="222"/>
      <c r="G86" s="223"/>
      <c r="H86" s="222"/>
      <c r="I86" s="222"/>
      <c r="J86" s="222"/>
      <c r="K86" s="222"/>
    </row>
    <row r="87" spans="4:11" x14ac:dyDescent="0.3">
      <c r="D87" s="222"/>
      <c r="E87" s="222"/>
      <c r="G87" s="223"/>
      <c r="H87" s="222"/>
      <c r="I87" s="222"/>
      <c r="J87" s="222"/>
      <c r="K87" s="222"/>
    </row>
    <row r="88" spans="4:11" x14ac:dyDescent="0.3">
      <c r="D88" s="222"/>
      <c r="E88" s="222"/>
      <c r="G88" s="223"/>
      <c r="H88" s="222"/>
      <c r="I88" s="222"/>
      <c r="J88" s="222"/>
      <c r="K88" s="222"/>
    </row>
    <row r="89" spans="4:11" x14ac:dyDescent="0.3">
      <c r="D89" s="222"/>
      <c r="E89" s="222"/>
      <c r="G89" s="223"/>
      <c r="H89" s="222"/>
      <c r="I89" s="222"/>
      <c r="J89" s="222"/>
      <c r="K89" s="222"/>
    </row>
    <row r="90" spans="4:11" x14ac:dyDescent="0.3">
      <c r="D90" s="222"/>
      <c r="E90" s="222"/>
      <c r="G90" s="223"/>
      <c r="H90" s="222"/>
      <c r="I90" s="222"/>
      <c r="J90" s="222"/>
      <c r="K90" s="222"/>
    </row>
    <row r="91" spans="4:11" x14ac:dyDescent="0.3">
      <c r="D91" s="222"/>
      <c r="E91" s="222"/>
      <c r="G91" s="223"/>
      <c r="H91" s="222"/>
      <c r="I91" s="222"/>
      <c r="J91" s="222"/>
      <c r="K91" s="222"/>
    </row>
    <row r="92" spans="4:11" x14ac:dyDescent="0.3">
      <c r="D92" s="222"/>
      <c r="E92" s="222"/>
      <c r="G92" s="223"/>
      <c r="H92" s="222"/>
      <c r="I92" s="222"/>
      <c r="J92" s="222"/>
      <c r="K92" s="222"/>
    </row>
    <row r="93" spans="4:11" x14ac:dyDescent="0.3">
      <c r="D93" s="222"/>
      <c r="E93" s="222"/>
      <c r="G93" s="223"/>
      <c r="H93" s="222"/>
      <c r="I93" s="222"/>
      <c r="J93" s="222"/>
      <c r="K93" s="222"/>
    </row>
    <row r="94" spans="4:11" x14ac:dyDescent="0.3">
      <c r="D94" s="222"/>
      <c r="E94" s="222"/>
      <c r="G94" s="223"/>
      <c r="H94" s="222"/>
      <c r="I94" s="222"/>
      <c r="J94" s="222"/>
      <c r="K94" s="222"/>
    </row>
    <row r="95" spans="4:11" x14ac:dyDescent="0.3">
      <c r="D95" s="222"/>
      <c r="E95" s="222"/>
      <c r="G95" s="223"/>
      <c r="H95" s="222"/>
      <c r="I95" s="222"/>
      <c r="J95" s="222"/>
      <c r="K95" s="222"/>
    </row>
    <row r="96" spans="4:11" x14ac:dyDescent="0.3">
      <c r="D96" s="222"/>
      <c r="E96" s="222"/>
      <c r="G96" s="223"/>
      <c r="H96" s="222"/>
      <c r="I96" s="222"/>
      <c r="J96" s="222"/>
      <c r="K96" s="222"/>
    </row>
    <row r="97" spans="4:11" x14ac:dyDescent="0.3">
      <c r="D97" s="222"/>
      <c r="E97" s="222"/>
      <c r="G97" s="223"/>
      <c r="H97" s="222"/>
      <c r="I97" s="222"/>
      <c r="J97" s="222"/>
      <c r="K97" s="222"/>
    </row>
    <row r="98" spans="4:11" x14ac:dyDescent="0.3">
      <c r="D98" s="222"/>
      <c r="E98" s="222"/>
      <c r="G98" s="223"/>
      <c r="H98" s="222"/>
      <c r="I98" s="222"/>
      <c r="J98" s="222"/>
      <c r="K98" s="222"/>
    </row>
    <row r="99" spans="4:11" x14ac:dyDescent="0.3">
      <c r="D99" s="222"/>
      <c r="E99" s="222"/>
      <c r="G99" s="223"/>
      <c r="H99" s="222"/>
      <c r="I99" s="222"/>
      <c r="J99" s="222"/>
      <c r="K99" s="222"/>
    </row>
    <row r="100" spans="4:11" x14ac:dyDescent="0.3">
      <c r="D100" s="222"/>
      <c r="E100" s="222"/>
      <c r="G100" s="223"/>
      <c r="H100" s="222"/>
      <c r="I100" s="222"/>
      <c r="J100" s="222"/>
      <c r="K100" s="222"/>
    </row>
  </sheetData>
  <mergeCells count="2">
    <mergeCell ref="A1:N1"/>
    <mergeCell ref="B2:N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Y7"/>
  <sheetViews>
    <sheetView zoomScale="95" zoomScaleNormal="95" workbookViewId="0">
      <selection sqref="A1:N1"/>
    </sheetView>
  </sheetViews>
  <sheetFormatPr defaultRowHeight="14.4" x14ac:dyDescent="0.3"/>
  <cols>
    <col min="2" max="2" width="24.33203125" customWidth="1"/>
    <col min="3" max="3" width="9" customWidth="1"/>
    <col min="4" max="4" width="13.109375" customWidth="1"/>
    <col min="5" max="5" width="18.6640625" bestFit="1" customWidth="1"/>
    <col min="6" max="6" width="18" customWidth="1"/>
    <col min="7" max="7" width="9.5546875" customWidth="1"/>
    <col min="8" max="10" width="16.88671875" bestFit="1" customWidth="1"/>
    <col min="11" max="11" width="15.6640625" bestFit="1" customWidth="1"/>
    <col min="14" max="14" width="9" bestFit="1" customWidth="1"/>
  </cols>
  <sheetData>
    <row r="1" spans="1:25" ht="20.100000000000001" customHeight="1" x14ac:dyDescent="0.3">
      <c r="A1" s="631" t="s">
        <v>406</v>
      </c>
      <c r="B1" s="631"/>
      <c r="C1" s="631"/>
      <c r="D1" s="631"/>
      <c r="E1" s="631"/>
      <c r="F1" s="631"/>
      <c r="G1" s="631"/>
      <c r="H1" s="631"/>
      <c r="I1" s="631"/>
      <c r="J1" s="631"/>
      <c r="K1" s="631"/>
      <c r="L1" s="631"/>
      <c r="M1" s="631"/>
      <c r="N1" s="631"/>
    </row>
    <row r="2" spans="1:25" ht="20.100000000000001" customHeight="1" x14ac:dyDescent="0.3">
      <c r="A2" s="219">
        <v>18</v>
      </c>
      <c r="B2" s="621" t="s">
        <v>435</v>
      </c>
      <c r="C2" s="622"/>
      <c r="D2" s="622"/>
      <c r="E2" s="622"/>
      <c r="F2" s="622"/>
      <c r="G2" s="622"/>
      <c r="H2" s="622"/>
      <c r="I2" s="622"/>
      <c r="J2" s="622"/>
      <c r="K2" s="622"/>
      <c r="L2" s="622"/>
      <c r="M2" s="622"/>
      <c r="N2" s="622"/>
    </row>
    <row r="3" spans="1:25" ht="48" x14ac:dyDescent="0.3">
      <c r="A3" s="248" t="s">
        <v>424</v>
      </c>
      <c r="B3" s="249" t="s">
        <v>332</v>
      </c>
      <c r="C3" s="249" t="s">
        <v>425</v>
      </c>
      <c r="D3" s="250" t="s">
        <v>426</v>
      </c>
      <c r="E3" s="250" t="s">
        <v>427</v>
      </c>
      <c r="F3" s="249" t="s">
        <v>428</v>
      </c>
      <c r="G3" s="251" t="s">
        <v>429</v>
      </c>
      <c r="H3" s="250" t="s">
        <v>430</v>
      </c>
      <c r="I3" s="250" t="s">
        <v>431</v>
      </c>
      <c r="J3" s="250" t="s">
        <v>432</v>
      </c>
      <c r="K3" s="250" t="s">
        <v>157</v>
      </c>
      <c r="L3" s="249" t="s">
        <v>433</v>
      </c>
      <c r="M3" s="249" t="s">
        <v>434</v>
      </c>
      <c r="N3" s="249" t="s">
        <v>409</v>
      </c>
    </row>
    <row r="5" spans="1:25" x14ac:dyDescent="0.3">
      <c r="O5" s="645" t="s">
        <v>436</v>
      </c>
      <c r="P5" s="645"/>
      <c r="Q5" s="645"/>
      <c r="R5" s="645"/>
      <c r="S5" s="645"/>
      <c r="T5" s="645"/>
      <c r="U5" s="645"/>
      <c r="V5" s="645"/>
      <c r="W5" s="645"/>
      <c r="X5" s="645"/>
      <c r="Y5" s="645"/>
    </row>
    <row r="7" spans="1:25" x14ac:dyDescent="0.3">
      <c r="A7" s="220"/>
      <c r="B7" s="220"/>
      <c r="C7" s="220"/>
      <c r="D7" s="220"/>
      <c r="E7" s="220"/>
      <c r="F7" s="220"/>
      <c r="G7" s="220"/>
      <c r="H7" s="220"/>
      <c r="I7" s="220"/>
      <c r="J7" s="220"/>
      <c r="K7" s="220"/>
    </row>
  </sheetData>
  <mergeCells count="3">
    <mergeCell ref="A1:N1"/>
    <mergeCell ref="B2:N2"/>
    <mergeCell ref="O5:Y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2ABB1B5-89AC-43E1-8E85-AEA33DFA73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PREL INFO</vt:lpstr>
      <vt:lpstr>3B OUTWARD</vt:lpstr>
      <vt:lpstr>3B INWARD</vt:lpstr>
      <vt:lpstr>GSTR 1</vt:lpstr>
      <vt:lpstr>BOA OUT (AV)</vt:lpstr>
      <vt:lpstr>BOA OUT (GST)</vt:lpstr>
      <vt:lpstr>BOA INWARD</vt:lpstr>
      <vt:lpstr>Summaries</vt:lpstr>
      <vt:lpstr>RECO</vt:lpstr>
      <vt:lpstr>Set Off</vt:lpstr>
      <vt:lpstr>BOA AUDIT EXP</vt:lpstr>
      <vt:lpstr>Master</vt:lpstr>
      <vt:lpstr>4 GSTR9</vt:lpstr>
      <vt:lpstr>5 GSTR 9</vt:lpstr>
      <vt:lpstr>6 GSTR 9</vt:lpstr>
      <vt:lpstr>7 GSTR 9</vt:lpstr>
      <vt:lpstr>8 GSTR 9</vt:lpstr>
      <vt:lpstr>9 GSTR 9</vt:lpstr>
      <vt:lpstr>10 TO 13 GSTR 9</vt:lpstr>
      <vt:lpstr>14 GSTR 9</vt:lpstr>
      <vt:lpstr>15 GSTR 9</vt:lpstr>
      <vt:lpstr>16 GSTR 9</vt:lpstr>
      <vt:lpstr>17 GSTR 9</vt:lpstr>
      <vt:lpstr>18 GSTR 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PJSN8</dc:creator>
  <cp:lastModifiedBy>pjsn14</cp:lastModifiedBy>
  <dcterms:created xsi:type="dcterms:W3CDTF">2019-07-02T07:26:58Z</dcterms:created>
  <dcterms:modified xsi:type="dcterms:W3CDTF">2026-05-14T07:32:11Z</dcterms:modified>
</cp:coreProperties>
</file>